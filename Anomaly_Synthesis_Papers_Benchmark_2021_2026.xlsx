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 all papers" sheetId="1" state="visible" r:id="rId1"/>
    <sheet xmlns:r="http://schemas.openxmlformats.org/officeDocument/2006/relationships" name="MVTec AD image-level" sheetId="2" state="visible" r:id="rId2"/>
    <sheet xmlns:r="http://schemas.openxmlformats.org/officeDocument/2006/relationships" name="MVTec AD pixel-level" sheetId="3" state="visible" r:id="rId3"/>
    <sheet xmlns:r="http://schemas.openxmlformats.org/officeDocument/2006/relationships" name="MVTec AD 2 TESTpub" sheetId="4" state="visible" r:id="rId4"/>
    <sheet xmlns:r="http://schemas.openxmlformats.org/officeDocument/2006/relationships" name="MVTec AD 2 TESTpriv" sheetId="5" state="visible" r:id="rId5"/>
    <sheet xmlns:r="http://schemas.openxmlformats.org/officeDocument/2006/relationships" name="MVTec LOCO AD" sheetId="6" state="visible" r:id="rId6"/>
    <sheet xmlns:r="http://schemas.openxmlformats.org/officeDocument/2006/relationships" name="VisA image-level" sheetId="7" state="visible" r:id="rId7"/>
    <sheet xmlns:r="http://schemas.openxmlformats.org/officeDocument/2006/relationships" name="VisA pixel-level" sheetId="8" state="visible" r:id="rId8"/>
    <sheet xmlns:r="http://schemas.openxmlformats.org/officeDocument/2006/relationships" name="Real-IAD image-level" sheetId="9" state="visible" r:id="rId9"/>
    <sheet xmlns:r="http://schemas.openxmlformats.org/officeDocument/2006/relationships" name="Real-IAD pixel-level" sheetId="10" state="visible" r:id="rId10"/>
    <sheet xmlns:r="http://schemas.openxmlformats.org/officeDocument/2006/relationships" name="Real-IAD FUIAD" sheetId="11" state="visible" r:id="rId11"/>
    <sheet xmlns:r="http://schemas.openxmlformats.org/officeDocument/2006/relationships" name="BTAD" sheetId="12" state="visible" r:id="rId12"/>
    <sheet xmlns:r="http://schemas.openxmlformats.org/officeDocument/2006/relationships" name="MPDD" sheetId="13" state="visible" r:id="rId13"/>
    <sheet xmlns:r="http://schemas.openxmlformats.org/officeDocument/2006/relationships" name="DAGM" sheetId="14" state="visible" r:id="rId14"/>
    <sheet xmlns:r="http://schemas.openxmlformats.org/officeDocument/2006/relationships" name="KSDD" sheetId="15" state="visible" r:id="rId15"/>
    <sheet xmlns:r="http://schemas.openxmlformats.org/officeDocument/2006/relationships" name="KSDD2" sheetId="16" state="visible" r:id="rId16"/>
    <sheet xmlns:r="http://schemas.openxmlformats.org/officeDocument/2006/relationships" name="Magnetic Tile Defects" sheetId="17" state="visible" r:id="rId17"/>
    <sheet xmlns:r="http://schemas.openxmlformats.org/officeDocument/2006/relationships" name="BTech" sheetId="18" state="visible" r:id="rId18"/>
    <sheet xmlns:r="http://schemas.openxmlformats.org/officeDocument/2006/relationships" name="Synthesis Quality" sheetId="19" state="visible" r:id="rId19"/>
  </sheets>
  <definedNames>
    <definedName name="_xlnm._FilterDatabase" localSheetId="0" hidden="1">'AS all papers'!$A$1:$T$1</definedName>
    <definedName name="_xlnm._FilterDatabase" localSheetId="1" hidden="1">'MVTec AD image-level'!$A$1:$T$1</definedName>
    <definedName name="_xlnm._FilterDatabase" localSheetId="2" hidden="1">'MVTec AD pixel-level'!$A$1:$T$1</definedName>
    <definedName name="_xlnm._FilterDatabase" localSheetId="3" hidden="1">'MVTec AD 2 TESTpub'!$A$1:$T$1</definedName>
    <definedName name="_xlnm._FilterDatabase" localSheetId="4" hidden="1">'MVTec AD 2 TESTpriv'!$A$1:$T$1</definedName>
    <definedName name="_xlnm._FilterDatabase" localSheetId="5" hidden="1">'MVTec LOCO AD'!$A$1:$T$1</definedName>
    <definedName name="_xlnm._FilterDatabase" localSheetId="6" hidden="1">'VisA image-level'!$A$1:$T$1</definedName>
    <definedName name="_xlnm._FilterDatabase" localSheetId="7" hidden="1">'VisA pixel-level'!$A$1:$T$1</definedName>
    <definedName name="_xlnm._FilterDatabase" localSheetId="8" hidden="1">'Real-IAD image-level'!$A$1:$T$1</definedName>
    <definedName name="_xlnm._FilterDatabase" localSheetId="9" hidden="1">'Real-IAD pixel-level'!$A$1:$T$1</definedName>
    <definedName name="_xlnm._FilterDatabase" localSheetId="10" hidden="1">'Real-IAD FUIAD'!$A$1:$T$1</definedName>
    <definedName name="_xlnm._FilterDatabase" localSheetId="11" hidden="1">'BTAD'!$A$1:$T$1</definedName>
    <definedName name="_xlnm._FilterDatabase" localSheetId="12" hidden="1">'MPDD'!$A$1:$T$1</definedName>
    <definedName name="_xlnm._FilterDatabase" localSheetId="13" hidden="1">'DAGM'!$A$1:$T$1</definedName>
    <definedName name="_xlnm._FilterDatabase" localSheetId="14" hidden="1">'KSDD'!$A$1:$T$1</definedName>
    <definedName name="_xlnm._FilterDatabase" localSheetId="15" hidden="1">'KSDD2'!$A$1:$T$1</definedName>
    <definedName name="_xlnm._FilterDatabase" localSheetId="16" hidden="1">'Magnetic Tile Defects'!$A$1:$T$1</definedName>
    <definedName name="_xlnm._FilterDatabase" localSheetId="17" hidden="1">'BTech'!$A$1:$T$1</definedName>
    <definedName name="_xlnm._FilterDatabase" localSheetId="18" hidden="1">'Synthesis Quality'!$A$1:$T$1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0563C1"/>
      <sz val="9"/>
      <u val="single"/>
    </font>
    <font>
      <name val="Arial"/>
      <i val="1"/>
      <color rgb="00FF0000"/>
      <sz val="9"/>
    </font>
  </fonts>
  <fills count="8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ADCF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597"/>
    <outlinePr summaryBelow="1" summaryRight="1"/>
    <pageSetUpPr/>
  </sheetPr>
  <dimension ref="A1:T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5" customWidth="1" min="3" max="3"/>
    <col width="13" customWidth="1" min="4" max="4"/>
    <col width="10" customWidth="1" min="5" max="5"/>
    <col width="13" customWidth="1" min="6" max="6"/>
    <col width="22" customWidth="1" min="7" max="7"/>
    <col width="22" customWidth="1" min="8" max="8"/>
    <col width="18" customWidth="1" min="9" max="9"/>
    <col width="28" customWidth="1" min="10" max="10"/>
    <col width="10" customWidth="1" min="11" max="11"/>
    <col width="10" customWidth="1" min="12" max="12"/>
    <col width="13" customWidth="1" min="13" max="13"/>
    <col width="11" customWidth="1" min="14" max="14"/>
    <col width="14" customWidth="1" min="15" max="15"/>
    <col width="22" customWidth="1" min="16" max="16"/>
    <col width="22" customWidth="1" min="17" max="17"/>
    <col width="45" customWidth="1" min="18" max="18"/>
    <col width="18" customWidth="1" min="19" max="19"/>
    <col width="18" customWidth="1" min="20" max="20"/>
  </cols>
  <sheetData>
    <row r="1" ht="36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合成類型</t>
        </is>
      </c>
      <c r="H1" s="1" t="inlineStr">
        <is>
          <t>任務設定</t>
        </is>
      </c>
      <c r="I1" s="1" t="inlineStr">
        <is>
          <t>資料集</t>
        </is>
      </c>
      <c r="J1" s="1" t="inlineStr">
        <is>
          <t>Split/Protocol</t>
        </is>
      </c>
      <c r="K1" s="1" t="inlineStr">
        <is>
          <t>I-AUROC</t>
        </is>
      </c>
      <c r="L1" s="1" t="inlineStr">
        <is>
          <t>P-AUROC</t>
        </is>
      </c>
      <c r="M1" s="1" t="inlineStr">
        <is>
          <t>AUPRO/PRO</t>
        </is>
      </c>
      <c r="N1" s="1" t="inlineStr">
        <is>
          <t>AP/AUPRC</t>
        </is>
      </c>
      <c r="O1" s="1" t="inlineStr">
        <is>
          <t>F1/Dice/IoU</t>
        </is>
      </c>
      <c r="P1" s="1" t="inlineStr">
        <is>
          <t>合成品質指標</t>
        </is>
      </c>
      <c r="Q1" s="1" t="inlineStr">
        <is>
          <t>Backbone/Detector</t>
        </is>
      </c>
      <c r="R1" s="1" t="inlineStr">
        <is>
          <t>備註(特色/可比性)</t>
        </is>
      </c>
      <c r="S1" s="1" t="inlineStr">
        <is>
          <t>連結</t>
        </is>
      </c>
      <c r="T1" s="1" t="inlineStr">
        <is>
          <t>GitHub</t>
        </is>
      </c>
    </row>
    <row r="2" ht="60" customHeight="1">
      <c r="A2" s="2" t="inlineStr">
        <is>
          <t>Vision-language / Foundation-model-based Anomaly Synthesis</t>
        </is>
      </c>
      <c r="B2" s="2" t="inlineStr">
        <is>
          <t>AnomalyAgent</t>
        </is>
      </c>
      <c r="C2" s="2" t="inlineStr">
        <is>
          <t>Hu et al.</t>
        </is>
      </c>
      <c r="D2" s="2" t="inlineStr">
        <is>
          <t>arXiv</t>
        </is>
      </c>
      <c r="E2" s="2" t="inlineStr">
        <is>
          <t>2026-04</t>
        </is>
      </c>
      <c r="F2" s="2" t="inlineStr">
        <is>
          <t>arXiv</t>
        </is>
      </c>
      <c r="G2" s="2" t="inlineStr">
        <is>
          <t>VLM / agent RL</t>
        </is>
      </c>
      <c r="H2" s="2" t="inlineStr">
        <is>
          <t>zero-shot</t>
        </is>
      </c>
      <c r="I2" s="2" t="inlineStr">
        <is>
          <t>MVTec AD / VisA</t>
        </is>
      </c>
      <c r="J2" s="2" t="inlineStr">
        <is>
          <t>class-separated / macro average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N/A</t>
        </is>
      </c>
      <c r="P2" s="2" t="inlineStr">
        <is>
          <t>Tool-augmented RL reward</t>
        </is>
      </c>
      <c r="Q2" s="2" t="inlineStr">
        <is>
          <t>GPT-4 + SD</t>
        </is>
      </c>
      <c r="R2" s="2" t="inlineStr">
        <is>
          <t>Agentic Industrial Anomaly Synthesis via Tool-Augmented Reinforcement Learning; To verify</t>
        </is>
      </c>
      <c r="S2" s="3">
        <f>HYPERLINK("https://arxiv.org/abs/2604.07900","Link")</f>
        <v/>
      </c>
      <c r="T2" s="2" t="inlineStr">
        <is>
          <t>N/A</t>
        </is>
      </c>
    </row>
    <row r="3" ht="60" customHeight="1">
      <c r="A3" s="4" t="inlineStr">
        <is>
          <t>Generative-model-based Anomaly Synthesis</t>
        </is>
      </c>
      <c r="B3" s="4" t="inlineStr">
        <is>
          <t>GroundingAnomaly</t>
        </is>
      </c>
      <c r="C3" s="4" t="inlineStr">
        <is>
          <t>Guo et al.</t>
        </is>
      </c>
      <c r="D3" s="4" t="inlineStr">
        <is>
          <t>arXiv</t>
        </is>
      </c>
      <c r="E3" s="4" t="inlineStr">
        <is>
          <t>2026-04</t>
        </is>
      </c>
      <c r="F3" s="4" t="inlineStr">
        <is>
          <t>arXiv</t>
        </is>
      </c>
      <c r="G3" s="4" t="inlineStr">
        <is>
          <t>diffusion / spatially-grounded</t>
        </is>
      </c>
      <c r="H3" s="4" t="inlineStr">
        <is>
          <t>few-shot</t>
        </is>
      </c>
      <c r="I3" s="4" t="inlineStr">
        <is>
          <t>MVTec AD / VisA</t>
        </is>
      </c>
      <c r="J3" s="4" t="inlineStr">
        <is>
          <t>class-separated; few-shot</t>
        </is>
      </c>
      <c r="K3" s="4" t="inlineStr">
        <is>
          <t>N/A</t>
        </is>
      </c>
      <c r="L3" s="4" t="inlineStr">
        <is>
          <t>N/A</t>
        </is>
      </c>
      <c r="M3" s="4" t="inlineStr">
        <is>
          <t>N/A</t>
        </is>
      </c>
      <c r="N3" s="4" t="inlineStr">
        <is>
          <t>N/A</t>
        </is>
      </c>
      <c r="O3" s="4" t="inlineStr">
        <is>
          <t>N/A</t>
        </is>
      </c>
      <c r="P3" s="4" t="inlineStr">
        <is>
          <t>spatial control quality</t>
        </is>
      </c>
      <c r="Q3" s="4" t="inlineStr">
        <is>
          <t>Stable Diffusion + Gated Attention</t>
        </is>
      </c>
      <c r="R3" s="4" t="inlineStr">
        <is>
          <t>Spatially-Grounded Diffusion for Few-Shot Anomaly Synthesis; SOTA on MVTec AD &amp; VisA downstream; To verify</t>
        </is>
      </c>
      <c r="S3" s="5">
        <f>HYPERLINK("https://arxiv.org/abs/2604.08301","Link")</f>
        <v/>
      </c>
      <c r="T3" s="4" t="inlineStr">
        <is>
          <t>N/A</t>
        </is>
      </c>
    </row>
    <row r="4" ht="60" customHeight="1">
      <c r="A4" s="4" t="inlineStr">
        <is>
          <t>Generative-model-based Anomaly Synthesis</t>
        </is>
      </c>
      <c r="B4" s="4" t="inlineStr">
        <is>
          <t>MIRAGE</t>
        </is>
      </c>
      <c r="C4" s="4" t="inlineStr">
        <is>
          <t>Ye et al.</t>
        </is>
      </c>
      <c r="D4" s="4" t="inlineStr">
        <is>
          <t>arXiv</t>
        </is>
      </c>
      <c r="E4" s="4" t="inlineStr">
        <is>
          <t>2026-03</t>
        </is>
      </c>
      <c r="F4" s="4" t="inlineStr">
        <is>
          <t>arXiv</t>
        </is>
      </c>
      <c r="G4" s="4" t="inlineStr">
        <is>
          <t>diffusion / VLM-prompted</t>
        </is>
      </c>
      <c r="H4" s="4" t="inlineStr">
        <is>
          <t>zero-shot</t>
        </is>
      </c>
      <c r="I4" s="4" t="inlineStr">
        <is>
          <t>MVTec AD / VisA</t>
        </is>
      </c>
      <c r="J4" s="4" t="inlineStr">
        <is>
          <t>class-separated / macro average</t>
        </is>
      </c>
      <c r="K4" s="4" t="inlineStr">
        <is>
          <t>N/A</t>
        </is>
      </c>
      <c r="L4" s="4" t="inlineStr">
        <is>
          <t>N/A</t>
        </is>
      </c>
      <c r="M4" s="4" t="inlineStr">
        <is>
          <t>N/A</t>
        </is>
      </c>
      <c r="N4" s="4" t="inlineStr">
        <is>
          <t>N/A</t>
        </is>
      </c>
      <c r="O4" s="4" t="inlineStr">
        <is>
          <t>N/A</t>
        </is>
      </c>
      <c r="P4" s="4" t="inlineStr">
        <is>
          <t>CLIP quality filter; FID reported</t>
        </is>
      </c>
      <c r="Q4" s="4" t="inlineStr">
        <is>
          <t>Stable Diffusion + CLIP + VLM API</t>
        </is>
      </c>
      <c r="R4" s="4" t="inlineStr">
        <is>
          <t>Model-agnostic Industrial Realistic Anomaly Generation; plug-and-play; To verify</t>
        </is>
      </c>
      <c r="S4" s="5">
        <f>HYPERLINK("https://arxiv.org/abs/2603.13507","Link")</f>
        <v/>
      </c>
      <c r="T4" s="4" t="inlineStr">
        <is>
          <t>N/A</t>
        </is>
      </c>
    </row>
    <row r="5" ht="60" customHeight="1">
      <c r="A5" s="4" t="inlineStr">
        <is>
          <t>Generative-model-based Anomaly Synthesis</t>
        </is>
      </c>
      <c r="B5" s="4" t="inlineStr">
        <is>
          <t>FMAS (Foundation Model Anomaly Synthesis)</t>
        </is>
      </c>
      <c r="C5" s="4" t="inlineStr">
        <is>
          <t>Zhang et al.</t>
        </is>
      </c>
      <c r="D5" s="4" t="inlineStr">
        <is>
          <t>arXiv</t>
        </is>
      </c>
      <c r="E5" s="4" t="inlineStr">
        <is>
          <t>2026-03</t>
        </is>
      </c>
      <c r="F5" s="4" t="inlineStr">
        <is>
          <t>arXiv</t>
        </is>
      </c>
      <c r="G5" s="4" t="inlineStr">
        <is>
          <t>diffusion / foundation-model</t>
        </is>
      </c>
      <c r="H5" s="4" t="inlineStr">
        <is>
          <t>zero-shot</t>
        </is>
      </c>
      <c r="I5" s="4" t="inlineStr">
        <is>
          <t>MVTec AD</t>
        </is>
      </c>
      <c r="J5" s="4" t="inlineStr">
        <is>
          <t>class-separated; synthetic-only training</t>
        </is>
      </c>
      <c r="K5" s="4" t="inlineStr">
        <is>
          <t>N/A</t>
        </is>
      </c>
      <c r="L5" s="4" t="inlineStr">
        <is>
          <t>N/A</t>
        </is>
      </c>
      <c r="M5" s="4" t="inlineStr">
        <is>
          <t>N/A</t>
        </is>
      </c>
      <c r="N5" s="4" t="inlineStr">
        <is>
          <t>N/A</t>
        </is>
      </c>
      <c r="O5" s="4" t="inlineStr">
        <is>
          <t>N/A</t>
        </is>
      </c>
      <c r="P5" s="4" t="inlineStr">
        <is>
          <t>downstream I-AUROC improvement</t>
        </is>
      </c>
      <c r="Q5" s="4" t="inlineStr">
        <is>
          <t>GPT-4 + SAM + Stable Diffusion</t>
        </is>
      </c>
      <c r="R5" s="4" t="inlineStr">
        <is>
          <t>Improving Anomaly Detection with Foundation-Model Synthesis; To verify</t>
        </is>
      </c>
      <c r="S5" s="5">
        <f>HYPERLINK("https://arxiv.org/abs/2603.02964","Link")</f>
        <v/>
      </c>
      <c r="T5" s="4" t="inlineStr">
        <is>
          <t>N/A</t>
        </is>
      </c>
    </row>
    <row r="6" ht="60" customHeight="1">
      <c r="A6" s="2" t="inlineStr">
        <is>
          <t>Vision-language / Foundation-model-based Anomaly Synthesis</t>
        </is>
      </c>
      <c r="B6" s="2" t="inlineStr">
        <is>
          <t>Zero-shot CAI (Cross-domain Anomaly Injection)</t>
        </is>
      </c>
      <c r="C6" s="2" t="inlineStr">
        <is>
          <t>Wang et al.</t>
        </is>
      </c>
      <c r="D6" s="2" t="inlineStr">
        <is>
          <t>arXiv</t>
        </is>
      </c>
      <c r="E6" s="2" t="inlineStr">
        <is>
          <t>2026-01</t>
        </is>
      </c>
      <c r="F6" s="2" t="inlineStr">
        <is>
          <t>arXiv</t>
        </is>
      </c>
      <c r="G6" s="2" t="inlineStr">
        <is>
          <t>cross-domain / training-free</t>
        </is>
      </c>
      <c r="H6" s="2" t="inlineStr">
        <is>
          <t>zero-shot</t>
        </is>
      </c>
      <c r="I6" s="2" t="inlineStr">
        <is>
          <t>MVTec AD / VisA</t>
        </is>
      </c>
      <c r="J6" s="2" t="inlineStr">
        <is>
          <t>class-separated; zero-shot synthesis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N/A</t>
        </is>
      </c>
      <c r="N6" s="2" t="inlineStr">
        <is>
          <t>N/A</t>
        </is>
      </c>
      <c r="O6" s="2" t="inlineStr">
        <is>
          <t>N/A</t>
        </is>
      </c>
      <c r="P6" s="2" t="inlineStr">
        <is>
          <t>N/A</t>
        </is>
      </c>
      <c r="Q6" s="2" t="inlineStr">
        <is>
          <t>Latent Diffusion + CAI mechanism</t>
        </is>
      </c>
      <c r="R6" s="2" t="inlineStr">
        <is>
          <t>Stones from Other Hills can Polish Jade: Zero-shot via Cross-domain Anomaly Injection; training-free; uses external real anomalies from other domains — mark data source carefully; Unverified arXiv claim</t>
        </is>
      </c>
      <c r="S6" s="3">
        <f>HYPERLINK("https://arxiv.org/abs/2501.15211","Link")</f>
        <v/>
      </c>
      <c r="T6" s="2" t="inlineStr">
        <is>
          <t>N/A</t>
        </is>
      </c>
    </row>
    <row r="7" ht="60" customHeight="1">
      <c r="A7" s="2" t="inlineStr">
        <is>
          <t>Vision-language / Foundation-model-based Anomaly Synthesis</t>
        </is>
      </c>
      <c r="B7" s="2" t="inlineStr">
        <is>
          <t>AnomalyVFM</t>
        </is>
      </c>
      <c r="C7" s="2" t="inlineStr">
        <is>
          <t>Schwartz et al.</t>
        </is>
      </c>
      <c r="D7" s="2" t="inlineStr">
        <is>
          <t>arXiv</t>
        </is>
      </c>
      <c r="E7" s="2" t="inlineStr">
        <is>
          <t>2025-01</t>
        </is>
      </c>
      <c r="F7" s="2" t="inlineStr">
        <is>
          <t>arXiv</t>
        </is>
      </c>
      <c r="G7" s="2" t="inlineStr">
        <is>
          <t>diffusion / foundation-model (FLUX)</t>
        </is>
      </c>
      <c r="H7" s="2" t="inlineStr">
        <is>
          <t>zero-shot</t>
        </is>
      </c>
      <c r="I7" s="2" t="inlineStr">
        <is>
          <t>MVTec AD / VisA</t>
        </is>
      </c>
      <c r="J7" s="2" t="inlineStr">
        <is>
          <t>class-separated; zero-shot; synthetic-only training</t>
        </is>
      </c>
      <c r="K7" s="2" t="inlineStr">
        <is>
          <t>N/A</t>
        </is>
      </c>
      <c r="L7" s="2" t="inlineStr">
        <is>
          <t>N/A</t>
        </is>
      </c>
      <c r="M7" s="2" t="inlineStr">
        <is>
          <t>N/A</t>
        </is>
      </c>
      <c r="N7" s="2" t="inlineStr">
        <is>
          <t>N/A</t>
        </is>
      </c>
      <c r="O7" s="2" t="inlineStr">
        <is>
          <t>N/A</t>
        </is>
      </c>
      <c r="P7" s="2" t="inlineStr">
        <is>
          <t>N/A</t>
        </is>
      </c>
      <c r="Q7" s="2" t="inlineStr">
        <is>
          <t>FLUX + inpainting</t>
        </is>
      </c>
      <c r="R7" s="2" t="inlineStr">
        <is>
          <t>Transforming Vision Foundation Models into Zero-Shot Anomaly Detectors; To verify</t>
        </is>
      </c>
      <c r="S7" s="3">
        <f>HYPERLINK("https://arxiv.org/abs/2601.20524","Link")</f>
        <v/>
      </c>
      <c r="T7" s="2" t="inlineStr">
        <is>
          <t>N/A</t>
        </is>
      </c>
    </row>
    <row r="8" ht="60" customHeight="1">
      <c r="A8" s="4" t="inlineStr">
        <is>
          <t>Generative-model-based Anomaly Synthesis</t>
        </is>
      </c>
      <c r="B8" s="4" t="inlineStr">
        <is>
          <t>Training-Free Industrial Defect Generation (TFDG)</t>
        </is>
      </c>
      <c r="C8" s="4" t="inlineStr">
        <is>
          <t>Xu et al.</t>
        </is>
      </c>
      <c r="D8" s="4" t="inlineStr">
        <is>
          <t>ICCV 2025</t>
        </is>
      </c>
      <c r="E8" s="4" t="inlineStr">
        <is>
          <t>2025-00</t>
        </is>
      </c>
      <c r="F8" s="4" t="inlineStr">
        <is>
          <t>Published</t>
        </is>
      </c>
      <c r="G8" s="4" t="inlineStr">
        <is>
          <t>diffusion / training-free</t>
        </is>
      </c>
      <c r="H8" s="4" t="inlineStr">
        <is>
          <t>zero-shot</t>
        </is>
      </c>
      <c r="I8" s="4" t="inlineStr">
        <is>
          <t>MVTec AD</t>
        </is>
      </c>
      <c r="J8" s="4" t="inlineStr">
        <is>
          <t>class-separated; synthetic-only training</t>
        </is>
      </c>
      <c r="K8" s="4" t="inlineStr">
        <is>
          <t>N/A</t>
        </is>
      </c>
      <c r="L8" s="4" t="inlineStr">
        <is>
          <t>N/A</t>
        </is>
      </c>
      <c r="M8" s="4" t="inlineStr">
        <is>
          <t>N/A</t>
        </is>
      </c>
      <c r="N8" s="4" t="inlineStr">
        <is>
          <t>N/A</t>
        </is>
      </c>
      <c r="O8" s="4" t="inlineStr">
        <is>
          <t>N/A</t>
        </is>
      </c>
      <c r="P8" s="4" t="inlineStr">
        <is>
          <t>downstream downstream I-AUROC, P-AUROC improvement</t>
        </is>
      </c>
      <c r="Q8" s="4" t="inlineStr">
        <is>
          <t>SD v2.1 + ControlNet (AnyDoor)</t>
        </is>
      </c>
      <c r="R8" s="4" t="inlineStr">
        <is>
          <t>Training-Free Industrial Defect Generation with Diffusion Models; ICCV 2025; To verify exact numbers</t>
        </is>
      </c>
      <c r="S8" s="5">
        <f>HYPERLINK("https://openaccess.thecvf.com/content/ICCV2025/papers/Xu_Training-Free_Industrial_Defect_Generation_with_Diffusion_Models_ICCV_2025_paper.pdf","Link")</f>
        <v/>
      </c>
      <c r="T8" s="4" t="inlineStr">
        <is>
          <t>N/A</t>
        </is>
      </c>
    </row>
    <row r="9" ht="60" customHeight="1">
      <c r="A9" s="4" t="inlineStr">
        <is>
          <t>Generative-model-based Anomaly Synthesis</t>
        </is>
      </c>
      <c r="B9" s="4" t="inlineStr">
        <is>
          <t>DualAnoDiff</t>
        </is>
      </c>
      <c r="C9" s="4" t="inlineStr">
        <is>
          <t>Jin et al.</t>
        </is>
      </c>
      <c r="D9" s="4" t="inlineStr">
        <is>
          <t>CVPR 2025</t>
        </is>
      </c>
      <c r="E9" s="4" t="inlineStr">
        <is>
          <t>2025-00</t>
        </is>
      </c>
      <c r="F9" s="4" t="inlineStr">
        <is>
          <t>Published</t>
        </is>
      </c>
      <c r="G9" s="4" t="inlineStr">
        <is>
          <t>diffusion / dual-interrelated</t>
        </is>
      </c>
      <c r="H9" s="4" t="inlineStr">
        <is>
          <t>few-shot</t>
        </is>
      </c>
      <c r="I9" s="4" t="inlineStr">
        <is>
          <t>MVTec AD / VisA</t>
        </is>
      </c>
      <c r="J9" s="4" t="inlineStr">
        <is>
          <t>class-separated; few-shot (uses real anomalies); mask generation supported</t>
        </is>
      </c>
      <c r="K9" s="4" t="inlineStr">
        <is>
          <t>N/A</t>
        </is>
      </c>
      <c r="L9" s="4" t="inlineStr">
        <is>
          <t>N/A</t>
        </is>
      </c>
      <c r="M9" s="4" t="inlineStr">
        <is>
          <t>N/A</t>
        </is>
      </c>
      <c r="N9" s="4" t="inlineStr">
        <is>
          <t>N/A</t>
        </is>
      </c>
      <c r="O9" s="4" t="inlineStr">
        <is>
          <t>N/A</t>
        </is>
      </c>
      <c r="P9" s="4" t="inlineStr">
        <is>
          <t>FID, LPIPS, mask Dice</t>
        </is>
      </c>
      <c r="Q9" s="4" t="inlineStr">
        <is>
          <t>Dual LDM (Stable Diffusion)</t>
        </is>
      </c>
      <c r="R9" s="4" t="inlineStr">
        <is>
          <t>Dual-Interrelated Diffusion Model for Few-Shot Anomaly Image Generation; generates image-mask pairs; uses real anomalies — Data leakage risk if test categories overlap; Paper-reported result</t>
        </is>
      </c>
      <c r="S9" s="5">
        <f>HYPERLINK("https://openaccess.thecvf.com/content/CVPR2025/papers/Jin_Dual-Interrelated_Diffusion_Model_for_Few-Shot_Anomaly_Image_Generation_CVPR_2025_paper.pdf","Link")</f>
        <v/>
      </c>
      <c r="T9" s="5">
        <f>HYPERLINK("https://github.com/yinyjin/DualAnoDiff","GitHub")</f>
        <v/>
      </c>
    </row>
    <row r="10" ht="60" customHeight="1">
      <c r="A10" s="6" t="inlineStr">
        <is>
          <t>Downstream Synthesis-based AD / Segmentation</t>
        </is>
      </c>
      <c r="B10" s="6" t="inlineStr">
        <is>
          <t>INP-Former</t>
        </is>
      </c>
      <c r="C10" s="6" t="inlineStr">
        <is>
          <t>Lou et al.</t>
        </is>
      </c>
      <c r="D10" s="6" t="inlineStr">
        <is>
          <t>CVPR 2025</t>
        </is>
      </c>
      <c r="E10" s="6" t="inlineStr">
        <is>
          <t>2025-00</t>
        </is>
      </c>
      <c r="F10" s="6" t="inlineStr">
        <is>
          <t>Published</t>
        </is>
      </c>
      <c r="G10" s="6" t="inlineStr">
        <is>
          <t>reconstruction / feature prototype</t>
        </is>
      </c>
      <c r="H10" s="6" t="inlineStr">
        <is>
          <t>multi-class / unsupervised</t>
        </is>
      </c>
      <c r="I10" s="6" t="inlineStr">
        <is>
          <t>MVTec AD</t>
        </is>
      </c>
      <c r="J10" s="6" t="inlineStr">
        <is>
          <t>multi-class; category average</t>
        </is>
      </c>
      <c r="K10" s="6" t="inlineStr">
        <is>
          <t>99.8</t>
        </is>
      </c>
      <c r="L10" s="6" t="inlineStr">
        <is>
          <t>98.7</t>
        </is>
      </c>
      <c r="M10" s="6" t="inlineStr">
        <is>
          <t>96.0</t>
        </is>
      </c>
      <c r="N10" s="6" t="inlineStr">
        <is>
          <t>75.6</t>
        </is>
      </c>
      <c r="O10" s="6" t="inlineStr">
        <is>
          <t>71.6 (P-F1max)</t>
        </is>
      </c>
      <c r="P10" s="6" t="inlineStr">
        <is>
          <t>N/A</t>
        </is>
      </c>
      <c r="Q10" s="6" t="inlineStr">
        <is>
          <t>ViT-L/14 (DINOv2)</t>
        </is>
      </c>
      <c r="R10" s="6" t="inlineStr">
        <is>
          <t>Exploring Intrinsic Normal Prototypes within a Single Image for Universal Anomaly Detection; CVPR 2025; Paper-reported result</t>
        </is>
      </c>
      <c r="S10" s="7">
        <f>HYPERLINK("https://github.com/luow23/INP-Former","Link")</f>
        <v/>
      </c>
      <c r="T10" s="7">
        <f>HYPERLINK("https://github.com/luow23/INP-Former","GitHub")</f>
        <v/>
      </c>
    </row>
    <row r="11" ht="60" customHeight="1">
      <c r="A11" s="6" t="inlineStr">
        <is>
          <t>Downstream Synthesis-based AD / Segmentation</t>
        </is>
      </c>
      <c r="B11" s="6" t="inlineStr">
        <is>
          <t>INP-Former</t>
        </is>
      </c>
      <c r="C11" s="6" t="inlineStr">
        <is>
          <t>Lou et al.</t>
        </is>
      </c>
      <c r="D11" s="6" t="inlineStr">
        <is>
          <t>CVPR 2025</t>
        </is>
      </c>
      <c r="E11" s="6" t="inlineStr">
        <is>
          <t>2025-00</t>
        </is>
      </c>
      <c r="F11" s="6" t="inlineStr">
        <is>
          <t>Published</t>
        </is>
      </c>
      <c r="G11" s="6" t="inlineStr">
        <is>
          <t>reconstruction / feature prototype</t>
        </is>
      </c>
      <c r="H11" s="6" t="inlineStr">
        <is>
          <t>multi-class / unsupervised</t>
        </is>
      </c>
      <c r="I11" s="6" t="inlineStr">
        <is>
          <t>VisA</t>
        </is>
      </c>
      <c r="J11" s="6" t="inlineStr">
        <is>
          <t>multi-class; category average</t>
        </is>
      </c>
      <c r="K11" s="6" t="inlineStr">
        <is>
          <t>N/A</t>
        </is>
      </c>
      <c r="L11" s="6" t="inlineStr">
        <is>
          <t>99.1</t>
        </is>
      </c>
      <c r="M11" s="6" t="inlineStr">
        <is>
          <t>96.0</t>
        </is>
      </c>
      <c r="N11" s="6" t="inlineStr">
        <is>
          <t>52.7</t>
        </is>
      </c>
      <c r="O11" s="6" t="inlineStr">
        <is>
          <t>55.2 (P-F1max)</t>
        </is>
      </c>
      <c r="P11" s="6" t="inlineStr">
        <is>
          <t>N/A</t>
        </is>
      </c>
      <c r="Q11" s="6" t="inlineStr">
        <is>
          <t>ViT-L/14 (DINOv2)</t>
        </is>
      </c>
      <c r="R11" s="6" t="inlineStr">
        <is>
          <t>Paper-reported result; Not directly comparable: multi-class setting</t>
        </is>
      </c>
      <c r="S11" s="7">
        <f>HYPERLINK("https://github.com/luow23/INP-Former","Link")</f>
        <v/>
      </c>
      <c r="T11" s="7">
        <f>HYPERLINK("https://github.com/luow23/INP-Former","GitHub")</f>
        <v/>
      </c>
    </row>
    <row r="12" ht="60" customHeight="1">
      <c r="A12" s="8" t="inlineStr">
        <is>
          <t>Distribution-hypothesis / Feature-space Anomaly Synthesis</t>
        </is>
      </c>
      <c r="B12" s="8" t="inlineStr">
        <is>
          <t>GLASS</t>
        </is>
      </c>
      <c r="C12" s="8" t="inlineStr">
        <is>
          <t>Chen et al.</t>
        </is>
      </c>
      <c r="D12" s="8" t="inlineStr">
        <is>
          <t>ECCV 2024</t>
        </is>
      </c>
      <c r="E12" s="8" t="inlineStr">
        <is>
          <t>2024-07</t>
        </is>
      </c>
      <c r="F12" s="8" t="inlineStr">
        <is>
          <t>Published</t>
        </is>
      </c>
      <c r="G12" s="8" t="inlineStr">
        <is>
          <t>feature-space / gradient-ascent / Perlin</t>
        </is>
      </c>
      <c r="H12" s="8" t="inlineStr">
        <is>
          <t>unsupervised / class-separated</t>
        </is>
      </c>
      <c r="I12" s="8" t="inlineStr">
        <is>
          <t>MVTec AD</t>
        </is>
      </c>
      <c r="J12" s="8" t="inlineStr">
        <is>
          <t>class-separated; category average; one-class</t>
        </is>
      </c>
      <c r="K12" s="8" t="inlineStr">
        <is>
          <t>99.9</t>
        </is>
      </c>
      <c r="L12" s="8" t="inlineStr">
        <is>
          <t>N/A</t>
        </is>
      </c>
      <c r="M12" s="8" t="inlineStr">
        <is>
          <t>N/A</t>
        </is>
      </c>
      <c r="N12" s="8" t="inlineStr">
        <is>
          <t>N/A</t>
        </is>
      </c>
      <c r="O12" s="8" t="inlineStr">
        <is>
          <t>N/A</t>
        </is>
      </c>
      <c r="P12" s="8" t="inlineStr">
        <is>
          <t>N/A</t>
        </is>
      </c>
      <c r="Q12" s="8" t="inlineStr">
        <is>
          <t>WideResNet50</t>
        </is>
      </c>
      <c r="R12" s="8" t="inlineStr">
        <is>
          <t>A Unified Anomaly Synthesis Strategy with Gradient Ascent (GLASS); ECCV 2024; combines global feature-space (GAS) and local image-level (LAS); Paper-reported result</t>
        </is>
      </c>
      <c r="S12" s="9">
        <f>HYPERLINK("https://arxiv.org/abs/2407.09359","Link")</f>
        <v/>
      </c>
      <c r="T12" s="9">
        <f>HYPERLINK("https://github.com/cqylunlun/GLASS","GitHub")</f>
        <v/>
      </c>
    </row>
    <row r="13" ht="60" customHeight="1">
      <c r="A13" s="8" t="inlineStr">
        <is>
          <t>Distribution-hypothesis / Feature-space Anomaly Synthesis</t>
        </is>
      </c>
      <c r="B13" s="8" t="inlineStr">
        <is>
          <t>GLASS</t>
        </is>
      </c>
      <c r="C13" s="8" t="inlineStr">
        <is>
          <t>Chen et al.</t>
        </is>
      </c>
      <c r="D13" s="8" t="inlineStr">
        <is>
          <t>ECCV 2024</t>
        </is>
      </c>
      <c r="E13" s="8" t="inlineStr">
        <is>
          <t>2024-07</t>
        </is>
      </c>
      <c r="F13" s="8" t="inlineStr">
        <is>
          <t>Published</t>
        </is>
      </c>
      <c r="G13" s="8" t="inlineStr">
        <is>
          <t>feature-space / gradient-ascent / Perlin</t>
        </is>
      </c>
      <c r="H13" s="8" t="inlineStr">
        <is>
          <t>unsupervised / class-separated</t>
        </is>
      </c>
      <c r="I13" s="8" t="inlineStr">
        <is>
          <t>VisA</t>
        </is>
      </c>
      <c r="J13" s="8" t="inlineStr">
        <is>
          <t>class-separated; category average; one-class</t>
        </is>
      </c>
      <c r="K13" s="8" t="inlineStr">
        <is>
          <t>N/A</t>
        </is>
      </c>
      <c r="L13" s="8" t="inlineStr">
        <is>
          <t>N/A</t>
        </is>
      </c>
      <c r="M13" s="8" t="inlineStr">
        <is>
          <t>N/A</t>
        </is>
      </c>
      <c r="N13" s="8" t="inlineStr">
        <is>
          <t>N/A</t>
        </is>
      </c>
      <c r="O13" s="8" t="inlineStr">
        <is>
          <t>N/A</t>
        </is>
      </c>
      <c r="P13" s="8" t="inlineStr">
        <is>
          <t>N/A</t>
        </is>
      </c>
      <c r="Q13" s="8" t="inlineStr">
        <is>
          <t>WideResNet50</t>
        </is>
      </c>
      <c r="R13" s="8" t="inlineStr">
        <is>
          <t>GLASS; ECCV 2024; SOTA on VisA and MPDD; Paper-reported result; To verify pixel-level numbers</t>
        </is>
      </c>
      <c r="S13" s="9">
        <f>HYPERLINK("https://arxiv.org/abs/2407.09359","Link")</f>
        <v/>
      </c>
      <c r="T13" s="9">
        <f>HYPERLINK("https://github.com/cqylunlun/GLASS","GitHub")</f>
        <v/>
      </c>
    </row>
    <row r="14" ht="60" customHeight="1">
      <c r="A14" s="4" t="inlineStr">
        <is>
          <t>Generative-model-based Anomaly Synthesis</t>
        </is>
      </c>
      <c r="B14" s="4" t="inlineStr">
        <is>
          <t>RealNet</t>
        </is>
      </c>
      <c r="C14" s="4" t="inlineStr">
        <is>
          <t>Zhang et al.</t>
        </is>
      </c>
      <c r="D14" s="4" t="inlineStr">
        <is>
          <t>CVPR 2024</t>
        </is>
      </c>
      <c r="E14" s="4" t="inlineStr">
        <is>
          <t>2024-03</t>
        </is>
      </c>
      <c r="F14" s="4" t="inlineStr">
        <is>
          <t>Published</t>
        </is>
      </c>
      <c r="G14" s="4" t="inlineStr">
        <is>
          <t>diffusion (SDAS strength-controllable)</t>
        </is>
      </c>
      <c r="H14" s="4" t="inlineStr">
        <is>
          <t>unsupervised / class-separated</t>
        </is>
      </c>
      <c r="I14" s="4" t="inlineStr">
        <is>
          <t>MVTec AD</t>
        </is>
      </c>
      <c r="J14" s="4" t="inlineStr">
        <is>
          <t>class-separated; category average</t>
        </is>
      </c>
      <c r="K14" s="4" t="inlineStr">
        <is>
          <t>99.65</t>
        </is>
      </c>
      <c r="L14" s="4" t="inlineStr">
        <is>
          <t>99.03</t>
        </is>
      </c>
      <c r="M14" s="4" t="inlineStr">
        <is>
          <t>93.07</t>
        </is>
      </c>
      <c r="N14" s="4" t="inlineStr">
        <is>
          <t>N/A</t>
        </is>
      </c>
      <c r="O14" s="4" t="inlineStr">
        <is>
          <t>N/A</t>
        </is>
      </c>
      <c r="P14" s="4" t="inlineStr">
        <is>
          <t>FID; downstream AUROC/PRO improvement</t>
        </is>
      </c>
      <c r="Q14" s="4" t="inlineStr">
        <is>
          <t>WideResNet50</t>
        </is>
      </c>
      <c r="R14" s="4" t="inlineStr">
        <is>
          <t>RealNet: Feature Selection Network with Realistic Synthetic Anomaly (SDAS); CVPR 2024; diffusion-based synthesis; does NOT require real anomaly images for synthesis; Paper-reported result</t>
        </is>
      </c>
      <c r="S14" s="5">
        <f>HYPERLINK("https://arxiv.org/abs/2403.05897","Link")</f>
        <v/>
      </c>
      <c r="T14" s="5">
        <f>HYPERLINK("https://github.com/cnulab/RealNet","GitHub")</f>
        <v/>
      </c>
    </row>
    <row r="15" ht="60" customHeight="1">
      <c r="A15" s="4" t="inlineStr">
        <is>
          <t>Generative-model-based Anomaly Synthesis</t>
        </is>
      </c>
      <c r="B15" s="4" t="inlineStr">
        <is>
          <t>AnomalyXFusion</t>
        </is>
      </c>
      <c r="C15" s="4" t="inlineStr">
        <is>
          <t>Hu et al.</t>
        </is>
      </c>
      <c r="D15" s="4" t="inlineStr">
        <is>
          <t>arXiv</t>
        </is>
      </c>
      <c r="E15" s="4" t="inlineStr">
        <is>
          <t>2024-04</t>
        </is>
      </c>
      <c r="F15" s="4" t="inlineStr">
        <is>
          <t>arXiv</t>
        </is>
      </c>
      <c r="G15" s="4" t="inlineStr">
        <is>
          <t>diffusion / multi-modal (image+text+mask)</t>
        </is>
      </c>
      <c r="H15" s="4" t="inlineStr">
        <is>
          <t>few-shot</t>
        </is>
      </c>
      <c r="I15" s="4" t="inlineStr">
        <is>
          <t>MVTec AD / LOCO</t>
        </is>
      </c>
      <c r="J15" s="4" t="inlineStr">
        <is>
          <t>class-separated; few-shot; uses real anomalies</t>
        </is>
      </c>
      <c r="K15" s="4" t="inlineStr">
        <is>
          <t>N/A</t>
        </is>
      </c>
      <c r="L15" s="4" t="inlineStr">
        <is>
          <t>N/A</t>
        </is>
      </c>
      <c r="M15" s="4" t="inlineStr">
        <is>
          <t>N/A</t>
        </is>
      </c>
      <c r="N15" s="4" t="inlineStr">
        <is>
          <t>N/A</t>
        </is>
      </c>
      <c r="O15" s="4" t="inlineStr">
        <is>
          <t>N/A</t>
        </is>
      </c>
      <c r="P15" s="4" t="inlineStr">
        <is>
          <t>FID; diversity; logical anomaly quality</t>
        </is>
      </c>
      <c r="Q15" s="4" t="inlineStr">
        <is>
          <t>LDM + Multi-modal Fusion</t>
        </is>
      </c>
      <c r="R15" s="4" t="inlineStr">
        <is>
          <t>Multi-modal Anomaly Synthesis with Diffusion; introduces MVTec Caption dataset; uses real anomalies — Data leakage risk; Unverified arXiv claim</t>
        </is>
      </c>
      <c r="S15" s="5">
        <f>HYPERLINK("https://arxiv.org/abs/2404.19444","Link")</f>
        <v/>
      </c>
      <c r="T15" s="4" t="inlineStr">
        <is>
          <t>N/A</t>
        </is>
      </c>
    </row>
    <row r="16" ht="60" customHeight="1">
      <c r="A16" s="2" t="inlineStr">
        <is>
          <t>Vision-language / Foundation-model-based Anomaly Synthesis</t>
        </is>
      </c>
      <c r="B16" s="2" t="inlineStr">
        <is>
          <t>AnomalyCLIP</t>
        </is>
      </c>
      <c r="C16" s="2" t="inlineStr">
        <is>
          <t>Zhou et al.</t>
        </is>
      </c>
      <c r="D16" s="2" t="inlineStr">
        <is>
          <t>ICLR 2024</t>
        </is>
      </c>
      <c r="E16" s="2" t="inlineStr">
        <is>
          <t>2024-00</t>
        </is>
      </c>
      <c r="F16" s="2" t="inlineStr">
        <is>
          <t>Published</t>
        </is>
      </c>
      <c r="G16" s="2" t="inlineStr">
        <is>
          <t>VLM / prompt-learning</t>
        </is>
      </c>
      <c r="H16" s="2" t="inlineStr">
        <is>
          <t>zero-shot</t>
        </is>
      </c>
      <c r="I16" s="2" t="inlineStr">
        <is>
          <t>MVTec AD</t>
        </is>
      </c>
      <c r="J16" s="2" t="inlineStr">
        <is>
          <t>class-separated; zero-shot; category average</t>
        </is>
      </c>
      <c r="K16" s="2" t="inlineStr">
        <is>
          <t>91.1</t>
        </is>
      </c>
      <c r="L16" s="2" t="inlineStr">
        <is>
          <t>N/A</t>
        </is>
      </c>
      <c r="M16" s="2" t="inlineStr">
        <is>
          <t>N/A</t>
        </is>
      </c>
      <c r="N16" s="2" t="inlineStr">
        <is>
          <t>N/A</t>
        </is>
      </c>
      <c r="O16" s="2" t="inlineStr">
        <is>
          <t>N/A</t>
        </is>
      </c>
      <c r="P16" s="2" t="inlineStr">
        <is>
          <t>N/A</t>
        </is>
      </c>
      <c r="Q16" s="2" t="inlineStr">
        <is>
          <t>CLIP ViT-L/14</t>
        </is>
      </c>
      <c r="R16" s="2" t="inlineStr">
        <is>
          <t>Object-agnostic Prompt Learning for Zero-shot Anomaly Detection; ICLR 2024; 17 datasets; Paper-reported result</t>
        </is>
      </c>
      <c r="S16" s="3">
        <f>HYPERLINK("https://arxiv.org/abs/2310.18961","Link")</f>
        <v/>
      </c>
      <c r="T16" s="3">
        <f>HYPERLINK("https://github.com/zqhang/AnomalyCLIP","GitHub")</f>
        <v/>
      </c>
    </row>
    <row r="17" ht="60" customHeight="1">
      <c r="A17" s="2" t="inlineStr">
        <is>
          <t>Vision-language / Foundation-model-based Anomaly Synthesis</t>
        </is>
      </c>
      <c r="B17" s="2" t="inlineStr">
        <is>
          <t>MuSc</t>
        </is>
      </c>
      <c r="C17" s="2" t="inlineStr">
        <is>
          <t>Li et al.</t>
        </is>
      </c>
      <c r="D17" s="2" t="inlineStr">
        <is>
          <t>ICLR 2024</t>
        </is>
      </c>
      <c r="E17" s="2" t="inlineStr">
        <is>
          <t>2024-01</t>
        </is>
      </c>
      <c r="F17" s="2" t="inlineStr">
        <is>
          <t>Published</t>
        </is>
      </c>
      <c r="G17" s="2" t="inlineStr">
        <is>
          <t>zero-shot / mutual scoring</t>
        </is>
      </c>
      <c r="H17" s="2" t="inlineStr">
        <is>
          <t>zero-shot</t>
        </is>
      </c>
      <c r="I17" s="2" t="inlineStr">
        <is>
          <t>MVTec AD</t>
        </is>
      </c>
      <c r="J17" s="2" t="inlineStr">
        <is>
          <t>class-separated; zero-shot; category average</t>
        </is>
      </c>
      <c r="K17" s="2" t="inlineStr">
        <is>
          <t>N/A</t>
        </is>
      </c>
      <c r="L17" s="2" t="inlineStr">
        <is>
          <t>N/A</t>
        </is>
      </c>
      <c r="M17" s="2" t="inlineStr">
        <is>
          <t>N/A</t>
        </is>
      </c>
      <c r="N17" s="2" t="inlineStr">
        <is>
          <t>N/A</t>
        </is>
      </c>
      <c r="O17" s="2" t="inlineStr">
        <is>
          <t>N/A</t>
        </is>
      </c>
      <c r="P17" s="2" t="inlineStr">
        <is>
          <t>N/A</t>
        </is>
      </c>
      <c r="Q17" s="2" t="inlineStr">
        <is>
          <t>DINOv2 ViT-L/14</t>
        </is>
      </c>
      <c r="R17" s="2" t="inlineStr">
        <is>
          <t>Zero-Shot Industrial Anomaly Classification and Segmentation with Mutual Scoring; ICLR 2024; +21.1 PRO vs prior zero-shot SOTA; Paper-reported result</t>
        </is>
      </c>
      <c r="S17" s="3">
        <f>HYPERLINK("https://arxiv.org/abs/2401.16753","Link")</f>
        <v/>
      </c>
      <c r="T17" s="3">
        <f>HYPERLINK("https://github.com/xrli-U/MuSc","GitHub")</f>
        <v/>
      </c>
    </row>
    <row r="18" ht="60" customHeight="1">
      <c r="A18" s="4" t="inlineStr">
        <is>
          <t>Generative-model-based Anomaly Synthesis</t>
        </is>
      </c>
      <c r="B18" s="4" t="inlineStr">
        <is>
          <t>DiAD</t>
        </is>
      </c>
      <c r="C18" s="4" t="inlineStr">
        <is>
          <t>He et al.</t>
        </is>
      </c>
      <c r="D18" s="4" t="inlineStr">
        <is>
          <t>AAAI 2024</t>
        </is>
      </c>
      <c r="E18" s="4" t="inlineStr">
        <is>
          <t>2024-00</t>
        </is>
      </c>
      <c r="F18" s="4" t="inlineStr">
        <is>
          <t>Published</t>
        </is>
      </c>
      <c r="G18" s="4" t="inlineStr">
        <is>
          <t>diffusion / reconstruction</t>
        </is>
      </c>
      <c r="H18" s="4" t="inlineStr">
        <is>
          <t>multi-class / unsupervised</t>
        </is>
      </c>
      <c r="I18" s="4" t="inlineStr">
        <is>
          <t>MVTec AD</t>
        </is>
      </c>
      <c r="J18" s="4" t="inlineStr">
        <is>
          <t>multi-class; category average</t>
        </is>
      </c>
      <c r="K18" s="4" t="inlineStr">
        <is>
          <t>97.2</t>
        </is>
      </c>
      <c r="L18" s="4" t="inlineStr">
        <is>
          <t>N/A</t>
        </is>
      </c>
      <c r="M18" s="4" t="inlineStr">
        <is>
          <t>N/A</t>
        </is>
      </c>
      <c r="N18" s="4" t="inlineStr">
        <is>
          <t>52.6 (P-AP)</t>
        </is>
      </c>
      <c r="O18" s="4" t="inlineStr">
        <is>
          <t>N/A</t>
        </is>
      </c>
      <c r="P18" s="4" t="inlineStr">
        <is>
          <t>N/A</t>
        </is>
      </c>
      <c r="Q18" s="4" t="inlineStr">
        <is>
          <t>Stable Diffusion + SG network</t>
        </is>
      </c>
      <c r="R18" s="4" t="inlineStr">
        <is>
          <t>Diffusion-based Framework for Multi-class Anomaly Detection; AAAI 2024; Paper-reported result</t>
        </is>
      </c>
      <c r="S18" s="5">
        <f>HYPERLINK("https://arxiv.org/abs/2312.06607","Link")</f>
        <v/>
      </c>
      <c r="T18" s="5">
        <f>HYPERLINK("https://github.com/lewandofskee/DiAD","GitHub")</f>
        <v/>
      </c>
    </row>
    <row r="19" ht="60" customHeight="1">
      <c r="A19" s="6" t="inlineStr">
        <is>
          <t>Downstream Synthesis-based AD / Segmentation</t>
        </is>
      </c>
      <c r="B19" s="6" t="inlineStr">
        <is>
          <t>EfficientAD</t>
        </is>
      </c>
      <c r="C19" s="6" t="inlineStr">
        <is>
          <t>Batzner et al.</t>
        </is>
      </c>
      <c r="D19" s="6" t="inlineStr">
        <is>
          <t>WACV 2024</t>
        </is>
      </c>
      <c r="E19" s="6" t="inlineStr">
        <is>
          <t>2024-00</t>
        </is>
      </c>
      <c r="F19" s="6" t="inlineStr">
        <is>
          <t>Published</t>
        </is>
      </c>
      <c r="G19" s="6" t="inlineStr">
        <is>
          <t>teacher-student / autoencoder</t>
        </is>
      </c>
      <c r="H19" s="6" t="inlineStr">
        <is>
          <t>unsupervised / class-separated</t>
        </is>
      </c>
      <c r="I19" s="6" t="inlineStr">
        <is>
          <t>MVTec AD</t>
        </is>
      </c>
      <c r="J19" s="6" t="inlineStr">
        <is>
          <t>class-separated; category average</t>
        </is>
      </c>
      <c r="K19" s="6" t="inlineStr">
        <is>
          <t>98.8</t>
        </is>
      </c>
      <c r="L19" s="6" t="inlineStr">
        <is>
          <t>N/A</t>
        </is>
      </c>
      <c r="M19" s="6" t="inlineStr">
        <is>
          <t>N/A</t>
        </is>
      </c>
      <c r="N19" s="6" t="inlineStr">
        <is>
          <t>N/A</t>
        </is>
      </c>
      <c r="O19" s="6" t="inlineStr">
        <is>
          <t>N/A</t>
        </is>
      </c>
      <c r="P19" s="6" t="inlineStr">
        <is>
          <t>N/A</t>
        </is>
      </c>
      <c r="Q19" s="6" t="inlineStr">
        <is>
          <t>PDN (Patch Descriptor Network) + autoencoder</t>
        </is>
      </c>
      <c r="R19" s="6" t="inlineStr">
        <is>
          <t>Accurate Visual Anomaly Detection at Millisecond-Level Latencies; WACV 2024; 2 ms latency; handles logical anomalies via autoencoder; Paper-reported result</t>
        </is>
      </c>
      <c r="S19" s="7">
        <f>HYPERLINK("https://arxiv.org/abs/2303.14535","Link")</f>
        <v/>
      </c>
      <c r="T19" s="6" t="inlineStr">
        <is>
          <t>N/A</t>
        </is>
      </c>
    </row>
    <row r="20" ht="60" customHeight="1">
      <c r="A20" s="6" t="inlineStr">
        <is>
          <t>Downstream Synthesis-based AD / Segmentation</t>
        </is>
      </c>
      <c r="B20" s="6" t="inlineStr">
        <is>
          <t>Real-IAD (dataset)</t>
        </is>
      </c>
      <c r="C20" s="6" t="inlineStr">
        <is>
          <t>Wang et al.</t>
        </is>
      </c>
      <c r="D20" s="6" t="inlineStr">
        <is>
          <t>CVPR 2024</t>
        </is>
      </c>
      <c r="E20" s="6" t="inlineStr">
        <is>
          <t>2024-00</t>
        </is>
      </c>
      <c r="F20" s="6" t="inlineStr">
        <is>
          <t>Published</t>
        </is>
      </c>
      <c r="G20" s="6" t="inlineStr">
        <is>
          <t>N/A (dataset paper)</t>
        </is>
      </c>
      <c r="H20" s="6" t="inlineStr">
        <is>
          <t>unsupervised / multi-view / FUIAD</t>
        </is>
      </c>
      <c r="I20" s="6" t="inlineStr">
        <is>
          <t>Real-IAD</t>
        </is>
      </c>
      <c r="J20" s="6" t="inlineStr">
        <is>
          <t>multi-view; sample-level; 30 categories; 150K images</t>
        </is>
      </c>
      <c r="K20" s="6" t="inlineStr">
        <is>
          <t>N/A</t>
        </is>
      </c>
      <c r="L20" s="6" t="inlineStr">
        <is>
          <t>N/A</t>
        </is>
      </c>
      <c r="M20" s="6" t="inlineStr">
        <is>
          <t>N/A</t>
        </is>
      </c>
      <c r="N20" s="6" t="inlineStr">
        <is>
          <t>N/A</t>
        </is>
      </c>
      <c r="O20" s="6" t="inlineStr">
        <is>
          <t>N/A</t>
        </is>
      </c>
      <c r="P20" s="6" t="inlineStr">
        <is>
          <t>N/A</t>
        </is>
      </c>
      <c r="Q20" s="6" t="inlineStr">
        <is>
          <t>Multiple (PatchCore, SimpleNet, etc.)</t>
        </is>
      </c>
      <c r="R20" s="6" t="inlineStr">
        <is>
          <t>Real-World Multi-View Dataset for Benchmarking Versatile Industrial Anomaly Detection; CVPR 2024; introduces FUIAD protocol; Official dataset page</t>
        </is>
      </c>
      <c r="S20" s="7">
        <f>HYPERLINK("https://arxiv.org/abs/2403.12580","Link")</f>
        <v/>
      </c>
      <c r="T20" s="7">
        <f>HYPERLINK("https://realiad4ad.github.io/Real-IAD/","GitHub")</f>
        <v/>
      </c>
    </row>
    <row r="21" ht="60" customHeight="1">
      <c r="A21" s="6" t="inlineStr">
        <is>
          <t>Downstream Synthesis-based AD / Segmentation</t>
        </is>
      </c>
      <c r="B21" s="6" t="inlineStr">
        <is>
          <t>SimpleNet</t>
        </is>
      </c>
      <c r="C21" s="6" t="inlineStr">
        <is>
          <t>Liu et al.</t>
        </is>
      </c>
      <c r="D21" s="6" t="inlineStr">
        <is>
          <t>CVPR 2023</t>
        </is>
      </c>
      <c r="E21" s="6" t="inlineStr">
        <is>
          <t>2023-03</t>
        </is>
      </c>
      <c r="F21" s="6" t="inlineStr">
        <is>
          <t>Published</t>
        </is>
      </c>
      <c r="G21" s="6" t="inlineStr">
        <is>
          <t>feature-space / Gaussian noise</t>
        </is>
      </c>
      <c r="H21" s="6" t="inlineStr">
        <is>
          <t>unsupervised / class-separated</t>
        </is>
      </c>
      <c r="I21" s="6" t="inlineStr">
        <is>
          <t>MVTec AD</t>
        </is>
      </c>
      <c r="J21" s="6" t="inlineStr">
        <is>
          <t>class-separated; category average; one-class</t>
        </is>
      </c>
      <c r="K21" s="6" t="inlineStr">
        <is>
          <t>99.6</t>
        </is>
      </c>
      <c r="L21" s="6" t="inlineStr">
        <is>
          <t>N/A</t>
        </is>
      </c>
      <c r="M21" s="6" t="inlineStr">
        <is>
          <t>N/A</t>
        </is>
      </c>
      <c r="N21" s="6" t="inlineStr">
        <is>
          <t>N/A</t>
        </is>
      </c>
      <c r="O21" s="6" t="inlineStr">
        <is>
          <t>N/A</t>
        </is>
      </c>
      <c r="P21" s="6" t="inlineStr">
        <is>
          <t>N/A</t>
        </is>
      </c>
      <c r="Q21" s="6" t="inlineStr">
        <is>
          <t>WideResNet50</t>
        </is>
      </c>
      <c r="R21" s="6" t="inlineStr">
        <is>
          <t>Simple Network for Image Anomaly Detection and Localization; CVPR 2023; adds Gaussian noise to adapted features to synthesize anomalies in feature space; Paper-reported result</t>
        </is>
      </c>
      <c r="S21" s="7">
        <f>HYPERLINK("https://arxiv.org/abs/2303.15140","Link")</f>
        <v/>
      </c>
      <c r="T21" s="7">
        <f>HYPERLINK("https://github.com/DonaldRR/SimpleNet","GitHub")</f>
        <v/>
      </c>
    </row>
    <row r="22" ht="60" customHeight="1">
      <c r="A22" s="6" t="inlineStr">
        <is>
          <t>Downstream Synthesis-based AD / Segmentation</t>
        </is>
      </c>
      <c r="B22" s="6" t="inlineStr">
        <is>
          <t>DeSTSeg</t>
        </is>
      </c>
      <c r="C22" s="6" t="inlineStr">
        <is>
          <t>Zhang et al.</t>
        </is>
      </c>
      <c r="D22" s="6" t="inlineStr">
        <is>
          <t>CVPR 2023</t>
        </is>
      </c>
      <c r="E22" s="6" t="inlineStr">
        <is>
          <t>2023-00</t>
        </is>
      </c>
      <c r="F22" s="6" t="inlineStr">
        <is>
          <t>Published</t>
        </is>
      </c>
      <c r="G22" s="6" t="inlineStr">
        <is>
          <t>Perlin noise / texture synthesis</t>
        </is>
      </c>
      <c r="H22" s="6" t="inlineStr">
        <is>
          <t>unsupervised / class-separated</t>
        </is>
      </c>
      <c r="I22" s="6" t="inlineStr">
        <is>
          <t>MVTec AD</t>
        </is>
      </c>
      <c r="J22" s="6" t="inlineStr">
        <is>
          <t>class-separated; category average</t>
        </is>
      </c>
      <c r="K22" s="6" t="inlineStr">
        <is>
          <t>98.6</t>
        </is>
      </c>
      <c r="L22" s="6" t="inlineStr">
        <is>
          <t>N/A</t>
        </is>
      </c>
      <c r="M22" s="6" t="inlineStr">
        <is>
          <t>N/A</t>
        </is>
      </c>
      <c r="N22" s="6" t="inlineStr">
        <is>
          <t>75.8 (P-AP)</t>
        </is>
      </c>
      <c r="O22" s="6" t="inlineStr">
        <is>
          <t>76.4 (I-AP instance)</t>
        </is>
      </c>
      <c r="P22" s="6" t="inlineStr">
        <is>
          <t>N/A</t>
        </is>
      </c>
      <c r="Q22" s="6" t="inlineStr">
        <is>
          <t>WideResNet101 (teacher) + U-Net (student)</t>
        </is>
      </c>
      <c r="R22" s="6" t="inlineStr">
        <is>
          <t>Segmentation Guided Denoising Student-Teacher for Anomaly Detection; CVPR 2023; trains on synthetically corrupted images; apple/ml-destseg official; Paper-reported result</t>
        </is>
      </c>
      <c r="S22" s="7">
        <f>HYPERLINK("https://arxiv.org/abs/2211.11317","Link")</f>
        <v/>
      </c>
      <c r="T22" s="7">
        <f>HYPERLINK("https://github.com/apple/ml-destseg","GitHub")</f>
        <v/>
      </c>
    </row>
    <row r="23" ht="60" customHeight="1">
      <c r="A23" s="2" t="inlineStr">
        <is>
          <t>Vision-language / Foundation-model-based Anomaly Synthesis</t>
        </is>
      </c>
      <c r="B23" s="2" t="inlineStr">
        <is>
          <t>WinCLIP</t>
        </is>
      </c>
      <c r="C23" s="2" t="inlineStr">
        <is>
          <t>Jeong et al.</t>
        </is>
      </c>
      <c r="D23" s="2" t="inlineStr">
        <is>
          <t>CVPR 2023</t>
        </is>
      </c>
      <c r="E23" s="2" t="inlineStr">
        <is>
          <t>2023-03</t>
        </is>
      </c>
      <c r="F23" s="2" t="inlineStr">
        <is>
          <t>Published</t>
        </is>
      </c>
      <c r="G23" s="2" t="inlineStr">
        <is>
          <t>VLM / window CLIP</t>
        </is>
      </c>
      <c r="H23" s="2" t="inlineStr">
        <is>
          <t>zero-shot / few-shot</t>
        </is>
      </c>
      <c r="I23" s="2" t="inlineStr">
        <is>
          <t>MVTec AD</t>
        </is>
      </c>
      <c r="J23" s="2" t="inlineStr">
        <is>
          <t>class-separated; zero-shot + 1-normal-shot</t>
        </is>
      </c>
      <c r="K23" s="2" t="inlineStr">
        <is>
          <t>91.8 (zero-shot) / 93.1 (1-shot)</t>
        </is>
      </c>
      <c r="L23" s="2" t="inlineStr">
        <is>
          <t>85.1 (zero-shot) / 95.2 (1-shot)</t>
        </is>
      </c>
      <c r="M23" s="2" t="inlineStr">
        <is>
          <t>N/A</t>
        </is>
      </c>
      <c r="N23" s="2" t="inlineStr">
        <is>
          <t>N/A</t>
        </is>
      </c>
      <c r="O23" s="2" t="inlineStr">
        <is>
          <t>N/A</t>
        </is>
      </c>
      <c r="P23" s="2" t="inlineStr">
        <is>
          <t>N/A</t>
        </is>
      </c>
      <c r="Q23" s="2" t="inlineStr">
        <is>
          <t>CLIP ViT-B/16+</t>
        </is>
      </c>
      <c r="R23" s="2" t="inlineStr">
        <is>
          <t>Zero-/Few-Shot Anomaly Classification and Segmentation; CVPR 2023; compositional ensemble; Paper-reported result</t>
        </is>
      </c>
      <c r="S23" s="3">
        <f>HYPERLINK("https://arxiv.org/abs/2303.14814","Link")</f>
        <v/>
      </c>
      <c r="T23" s="2" t="inlineStr">
        <is>
          <t>N/A</t>
        </is>
      </c>
    </row>
    <row r="24" ht="60" customHeight="1">
      <c r="A24" s="2" t="inlineStr">
        <is>
          <t>Vision-language / Foundation-model-based Anomaly Synthesis</t>
        </is>
      </c>
      <c r="B24" s="2" t="inlineStr">
        <is>
          <t>WinCLIP</t>
        </is>
      </c>
      <c r="C24" s="2" t="inlineStr">
        <is>
          <t>Jeong et al.</t>
        </is>
      </c>
      <c r="D24" s="2" t="inlineStr">
        <is>
          <t>CVPR 2023</t>
        </is>
      </c>
      <c r="E24" s="2" t="inlineStr">
        <is>
          <t>2023-03</t>
        </is>
      </c>
      <c r="F24" s="2" t="inlineStr">
        <is>
          <t>Published</t>
        </is>
      </c>
      <c r="G24" s="2" t="inlineStr">
        <is>
          <t>VLM / window CLIP</t>
        </is>
      </c>
      <c r="H24" s="2" t="inlineStr">
        <is>
          <t>zero-shot / few-shot</t>
        </is>
      </c>
      <c r="I24" s="2" t="inlineStr">
        <is>
          <t>VisA</t>
        </is>
      </c>
      <c r="J24" s="2" t="inlineStr">
        <is>
          <t>class-separated; zero-shot + 1-normal-shot</t>
        </is>
      </c>
      <c r="K24" s="2" t="inlineStr">
        <is>
          <t>78.1 (zero-shot) / 83.8 (1-shot)</t>
        </is>
      </c>
      <c r="L24" s="2" t="inlineStr">
        <is>
          <t>79.6 (zero-shot) / 96.4 (1-shot)</t>
        </is>
      </c>
      <c r="M24" s="2" t="inlineStr">
        <is>
          <t>N/A</t>
        </is>
      </c>
      <c r="N24" s="2" t="inlineStr">
        <is>
          <t>N/A</t>
        </is>
      </c>
      <c r="O24" s="2" t="inlineStr">
        <is>
          <t>N/A</t>
        </is>
      </c>
      <c r="P24" s="2" t="inlineStr">
        <is>
          <t>N/A</t>
        </is>
      </c>
      <c r="Q24" s="2" t="inlineStr">
        <is>
          <t>CLIP ViT-B/16+</t>
        </is>
      </c>
      <c r="R24" s="2" t="inlineStr">
        <is>
          <t>Paper-reported result; Not directly comparable: zero-shot vs 1-shot splits differ from standard unsupervised</t>
        </is>
      </c>
      <c r="S24" s="3">
        <f>HYPERLINK("https://arxiv.org/abs/2303.14814","Link")</f>
        <v/>
      </c>
      <c r="T24" s="2" t="inlineStr">
        <is>
          <t>N/A</t>
        </is>
      </c>
    </row>
    <row r="25" ht="60" customHeight="1">
      <c r="A25" s="4" t="inlineStr">
        <is>
          <t>Generative-model-based Anomaly Synthesis</t>
        </is>
      </c>
      <c r="B25" s="4" t="inlineStr">
        <is>
          <t>AnomalyDiffusion</t>
        </is>
      </c>
      <c r="C25" s="4" t="inlineStr">
        <is>
          <t>Hu et al.</t>
        </is>
      </c>
      <c r="D25" s="4" t="inlineStr">
        <is>
          <t>AAAI 2024</t>
        </is>
      </c>
      <c r="E25" s="4" t="inlineStr">
        <is>
          <t>2023-12</t>
        </is>
      </c>
      <c r="F25" s="4" t="inlineStr">
        <is>
          <t>Published</t>
        </is>
      </c>
      <c r="G25" s="4" t="inlineStr">
        <is>
          <t>diffusion / LDM few-shot</t>
        </is>
      </c>
      <c r="H25" s="4" t="inlineStr">
        <is>
          <t>few-shot (uses real anomalies)</t>
        </is>
      </c>
      <c r="I25" s="4" t="inlineStr">
        <is>
          <t>MVTec AD</t>
        </is>
      </c>
      <c r="J25" s="4" t="inlineStr">
        <is>
          <t>class-separated; few-shot; category average</t>
        </is>
      </c>
      <c r="K25" s="4" t="inlineStr">
        <is>
          <t>N/A</t>
        </is>
      </c>
      <c r="L25" s="4" t="inlineStr">
        <is>
          <t>99.1</t>
        </is>
      </c>
      <c r="M25" s="4" t="inlineStr">
        <is>
          <t>N/A</t>
        </is>
      </c>
      <c r="N25" s="4" t="inlineStr">
        <is>
          <t>81.4 (P-AP)</t>
        </is>
      </c>
      <c r="O25" s="4" t="inlineStr">
        <is>
          <t>N/A</t>
        </is>
      </c>
      <c r="P25" s="4" t="inlineStr">
        <is>
          <t>FID; diversity (LPIPS)</t>
        </is>
      </c>
      <c r="Q25" s="4" t="inlineStr">
        <is>
          <t>LDM (Stable Diffusion) + Spatial Anomaly Embedding</t>
        </is>
      </c>
      <c r="R25" s="4" t="inlineStr">
        <is>
          <t>Few-Shot Anomaly Image Generation with Diffusion Model; AAAI 2024; requires real anomaly samples for fine-tuning — Data leakage risk; Paper-reported result</t>
        </is>
      </c>
      <c r="S25" s="5">
        <f>HYPERLINK("https://arxiv.org/abs/2312.05767","Link")</f>
        <v/>
      </c>
      <c r="T25" s="4" t="inlineStr">
        <is>
          <t>N/A</t>
        </is>
      </c>
    </row>
    <row r="26" ht="60" customHeight="1">
      <c r="A26" s="8" t="inlineStr">
        <is>
          <t>Distribution-hypothesis / Feature-space Anomaly Synthesis</t>
        </is>
      </c>
      <c r="B26" s="8" t="inlineStr">
        <is>
          <t>BGAD</t>
        </is>
      </c>
      <c r="C26" s="8" t="inlineStr">
        <is>
          <t>Yao et al.</t>
        </is>
      </c>
      <c r="D26" s="8" t="inlineStr">
        <is>
          <t>CVPR 2023</t>
        </is>
      </c>
      <c r="E26" s="8" t="inlineStr">
        <is>
          <t>2023-00</t>
        </is>
      </c>
      <c r="F26" s="8" t="inlineStr">
        <is>
          <t>Published</t>
        </is>
      </c>
      <c r="G26" s="8" t="inlineStr">
        <is>
          <t>boundary-guided / contrastive</t>
        </is>
      </c>
      <c r="H26" s="8" t="inlineStr">
        <is>
          <t>weakly supervised</t>
        </is>
      </c>
      <c r="I26" s="8" t="inlineStr">
        <is>
          <t>MVTec AD</t>
        </is>
      </c>
      <c r="J26" s="8" t="inlineStr">
        <is>
          <t>class-separated; uses few real anomaly samples (weakly supervised)</t>
        </is>
      </c>
      <c r="K26" s="8" t="inlineStr">
        <is>
          <t>N/A</t>
        </is>
      </c>
      <c r="L26" s="8" t="inlineStr">
        <is>
          <t>N/A</t>
        </is>
      </c>
      <c r="M26" s="8" t="inlineStr">
        <is>
          <t>N/A</t>
        </is>
      </c>
      <c r="N26" s="8" t="inlineStr">
        <is>
          <t>N/A</t>
        </is>
      </c>
      <c r="O26" s="8" t="inlineStr">
        <is>
          <t>N/A</t>
        </is>
      </c>
      <c r="P26" s="8" t="inlineStr">
        <is>
          <t>N/A</t>
        </is>
      </c>
      <c r="Q26" s="8" t="inlineStr">
        <is>
          <t>WideResNet50</t>
        </is>
      </c>
      <c r="R26" s="8" t="inlineStr">
        <is>
          <t>Explicit Boundary Guided Semi-Push-Pull Contrastive Learning; CVPR 2023; supervised/weakly-supervised setting — uses real anomalies; Data leakage risk; Paper-reported result</t>
        </is>
      </c>
      <c r="S26" s="9">
        <f>HYPERLINK("https://arxiv.org/abs/2207.01463","Link")</f>
        <v/>
      </c>
      <c r="T26" s="9">
        <f>HYPERLINK("https://github.com/xcyao00/BGAD","GitHub")</f>
        <v/>
      </c>
    </row>
    <row r="27" ht="60" customHeight="1">
      <c r="A27" s="4" t="inlineStr">
        <is>
          <t>Generative-model-based Anomaly Synthesis</t>
        </is>
      </c>
      <c r="B27" s="4" t="inlineStr">
        <is>
          <t>DFMGAN</t>
        </is>
      </c>
      <c r="C27" s="4" t="inlineStr">
        <is>
          <t>Duan et al.</t>
        </is>
      </c>
      <c r="D27" s="4" t="inlineStr">
        <is>
          <t>AAAI 2023</t>
        </is>
      </c>
      <c r="E27" s="4" t="inlineStr">
        <is>
          <t>2023-00</t>
        </is>
      </c>
      <c r="F27" s="4" t="inlineStr">
        <is>
          <t>Published</t>
        </is>
      </c>
      <c r="G27" s="4" t="inlineStr">
        <is>
          <t>GAN / defect-aware feature manipulation</t>
        </is>
      </c>
      <c r="H27" s="4" t="inlineStr">
        <is>
          <t>few-shot (uses real anomalies)</t>
        </is>
      </c>
      <c r="I27" s="4" t="inlineStr">
        <is>
          <t>MVTec AD</t>
        </is>
      </c>
      <c r="J27" s="4" t="inlineStr">
        <is>
          <t>class-separated; few-shot; uses real anomaly images</t>
        </is>
      </c>
      <c r="K27" s="4" t="inlineStr">
        <is>
          <t>N/A</t>
        </is>
      </c>
      <c r="L27" s="4" t="inlineStr">
        <is>
          <t>N/A</t>
        </is>
      </c>
      <c r="M27" s="4" t="inlineStr">
        <is>
          <t>N/A</t>
        </is>
      </c>
      <c r="N27" s="4" t="inlineStr">
        <is>
          <t>N/A</t>
        </is>
      </c>
      <c r="O27" s="4" t="inlineStr">
        <is>
          <t>N/A</t>
        </is>
      </c>
      <c r="P27" s="4" t="inlineStr">
        <is>
          <t>FID; downstream I-AUROC improvement</t>
        </is>
      </c>
      <c r="Q27" s="4" t="inlineStr">
        <is>
          <t>StyleGAN2 backbone + defect-aware residual blocks</t>
        </is>
      </c>
      <c r="R27" s="4" t="inlineStr">
        <is>
          <t>Few-Shot Defect Image Generation via Defect-Aware Feature Manipulation; AAAI 2023; requires few-shot real anomaly images — Data leakage risk; Paper-reported result</t>
        </is>
      </c>
      <c r="S27" s="5">
        <f>HYPERLINK("https://arxiv.org/abs/2303.02389","Link")</f>
        <v/>
      </c>
      <c r="T27" s="5">
        <f>HYPERLINK("https://github.com/Ldhlwh/DFMGAN","GitHub")</f>
        <v/>
      </c>
    </row>
    <row r="28" ht="60" customHeight="1">
      <c r="A28" s="10" t="inlineStr">
        <is>
          <t>Hand-crafted / Rule-based Anomaly Synthesis</t>
        </is>
      </c>
      <c r="B28" s="10" t="inlineStr">
        <is>
          <t>NSA</t>
        </is>
      </c>
      <c r="C28" s="10" t="inlineStr">
        <is>
          <t>Schlüter et al.</t>
        </is>
      </c>
      <c r="D28" s="10" t="inlineStr">
        <is>
          <t>ECCV 2022</t>
        </is>
      </c>
      <c r="E28" s="10" t="inlineStr">
        <is>
          <t>2022-07</t>
        </is>
      </c>
      <c r="F28" s="10" t="inlineStr">
        <is>
          <t>Published</t>
        </is>
      </c>
      <c r="G28" s="10" t="inlineStr">
        <is>
          <t>Poisson blending / cut-paste</t>
        </is>
      </c>
      <c r="H28" s="10" t="inlineStr">
        <is>
          <t>unsupervised / class-separated</t>
        </is>
      </c>
      <c r="I28" s="10" t="inlineStr">
        <is>
          <t>MVTec AD</t>
        </is>
      </c>
      <c r="J28" s="10" t="inlineStr">
        <is>
          <t>class-separated; category average</t>
        </is>
      </c>
      <c r="K28" s="10" t="inlineStr">
        <is>
          <t>97.2</t>
        </is>
      </c>
      <c r="L28" s="10" t="inlineStr">
        <is>
          <t>N/A</t>
        </is>
      </c>
      <c r="M28" s="10" t="inlineStr">
        <is>
          <t>N/A</t>
        </is>
      </c>
      <c r="N28" s="10" t="inlineStr">
        <is>
          <t>N/A</t>
        </is>
      </c>
      <c r="O28" s="10" t="inlineStr">
        <is>
          <t>N/A</t>
        </is>
      </c>
      <c r="P28" s="10" t="inlineStr">
        <is>
          <t>N/A</t>
        </is>
      </c>
      <c r="Q28" s="10" t="inlineStr">
        <is>
          <t>ResNet-like encoder-decoder</t>
        </is>
      </c>
      <c r="R28" s="10" t="inlineStr">
        <is>
          <t>Natural Synthetic Anomalies for Self-Supervised Anomaly Detection and Localization; ECCV 2022; Poisson image editing for seamless anomaly blending; Paper-reported result</t>
        </is>
      </c>
      <c r="S28" s="11">
        <f>HYPERLINK("https://arxiv.org/abs/2109.15222","Link")</f>
        <v/>
      </c>
      <c r="T28" s="11">
        <f>HYPERLINK("https://github.com/hmsch/natural-synthetic-anomalies","GitHub")</f>
        <v/>
      </c>
    </row>
    <row r="29" ht="60" customHeight="1">
      <c r="A29" s="6" t="inlineStr">
        <is>
          <t>Downstream Synthesis-based AD / Segmentation</t>
        </is>
      </c>
      <c r="B29" s="6" t="inlineStr">
        <is>
          <t>PatchCore</t>
        </is>
      </c>
      <c r="C29" s="6" t="inlineStr">
        <is>
          <t>Roth et al.</t>
        </is>
      </c>
      <c r="D29" s="6" t="inlineStr">
        <is>
          <t>CVPR 2022</t>
        </is>
      </c>
      <c r="E29" s="6" t="inlineStr">
        <is>
          <t>2022-00</t>
        </is>
      </c>
      <c r="F29" s="6" t="inlineStr">
        <is>
          <t>Published</t>
        </is>
      </c>
      <c r="G29" s="6" t="inlineStr">
        <is>
          <t>memory bank / nearest-neighbor</t>
        </is>
      </c>
      <c r="H29" s="6" t="inlineStr">
        <is>
          <t>unsupervised / class-separated</t>
        </is>
      </c>
      <c r="I29" s="6" t="inlineStr">
        <is>
          <t>MVTec AD</t>
        </is>
      </c>
      <c r="J29" s="6" t="inlineStr">
        <is>
          <t>class-separated; category average; one-class</t>
        </is>
      </c>
      <c r="K29" s="6" t="inlineStr">
        <is>
          <t>99.6</t>
        </is>
      </c>
      <c r="L29" s="6" t="inlineStr">
        <is>
          <t>N/A</t>
        </is>
      </c>
      <c r="M29" s="6" t="inlineStr">
        <is>
          <t>N/A</t>
        </is>
      </c>
      <c r="N29" s="6" t="inlineStr">
        <is>
          <t>N/A</t>
        </is>
      </c>
      <c r="O29" s="6" t="inlineStr">
        <is>
          <t>N/A</t>
        </is>
      </c>
      <c r="P29" s="6" t="inlineStr">
        <is>
          <t>N/A</t>
        </is>
      </c>
      <c r="Q29" s="6" t="inlineStr">
        <is>
          <t>WideResNet50 / ResNet18</t>
        </is>
      </c>
      <c r="R29" s="6" t="inlineStr">
        <is>
          <t>Towards Total Recall in Industrial Anomaly Detection; CVPR 2022; no synthesis — memory bank nearest-neighbor baseline; widely used as baseline; Paper-reported result</t>
        </is>
      </c>
      <c r="S29" s="7">
        <f>HYPERLINK("https://arxiv.org/abs/2106.08265","Link")</f>
        <v/>
      </c>
      <c r="T29" s="7">
        <f>HYPERLINK("https://github.com/amazon-science/patchcore-inspection","GitHub")</f>
        <v/>
      </c>
    </row>
    <row r="30" ht="60" customHeight="1">
      <c r="A30" s="6" t="inlineStr">
        <is>
          <t>Downstream Synthesis-based AD / Segmentation</t>
        </is>
      </c>
      <c r="B30" s="6" t="inlineStr">
        <is>
          <t>UniAD</t>
        </is>
      </c>
      <c r="C30" s="6" t="inlineStr">
        <is>
          <t>You et al.</t>
        </is>
      </c>
      <c r="D30" s="6" t="inlineStr">
        <is>
          <t>NeurIPS 2022</t>
        </is>
      </c>
      <c r="E30" s="6" t="inlineStr">
        <is>
          <t>2022-06</t>
        </is>
      </c>
      <c r="F30" s="6" t="inlineStr">
        <is>
          <t>Published</t>
        </is>
      </c>
      <c r="G30" s="6" t="inlineStr">
        <is>
          <t>feature jittering / multi-class reconstruction</t>
        </is>
      </c>
      <c r="H30" s="6" t="inlineStr">
        <is>
          <t>multi-class / unsupervised</t>
        </is>
      </c>
      <c r="I30" s="6" t="inlineStr">
        <is>
          <t>MVTec AD</t>
        </is>
      </c>
      <c r="J30" s="6" t="inlineStr">
        <is>
          <t>multi-class; 15 categories unified; category average</t>
        </is>
      </c>
      <c r="K30" s="6" t="inlineStr">
        <is>
          <t>96.5</t>
        </is>
      </c>
      <c r="L30" s="6" t="inlineStr">
        <is>
          <t>96.8</t>
        </is>
      </c>
      <c r="M30" s="6" t="inlineStr">
        <is>
          <t>N/A</t>
        </is>
      </c>
      <c r="N30" s="6" t="inlineStr">
        <is>
          <t>N/A</t>
        </is>
      </c>
      <c r="O30" s="6" t="inlineStr">
        <is>
          <t>N/A</t>
        </is>
      </c>
      <c r="P30" s="6" t="inlineStr">
        <is>
          <t>N/A</t>
        </is>
      </c>
      <c r="Q30" s="6" t="inlineStr">
        <is>
          <t>Transformer (query decoder)</t>
        </is>
      </c>
      <c r="R30" s="6" t="inlineStr">
        <is>
          <t>Unified Model for Multi-class Anomaly Detection; NeurIPS 2022 Spotlight; feature jittering forces reconstruction of correct features; first strong multi-class AD baseline; Paper-reported result</t>
        </is>
      </c>
      <c r="S30" s="7">
        <f>HYPERLINK("https://arxiv.org/abs/2206.03687","Link")</f>
        <v/>
      </c>
      <c r="T30" s="7">
        <f>HYPERLINK("https://github.com/zhiyuanyou/UniAD","GitHub")</f>
        <v/>
      </c>
    </row>
    <row r="31" ht="60" customHeight="1">
      <c r="A31" s="6" t="inlineStr">
        <is>
          <t>Downstream Synthesis-based AD / Segmentation</t>
        </is>
      </c>
      <c r="B31" s="6" t="inlineStr">
        <is>
          <t>FastFlow</t>
        </is>
      </c>
      <c r="C31" s="6" t="inlineStr">
        <is>
          <t>Yu et al.</t>
        </is>
      </c>
      <c r="D31" s="6" t="inlineStr">
        <is>
          <t>arXiv</t>
        </is>
      </c>
      <c r="E31" s="6" t="inlineStr">
        <is>
          <t>2022-00</t>
        </is>
      </c>
      <c r="F31" s="6" t="inlineStr">
        <is>
          <t>arXiv / Reproduced</t>
        </is>
      </c>
      <c r="G31" s="6" t="inlineStr">
        <is>
          <t>normalizing flow</t>
        </is>
      </c>
      <c r="H31" s="6" t="inlineStr">
        <is>
          <t>unsupervised / class-separated</t>
        </is>
      </c>
      <c r="I31" s="6" t="inlineStr">
        <is>
          <t>MVTec AD</t>
        </is>
      </c>
      <c r="J31" s="6" t="inlineStr">
        <is>
          <t>class-separated; category average</t>
        </is>
      </c>
      <c r="K31" s="6" t="inlineStr">
        <is>
          <t>99.4</t>
        </is>
      </c>
      <c r="L31" s="6" t="inlineStr">
        <is>
          <t>N/A</t>
        </is>
      </c>
      <c r="M31" s="6" t="inlineStr">
        <is>
          <t>N/A</t>
        </is>
      </c>
      <c r="N31" s="6" t="inlineStr">
        <is>
          <t>N/A</t>
        </is>
      </c>
      <c r="O31" s="6" t="inlineStr">
        <is>
          <t>N/A</t>
        </is>
      </c>
      <c r="P31" s="6" t="inlineStr">
        <is>
          <t>N/A</t>
        </is>
      </c>
      <c r="Q31" s="6" t="inlineStr">
        <is>
          <t>ResNet / ViT backbone + 2D NF</t>
        </is>
      </c>
      <c r="R31" s="6" t="inlineStr">
        <is>
          <t>Unsupervised Anomaly Detection and Localization via 2D Normalizing Flows; widely cited; no synthesis — flow-based density estimation; Paper-reported result</t>
        </is>
      </c>
      <c r="S31" s="7">
        <f>HYPERLINK("https://arxiv.org/abs/2111.07677","Link")</f>
        <v/>
      </c>
      <c r="T31" s="6" t="inlineStr">
        <is>
          <t>N/A</t>
        </is>
      </c>
    </row>
    <row r="32" ht="60" customHeight="1">
      <c r="A32" s="10" t="inlineStr">
        <is>
          <t>Hand-crafted / Rule-based Anomaly Synthesis</t>
        </is>
      </c>
      <c r="B32" s="10" t="inlineStr">
        <is>
          <t>DRAEM</t>
        </is>
      </c>
      <c r="C32" s="10" t="inlineStr">
        <is>
          <t>Zavrtanik et al.</t>
        </is>
      </c>
      <c r="D32" s="10" t="inlineStr">
        <is>
          <t>ICCV 2021</t>
        </is>
      </c>
      <c r="E32" s="10" t="inlineStr">
        <is>
          <t>2021-08</t>
        </is>
      </c>
      <c r="F32" s="10" t="inlineStr">
        <is>
          <t>Published</t>
        </is>
      </c>
      <c r="G32" s="10" t="inlineStr">
        <is>
          <t>Perlin noise + DTD texture synthesis</t>
        </is>
      </c>
      <c r="H32" s="10" t="inlineStr">
        <is>
          <t>unsupervised / class-separated</t>
        </is>
      </c>
      <c r="I32" s="10" t="inlineStr">
        <is>
          <t>MVTec AD</t>
        </is>
      </c>
      <c r="J32" s="10" t="inlineStr">
        <is>
          <t>class-separated; category average; one-class</t>
        </is>
      </c>
      <c r="K32" s="10" t="inlineStr">
        <is>
          <t>98.0</t>
        </is>
      </c>
      <c r="L32" s="10" t="inlineStr">
        <is>
          <t>97.3</t>
        </is>
      </c>
      <c r="M32" s="10" t="inlineStr">
        <is>
          <t>N/A</t>
        </is>
      </c>
      <c r="N32" s="10" t="inlineStr">
        <is>
          <t>68.9 (P-AP)</t>
        </is>
      </c>
      <c r="O32" s="10" t="inlineStr">
        <is>
          <t>N/A</t>
        </is>
      </c>
      <c r="P32" s="10" t="inlineStr">
        <is>
          <t>N/A</t>
        </is>
      </c>
      <c r="Q32" s="10" t="inlineStr">
        <is>
          <t>U-Net (reconstructive) + discriminative sub-net</t>
        </is>
      </c>
      <c r="R32" s="10" t="inlineStr">
        <is>
          <t>Discriminatively Trained Reconstruction Embedding for Surface Anomaly Detection; ICCV 2021; Perlin noise mask + DTD textures; seminal anomaly synthesis paper; Paper-reported result</t>
        </is>
      </c>
      <c r="S32" s="11">
        <f>HYPERLINK("https://arxiv.org/abs/2108.07610","Link")</f>
        <v/>
      </c>
      <c r="T32" s="11">
        <f>HYPERLINK("https://github.com/VitjanZ/DRAEM","GitHub")</f>
        <v/>
      </c>
    </row>
    <row r="33" ht="60" customHeight="1">
      <c r="A33" s="10" t="inlineStr">
        <is>
          <t>Hand-crafted / Rule-based Anomaly Synthesis</t>
        </is>
      </c>
      <c r="B33" s="10" t="inlineStr">
        <is>
          <t>CutPaste</t>
        </is>
      </c>
      <c r="C33" s="10" t="inlineStr">
        <is>
          <t>Li et al.</t>
        </is>
      </c>
      <c r="D33" s="10" t="inlineStr">
        <is>
          <t>CVPR 2021</t>
        </is>
      </c>
      <c r="E33" s="10" t="inlineStr">
        <is>
          <t>2021-04</t>
        </is>
      </c>
      <c r="F33" s="10" t="inlineStr">
        <is>
          <t>Published</t>
        </is>
      </c>
      <c r="G33" s="10" t="inlineStr">
        <is>
          <t>cut-paste / self-supervised</t>
        </is>
      </c>
      <c r="H33" s="10" t="inlineStr">
        <is>
          <t>unsupervised / class-separated</t>
        </is>
      </c>
      <c r="I33" s="10" t="inlineStr">
        <is>
          <t>MVTec AD</t>
        </is>
      </c>
      <c r="J33" s="10" t="inlineStr">
        <is>
          <t>class-separated; category average; one-class; ImageNet pretrain</t>
        </is>
      </c>
      <c r="K33" s="10" t="inlineStr">
        <is>
          <t>96.6</t>
        </is>
      </c>
      <c r="L33" s="10" t="inlineStr">
        <is>
          <t>N/A</t>
        </is>
      </c>
      <c r="M33" s="10" t="inlineStr">
        <is>
          <t>N/A</t>
        </is>
      </c>
      <c r="N33" s="10" t="inlineStr">
        <is>
          <t>N/A</t>
        </is>
      </c>
      <c r="O33" s="10" t="inlineStr">
        <is>
          <t>N/A</t>
        </is>
      </c>
      <c r="P33" s="10" t="inlineStr">
        <is>
          <t>N/A</t>
        </is>
      </c>
      <c r="Q33" s="10" t="inlineStr">
        <is>
          <t>EfficientNet-B6 (ImageNet pretrained)</t>
        </is>
      </c>
      <c r="R33" s="10" t="inlineStr">
        <is>
          <t>Self-Supervised Learning for Anomaly Detection and Localization; CVPR 2021; cut-paste augmentation for self-supervised training; Paper-reported result</t>
        </is>
      </c>
      <c r="S33" s="11">
        <f>HYPERLINK("https://arxiv.org/abs/2104.04015","Link")</f>
        <v/>
      </c>
      <c r="T33" s="10" t="inlineStr">
        <is>
          <t>N/A</t>
        </is>
      </c>
    </row>
    <row r="34" ht="60" customHeight="1">
      <c r="A34" s="6" t="inlineStr">
        <is>
          <t>Downstream Synthesis-based AD / Segmentation</t>
        </is>
      </c>
      <c r="B34" s="6" t="inlineStr">
        <is>
          <t>PaDiM</t>
        </is>
      </c>
      <c r="C34" s="6" t="inlineStr">
        <is>
          <t>Defard et al.</t>
        </is>
      </c>
      <c r="D34" s="6" t="inlineStr">
        <is>
          <t>ICPR 2021</t>
        </is>
      </c>
      <c r="E34" s="6" t="inlineStr">
        <is>
          <t>2021-00</t>
        </is>
      </c>
      <c r="F34" s="6" t="inlineStr">
        <is>
          <t>Published</t>
        </is>
      </c>
      <c r="G34" s="6" t="inlineStr">
        <is>
          <t>patch distribution modeling</t>
        </is>
      </c>
      <c r="H34" s="6" t="inlineStr">
        <is>
          <t>unsupervised / class-separated</t>
        </is>
      </c>
      <c r="I34" s="6" t="inlineStr">
        <is>
          <t>MVTec AD</t>
        </is>
      </c>
      <c r="J34" s="6" t="inlineStr">
        <is>
          <t>class-separated; category average</t>
        </is>
      </c>
      <c r="K34" s="6" t="inlineStr">
        <is>
          <t>98.2</t>
        </is>
      </c>
      <c r="L34" s="6" t="inlineStr">
        <is>
          <t>97.5</t>
        </is>
      </c>
      <c r="M34" s="6" t="inlineStr">
        <is>
          <t>N/A</t>
        </is>
      </c>
      <c r="N34" s="6" t="inlineStr">
        <is>
          <t>N/A</t>
        </is>
      </c>
      <c r="O34" s="6" t="inlineStr">
        <is>
          <t>N/A</t>
        </is>
      </c>
      <c r="P34" s="6" t="inlineStr">
        <is>
          <t>N/A</t>
        </is>
      </c>
      <c r="Q34" s="6" t="inlineStr">
        <is>
          <t>ResNet18 / WideResNet50</t>
        </is>
      </c>
      <c r="R34" s="6" t="inlineStr">
        <is>
          <t>Patch Distribution Modeling Framework for Anomaly Detection and Localization; ICPR 2021; multivariate Gaussian per patch; baseline reference; Paper-reported result</t>
        </is>
      </c>
      <c r="S34" s="7">
        <f>HYPERLINK("https://arxiv.org/abs/2011.08785","Link")</f>
        <v/>
      </c>
      <c r="T34" s="6" t="inlineStr">
        <is>
          <t>N/A</t>
        </is>
      </c>
    </row>
    <row r="35" ht="60" customHeight="1">
      <c r="A35" s="6" t="inlineStr">
        <is>
          <t>Downstream Synthesis-based AD / Segmentation</t>
        </is>
      </c>
      <c r="B35" s="6" t="inlineStr">
        <is>
          <t>SPADE</t>
        </is>
      </c>
      <c r="C35" s="6" t="inlineStr">
        <is>
          <t>Cohen &amp; Hoshen</t>
        </is>
      </c>
      <c r="D35" s="6" t="inlineStr">
        <is>
          <t>arXiv</t>
        </is>
      </c>
      <c r="E35" s="6" t="inlineStr">
        <is>
          <t>2021-00</t>
        </is>
      </c>
      <c r="F35" s="6" t="inlineStr">
        <is>
          <t>arXiv / Reproduced</t>
        </is>
      </c>
      <c r="G35" s="6" t="inlineStr">
        <is>
          <t>nearest-neighbor / kNN</t>
        </is>
      </c>
      <c r="H35" s="6" t="inlineStr">
        <is>
          <t>unsupervised / class-separated</t>
        </is>
      </c>
      <c r="I35" s="6" t="inlineStr">
        <is>
          <t>MVTec AD</t>
        </is>
      </c>
      <c r="J35" s="6" t="inlineStr">
        <is>
          <t>class-separated; category average</t>
        </is>
      </c>
      <c r="K35" s="6" t="inlineStr">
        <is>
          <t>85.5</t>
        </is>
      </c>
      <c r="L35" s="6" t="inlineStr">
        <is>
          <t>N/A</t>
        </is>
      </c>
      <c r="M35" s="6" t="inlineStr">
        <is>
          <t>N/A</t>
        </is>
      </c>
      <c r="N35" s="6" t="inlineStr">
        <is>
          <t>N/A</t>
        </is>
      </c>
      <c r="O35" s="6" t="inlineStr">
        <is>
          <t>N/A</t>
        </is>
      </c>
      <c r="P35" s="6" t="inlineStr">
        <is>
          <t>N/A</t>
        </is>
      </c>
      <c r="Q35" s="6" t="inlineStr">
        <is>
          <t>ResNet (pretrained)</t>
        </is>
      </c>
      <c r="R35" s="6" t="inlineStr">
        <is>
          <t>Sub-Image Anomaly Detection with Deep Pyramid Correspondences; 2020/2021; kNN + pyramid correspondences baseline; Third-party reproduction</t>
        </is>
      </c>
      <c r="S35" s="7">
        <f>HYPERLINK("https://arxiv.org/abs/2005.02357","Link")</f>
        <v/>
      </c>
      <c r="T35" s="6" t="inlineStr">
        <is>
          <t>N/A</t>
        </is>
      </c>
    </row>
    <row r="36" ht="60" customHeight="1">
      <c r="A36" s="10" t="inlineStr">
        <is>
          <t>Hand-crafted / Rule-based Anomaly Synthesis</t>
        </is>
      </c>
      <c r="B36" s="10" t="inlineStr">
        <is>
          <t>A Survey on Industrial Anomalies Synthesis</t>
        </is>
      </c>
      <c r="C36" s="10" t="inlineStr">
        <is>
          <t>Li et al.</t>
        </is>
      </c>
      <c r="D36" s="10" t="inlineStr">
        <is>
          <t>arXiv</t>
        </is>
      </c>
      <c r="E36" s="10" t="inlineStr">
        <is>
          <t>2025-02</t>
        </is>
      </c>
      <c r="F36" s="10" t="inlineStr">
        <is>
          <t>arXiv</t>
        </is>
      </c>
      <c r="G36" s="10" t="inlineStr">
        <is>
          <t>survey (all types)</t>
        </is>
      </c>
      <c r="H36" s="10" t="inlineStr">
        <is>
          <t>survey</t>
        </is>
      </c>
      <c r="I36" s="10" t="inlineStr">
        <is>
          <t>Multiple</t>
        </is>
      </c>
      <c r="J36" s="10" t="inlineStr">
        <is>
          <t>survey — covers 2021-2025 methods</t>
        </is>
      </c>
      <c r="K36" s="10" t="inlineStr">
        <is>
          <t>N/A</t>
        </is>
      </c>
      <c r="L36" s="10" t="inlineStr">
        <is>
          <t>N/A</t>
        </is>
      </c>
      <c r="M36" s="10" t="inlineStr">
        <is>
          <t>N/A</t>
        </is>
      </c>
      <c r="N36" s="10" t="inlineStr">
        <is>
          <t>N/A</t>
        </is>
      </c>
      <c r="O36" s="10" t="inlineStr">
        <is>
          <t>N/A</t>
        </is>
      </c>
      <c r="P36" s="10" t="inlineStr">
        <is>
          <t>N/A</t>
        </is>
      </c>
      <c r="Q36" s="10" t="inlineStr">
        <is>
          <t>N/A</t>
        </is>
      </c>
      <c r="R36" s="10" t="inlineStr">
        <is>
          <t>Comprehensive survey on industrial anomaly synthesis; covers hand-crafted, feature-space, generative, VLM methods; recommended reading; Unverified arXiv claim</t>
        </is>
      </c>
      <c r="S36" s="11">
        <f>HYPERLINK("https://arxiv.org/abs/2502.16412","Link")</f>
        <v/>
      </c>
      <c r="T36" s="10" t="inlineStr">
        <is>
          <t>N/A</t>
        </is>
      </c>
    </row>
    <row r="37" ht="60" customHeight="1">
      <c r="A37" s="6" t="inlineStr">
        <is>
          <t>Downstream Synthesis-based AD / Segmentation</t>
        </is>
      </c>
      <c r="B37" s="6" t="inlineStr">
        <is>
          <t>MVTec AD 2 (dataset)</t>
        </is>
      </c>
      <c r="C37" s="6" t="inlineStr">
        <is>
          <t>Heckler et al.</t>
        </is>
      </c>
      <c r="D37" s="6" t="inlineStr">
        <is>
          <t>IJCV 2026</t>
        </is>
      </c>
      <c r="E37" s="6" t="inlineStr">
        <is>
          <t>2026-03</t>
        </is>
      </c>
      <c r="F37" s="6" t="inlineStr">
        <is>
          <t>Published</t>
        </is>
      </c>
      <c r="G37" s="6" t="inlineStr">
        <is>
          <t>N/A (dataset paper)</t>
        </is>
      </c>
      <c r="H37" s="6" t="inlineStr">
        <is>
          <t>unsupervised; 8 scenarios</t>
        </is>
      </c>
      <c r="I37" s="6" t="inlineStr">
        <is>
          <t>MVTec AD 2</t>
        </is>
      </c>
      <c r="J37" s="6" t="inlineStr">
        <is>
          <t>TESTpub / TESTpriv / TESTpriv-mix; ClassF1 / SegF1 / AucPRO_0.05</t>
        </is>
      </c>
      <c r="K37" s="6" t="inlineStr">
        <is>
          <t>N/A</t>
        </is>
      </c>
      <c r="L37" s="6" t="inlineStr">
        <is>
          <t>N/A</t>
        </is>
      </c>
      <c r="M37" s="6" t="inlineStr">
        <is>
          <t>N/A</t>
        </is>
      </c>
      <c r="N37" s="6" t="inlineStr">
        <is>
          <t>N/A</t>
        </is>
      </c>
      <c r="O37" s="6" t="inlineStr">
        <is>
          <t>N/A</t>
        </is>
      </c>
      <c r="P37" s="6" t="inlineStr">
        <is>
          <t>N/A</t>
        </is>
      </c>
      <c r="Q37" s="6" t="inlineStr">
        <is>
          <t>Multiple (EfficientAD, WinCLIP etc.)</t>
        </is>
      </c>
      <c r="R37" s="6" t="inlineStr">
        <is>
          <t>Advanced Scenarios for Unsupervised Anomaly Detection; IJCV 2026; best method &lt;60% AUPRO — much harder than MVTec AD; Official dataset page</t>
        </is>
      </c>
      <c r="S37" s="7">
        <f>HYPERLINK("https://arxiv.org/abs/2503.21622","Link")</f>
        <v/>
      </c>
      <c r="T37" s="7">
        <f>HYPERLINK("https://www.mvtec.com/company/research/datasets/mvtec-ad-2","GitHub")</f>
        <v/>
      </c>
    </row>
    <row r="38" ht="60" customHeight="1">
      <c r="A38" s="6" t="inlineStr">
        <is>
          <t>Downstream Synthesis-based AD / Segmentation</t>
        </is>
      </c>
      <c r="B38" s="6" t="inlineStr">
        <is>
          <t>MVTec LOCO AD (dataset)</t>
        </is>
      </c>
      <c r="C38" s="6" t="inlineStr">
        <is>
          <t>Bergmann et al.</t>
        </is>
      </c>
      <c r="D38" s="6" t="inlineStr">
        <is>
          <t>IJCV 2022</t>
        </is>
      </c>
      <c r="E38" s="6" t="inlineStr">
        <is>
          <t>2022-00</t>
        </is>
      </c>
      <c r="F38" s="6" t="inlineStr">
        <is>
          <t>Published</t>
        </is>
      </c>
      <c r="G38" s="6" t="inlineStr">
        <is>
          <t>N/A (dataset paper)</t>
        </is>
      </c>
      <c r="H38" s="6" t="inlineStr">
        <is>
          <t>unsupervised; structural + logical anomalies</t>
        </is>
      </c>
      <c r="I38" s="6" t="inlineStr">
        <is>
          <t>MVTec LOCO AD</t>
        </is>
      </c>
      <c r="J38" s="6" t="inlineStr">
        <is>
          <t>5 categories; I-AUROC + AUPRO + sPRO</t>
        </is>
      </c>
      <c r="K38" s="6" t="inlineStr">
        <is>
          <t>N/A</t>
        </is>
      </c>
      <c r="L38" s="6" t="inlineStr">
        <is>
          <t>N/A</t>
        </is>
      </c>
      <c r="M38" s="6" t="inlineStr">
        <is>
          <t>N/A</t>
        </is>
      </c>
      <c r="N38" s="6" t="inlineStr">
        <is>
          <t>N/A</t>
        </is>
      </c>
      <c r="O38" s="6" t="inlineStr">
        <is>
          <t>N/A</t>
        </is>
      </c>
      <c r="P38" s="6" t="inlineStr">
        <is>
          <t>N/A</t>
        </is>
      </c>
      <c r="Q38" s="6" t="inlineStr">
        <is>
          <t>Multiple</t>
        </is>
      </c>
      <c r="R38" s="6" t="inlineStr">
        <is>
          <t>MVTec Logical Constraints Anomaly Detection dataset; IJCV 2022; structural AND logical anomalies; sPRO metric for logical; Official dataset page</t>
        </is>
      </c>
      <c r="S38" s="7">
        <f>HYPERLINK("https://www.mvtec.com/company/research/datasets/mvtec-loco","Link")</f>
        <v/>
      </c>
      <c r="T38" s="6" t="inlineStr">
        <is>
          <t>N/A</t>
        </is>
      </c>
    </row>
    <row r="39" ht="60" customHeight="1">
      <c r="A39" s="6" t="inlineStr">
        <is>
          <t>Downstream Synthesis-based AD / Segmentation</t>
        </is>
      </c>
      <c r="B39" s="6" t="inlineStr">
        <is>
          <t>VisA (dataset)</t>
        </is>
      </c>
      <c r="C39" s="6" t="inlineStr">
        <is>
          <t>Zou et al.</t>
        </is>
      </c>
      <c r="D39" s="6" t="inlineStr">
        <is>
          <t>ECCV 2022</t>
        </is>
      </c>
      <c r="E39" s="6" t="inlineStr">
        <is>
          <t>2022-00</t>
        </is>
      </c>
      <c r="F39" s="6" t="inlineStr">
        <is>
          <t>Published</t>
        </is>
      </c>
      <c r="G39" s="6" t="inlineStr">
        <is>
          <t>N/A (dataset paper)</t>
        </is>
      </c>
      <c r="H39" s="6" t="inlineStr">
        <is>
          <t>unsupervised; 12 categories</t>
        </is>
      </c>
      <c r="I39" s="6" t="inlineStr">
        <is>
          <t>VisA</t>
        </is>
      </c>
      <c r="J39" s="6" t="inlineStr">
        <is>
          <t>2-class (1-class/2-class/5-shot/10-shot splits available); 10821 images</t>
        </is>
      </c>
      <c r="K39" s="6" t="inlineStr">
        <is>
          <t>N/A</t>
        </is>
      </c>
      <c r="L39" s="6" t="inlineStr">
        <is>
          <t>N/A</t>
        </is>
      </c>
      <c r="M39" s="6" t="inlineStr">
        <is>
          <t>N/A</t>
        </is>
      </c>
      <c r="N39" s="6" t="inlineStr">
        <is>
          <t>N/A</t>
        </is>
      </c>
      <c r="O39" s="6" t="inlineStr">
        <is>
          <t>N/A</t>
        </is>
      </c>
      <c r="P39" s="6" t="inlineStr">
        <is>
          <t>N/A</t>
        </is>
      </c>
      <c r="Q39" s="6" t="inlineStr">
        <is>
          <t>Multiple</t>
        </is>
      </c>
      <c r="R39" s="6" t="inlineStr">
        <is>
          <t>Visual Anomaly Dataset; ECCV 2022; 12 classes across 3 domains; Official dataset page (AWS Open Data)</t>
        </is>
      </c>
      <c r="S39" s="7">
        <f>HYPERLINK("https://registry.opendata.aws/visa/","Link")</f>
        <v/>
      </c>
      <c r="T39" s="6" t="inlineStr">
        <is>
          <t>N/A</t>
        </is>
      </c>
    </row>
  </sheetData>
  <autoFilter ref="A1:T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55A11"/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5" customWidth="1" min="3" max="3"/>
    <col width="13" customWidth="1" min="4" max="4"/>
    <col width="10" customWidth="1" min="5" max="5"/>
    <col width="13" customWidth="1" min="6" max="6"/>
    <col width="22" customWidth="1" min="7" max="7"/>
    <col width="22" customWidth="1" min="8" max="8"/>
    <col width="18" customWidth="1" min="9" max="9"/>
    <col width="28" customWidth="1" min="10" max="10"/>
    <col width="10" customWidth="1" min="11" max="11"/>
    <col width="10" customWidth="1" min="12" max="12"/>
    <col width="13" customWidth="1" min="13" max="13"/>
    <col width="11" customWidth="1" min="14" max="14"/>
    <col width="14" customWidth="1" min="15" max="15"/>
    <col width="22" customWidth="1" min="16" max="16"/>
    <col width="22" customWidth="1" min="17" max="17"/>
    <col width="45" customWidth="1" min="18" max="18"/>
    <col width="18" customWidth="1" min="19" max="19"/>
    <col width="18" customWidth="1" min="20" max="20"/>
  </cols>
  <sheetData>
    <row r="1" ht="36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合成類型</t>
        </is>
      </c>
      <c r="H1" s="1" t="inlineStr">
        <is>
          <t>任務設定</t>
        </is>
      </c>
      <c r="I1" s="1" t="inlineStr">
        <is>
          <t>資料集</t>
        </is>
      </c>
      <c r="J1" s="1" t="inlineStr">
        <is>
          <t>Split/Protocol</t>
        </is>
      </c>
      <c r="K1" s="1" t="inlineStr">
        <is>
          <t>I-AUROC</t>
        </is>
      </c>
      <c r="L1" s="1" t="inlineStr">
        <is>
          <t>P-AUROC</t>
        </is>
      </c>
      <c r="M1" s="1" t="inlineStr">
        <is>
          <t>AUPRO/PRO</t>
        </is>
      </c>
      <c r="N1" s="1" t="inlineStr">
        <is>
          <t>AP/AUPRC</t>
        </is>
      </c>
      <c r="O1" s="1" t="inlineStr">
        <is>
          <t>F1/Dice/IoU</t>
        </is>
      </c>
      <c r="P1" s="1" t="inlineStr">
        <is>
          <t>合成品質指標</t>
        </is>
      </c>
      <c r="Q1" s="1" t="inlineStr">
        <is>
          <t>Backbone/Detector</t>
        </is>
      </c>
      <c r="R1" s="1" t="inlineStr">
        <is>
          <t>備註(特色/可比性)</t>
        </is>
      </c>
      <c r="S1" s="1" t="inlineStr">
        <is>
          <t>連結</t>
        </is>
      </c>
      <c r="T1" s="1" t="inlineStr">
        <is>
          <t>GitHub</t>
        </is>
      </c>
    </row>
    <row r="2" ht="60" customHeight="1">
      <c r="A2" s="4" t="inlineStr">
        <is>
          <t>Generative-model-based Anomaly Synthesis</t>
        </is>
      </c>
      <c r="B2" s="4" t="inlineStr">
        <is>
          <t>RealNet</t>
        </is>
      </c>
      <c r="C2" s="4" t="inlineStr">
        <is>
          <t>Zhang et al.</t>
        </is>
      </c>
      <c r="D2" s="4" t="inlineStr">
        <is>
          <t>CVPR 2024</t>
        </is>
      </c>
      <c r="E2" s="4" t="inlineStr">
        <is>
          <t>2024-03</t>
        </is>
      </c>
      <c r="F2" s="4" t="inlineStr">
        <is>
          <t>Published</t>
        </is>
      </c>
      <c r="G2" s="4" t="inlineStr">
        <is>
          <t>diffusion (SDAS)</t>
        </is>
      </c>
      <c r="H2" s="4" t="inlineStr">
        <is>
          <t>unsupervised / class-separated</t>
        </is>
      </c>
      <c r="I2" s="4" t="inlineStr">
        <is>
          <t>MVTec AD</t>
        </is>
      </c>
      <c r="J2" s="4" t="inlineStr">
        <is>
          <t>class-separated; category average</t>
        </is>
      </c>
      <c r="K2" s="4" t="inlineStr">
        <is>
          <t>99.65</t>
        </is>
      </c>
      <c r="L2" s="4" t="inlineStr">
        <is>
          <t>99.03</t>
        </is>
      </c>
      <c r="M2" s="4" t="inlineStr">
        <is>
          <t>93.07</t>
        </is>
      </c>
      <c r="N2" s="4" t="inlineStr">
        <is>
          <t>N/A</t>
        </is>
      </c>
      <c r="O2" s="4" t="inlineStr">
        <is>
          <t>N/A</t>
        </is>
      </c>
      <c r="P2" s="4" t="inlineStr">
        <is>
          <t>N/A</t>
        </is>
      </c>
      <c r="Q2" s="4" t="inlineStr">
        <is>
          <t>WideResNet50</t>
        </is>
      </c>
      <c r="R2" s="4" t="inlineStr">
        <is>
          <t>CVPR 2024; SDAS diffusion synthesis; Paper-reported result</t>
        </is>
      </c>
      <c r="S2" s="5">
        <f>HYPERLINK("https://arxiv.org/abs/2403.05897","Link")</f>
        <v/>
      </c>
      <c r="T2" s="5">
        <f>HYPERLINK("https://github.com/cnulab/RealNet","GitHub")</f>
        <v/>
      </c>
    </row>
    <row r="3" ht="60" customHeight="1">
      <c r="A3" s="6" t="inlineStr">
        <is>
          <t>Downstream Synthesis-based AD / Segmentation</t>
        </is>
      </c>
      <c r="B3" s="6" t="inlineStr">
        <is>
          <t>INP-Former</t>
        </is>
      </c>
      <c r="C3" s="6" t="inlineStr">
        <is>
          <t>Lou et al.</t>
        </is>
      </c>
      <c r="D3" s="6" t="inlineStr">
        <is>
          <t>CVPR 2025</t>
        </is>
      </c>
      <c r="E3" s="6" t="inlineStr">
        <is>
          <t>2025-00</t>
        </is>
      </c>
      <c r="F3" s="6" t="inlineStr">
        <is>
          <t>Published</t>
        </is>
      </c>
      <c r="G3" s="6" t="inlineStr">
        <is>
          <t>reconstruction / prototype</t>
        </is>
      </c>
      <c r="H3" s="6" t="inlineStr">
        <is>
          <t>multi-class / unsupervised</t>
        </is>
      </c>
      <c r="I3" s="6" t="inlineStr">
        <is>
          <t>MVTec AD</t>
        </is>
      </c>
      <c r="J3" s="6" t="inlineStr">
        <is>
          <t>multi-class; category average</t>
        </is>
      </c>
      <c r="K3" s="6" t="inlineStr">
        <is>
          <t>99.8</t>
        </is>
      </c>
      <c r="L3" s="6" t="inlineStr">
        <is>
          <t>98.7</t>
        </is>
      </c>
      <c r="M3" s="6" t="inlineStr">
        <is>
          <t>96.0</t>
        </is>
      </c>
      <c r="N3" s="6" t="inlineStr">
        <is>
          <t>75.6</t>
        </is>
      </c>
      <c r="O3" s="6" t="inlineStr">
        <is>
          <t>71.6 (P-F1max)</t>
        </is>
      </c>
      <c r="P3" s="6" t="inlineStr">
        <is>
          <t>N/A</t>
        </is>
      </c>
      <c r="Q3" s="6" t="inlineStr">
        <is>
          <t>ViT-L/14 (DINOv2)</t>
        </is>
      </c>
      <c r="R3" s="6" t="inlineStr">
        <is>
          <t>CVPR 2025; SOTA pixel-level; Paper-reported result</t>
        </is>
      </c>
      <c r="S3" s="7">
        <f>HYPERLINK("https://github.com/luow23/INP-Former","Link")</f>
        <v/>
      </c>
      <c r="T3" s="7">
        <f>HYPERLINK("https://github.com/luow23/INP-Former","GitHub")</f>
        <v/>
      </c>
    </row>
    <row r="4" ht="60" customHeight="1">
      <c r="A4" s="6" t="inlineStr">
        <is>
          <t>Downstream Synthesis-based AD / Segmentation</t>
        </is>
      </c>
      <c r="B4" s="6" t="inlineStr">
        <is>
          <t>PatchCore</t>
        </is>
      </c>
      <c r="C4" s="6" t="inlineStr">
        <is>
          <t>Roth et al.</t>
        </is>
      </c>
      <c r="D4" s="6" t="inlineStr">
        <is>
          <t>CVPR 2022</t>
        </is>
      </c>
      <c r="E4" s="6" t="inlineStr">
        <is>
          <t>2022-00</t>
        </is>
      </c>
      <c r="F4" s="6" t="inlineStr">
        <is>
          <t>Published</t>
        </is>
      </c>
      <c r="G4" s="6" t="inlineStr">
        <is>
          <t>memory bank</t>
        </is>
      </c>
      <c r="H4" s="6" t="inlineStr">
        <is>
          <t>unsupervised / class-separated</t>
        </is>
      </c>
      <c r="I4" s="6" t="inlineStr">
        <is>
          <t>MVTec AD</t>
        </is>
      </c>
      <c r="J4" s="6" t="inlineStr">
        <is>
          <t>class-separated; category average; WideResNet50</t>
        </is>
      </c>
      <c r="K4" s="6" t="inlineStr">
        <is>
          <t>99.6</t>
        </is>
      </c>
      <c r="L4" s="6" t="inlineStr">
        <is>
          <t>98.1</t>
        </is>
      </c>
      <c r="M4" s="6" t="inlineStr">
        <is>
          <t>N/A</t>
        </is>
      </c>
      <c r="N4" s="6" t="inlineStr">
        <is>
          <t>N/A</t>
        </is>
      </c>
      <c r="O4" s="6" t="inlineStr">
        <is>
          <t>N/A</t>
        </is>
      </c>
      <c r="P4" s="6" t="inlineStr">
        <is>
          <t>N/A</t>
        </is>
      </c>
      <c r="Q4" s="6" t="inlineStr">
        <is>
          <t>WideResNet50</t>
        </is>
      </c>
      <c r="R4" s="6" t="inlineStr">
        <is>
          <t>CVPR 2022; widely used baseline; Paper-reported result</t>
        </is>
      </c>
      <c r="S4" s="7">
        <f>HYPERLINK("https://arxiv.org/abs/2106.08265","Link")</f>
        <v/>
      </c>
      <c r="T4" s="7">
        <f>HYPERLINK("https://github.com/amazon-science/patchcore-inspection","GitHub")</f>
        <v/>
      </c>
    </row>
    <row r="5" ht="60" customHeight="1">
      <c r="A5" s="6" t="inlineStr">
        <is>
          <t>Downstream Synthesis-based AD / Segmentation</t>
        </is>
      </c>
      <c r="B5" s="6" t="inlineStr">
        <is>
          <t>PaDiM</t>
        </is>
      </c>
      <c r="C5" s="6" t="inlineStr">
        <is>
          <t>Defard et al.</t>
        </is>
      </c>
      <c r="D5" s="6" t="inlineStr">
        <is>
          <t>ICPR 2021</t>
        </is>
      </c>
      <c r="E5" s="6" t="inlineStr">
        <is>
          <t>2021-00</t>
        </is>
      </c>
      <c r="F5" s="6" t="inlineStr">
        <is>
          <t>Published</t>
        </is>
      </c>
      <c r="G5" s="6" t="inlineStr">
        <is>
          <t>patch distribution</t>
        </is>
      </c>
      <c r="H5" s="6" t="inlineStr">
        <is>
          <t>unsupervised / class-separated</t>
        </is>
      </c>
      <c r="I5" s="6" t="inlineStr">
        <is>
          <t>MVTec AD</t>
        </is>
      </c>
      <c r="J5" s="6" t="inlineStr">
        <is>
          <t>class-separated; category average</t>
        </is>
      </c>
      <c r="K5" s="6" t="inlineStr">
        <is>
          <t>98.2</t>
        </is>
      </c>
      <c r="L5" s="6" t="inlineStr">
        <is>
          <t>97.5</t>
        </is>
      </c>
      <c r="M5" s="6" t="inlineStr">
        <is>
          <t>N/A</t>
        </is>
      </c>
      <c r="N5" s="6" t="inlineStr">
        <is>
          <t>N/A</t>
        </is>
      </c>
      <c r="O5" s="6" t="inlineStr">
        <is>
          <t>N/A</t>
        </is>
      </c>
      <c r="P5" s="6" t="inlineStr">
        <is>
          <t>N/A</t>
        </is>
      </c>
      <c r="Q5" s="6" t="inlineStr">
        <is>
          <t>WideResNet50</t>
        </is>
      </c>
      <c r="R5" s="6" t="inlineStr">
        <is>
          <t>ICPR 2021; multivariate Gaussian per patch; Paper-reported result</t>
        </is>
      </c>
      <c r="S5" s="7">
        <f>HYPERLINK("https://arxiv.org/abs/2011.08785","Link")</f>
        <v/>
      </c>
      <c r="T5" s="6" t="inlineStr">
        <is>
          <t>N/A</t>
        </is>
      </c>
    </row>
    <row r="6" ht="60" customHeight="1">
      <c r="A6" s="10" t="inlineStr">
        <is>
          <t>Hand-crafted / Rule-based Anomaly Synthesis</t>
        </is>
      </c>
      <c r="B6" s="10" t="inlineStr">
        <is>
          <t>DRAEM</t>
        </is>
      </c>
      <c r="C6" s="10" t="inlineStr">
        <is>
          <t>Zavrtanik et al.</t>
        </is>
      </c>
      <c r="D6" s="10" t="inlineStr">
        <is>
          <t>ICCV 2021</t>
        </is>
      </c>
      <c r="E6" s="10" t="inlineStr">
        <is>
          <t>2021-08</t>
        </is>
      </c>
      <c r="F6" s="10" t="inlineStr">
        <is>
          <t>Published</t>
        </is>
      </c>
      <c r="G6" s="10" t="inlineStr">
        <is>
          <t>Perlin + DTD texture</t>
        </is>
      </c>
      <c r="H6" s="10" t="inlineStr">
        <is>
          <t>unsupervised / class-separated</t>
        </is>
      </c>
      <c r="I6" s="10" t="inlineStr">
        <is>
          <t>MVTec AD</t>
        </is>
      </c>
      <c r="J6" s="10" t="inlineStr">
        <is>
          <t>class-separated; category average</t>
        </is>
      </c>
      <c r="K6" s="10" t="inlineStr">
        <is>
          <t>98.0</t>
        </is>
      </c>
      <c r="L6" s="10" t="inlineStr">
        <is>
          <t>97.3</t>
        </is>
      </c>
      <c r="M6" s="10" t="inlineStr">
        <is>
          <t>N/A</t>
        </is>
      </c>
      <c r="N6" s="10" t="inlineStr">
        <is>
          <t>68.9 (P-AP)</t>
        </is>
      </c>
      <c r="O6" s="10" t="inlineStr">
        <is>
          <t>N/A</t>
        </is>
      </c>
      <c r="P6" s="10" t="inlineStr">
        <is>
          <t>N/A</t>
        </is>
      </c>
      <c r="Q6" s="10" t="inlineStr">
        <is>
          <t>U-Net + discriminative subnet</t>
        </is>
      </c>
      <c r="R6" s="10" t="inlineStr">
        <is>
          <t>ICCV 2021; seminal anomaly synthesis; Paper-reported result</t>
        </is>
      </c>
      <c r="S6" s="11">
        <f>HYPERLINK("https://arxiv.org/abs/2108.07610","Link")</f>
        <v/>
      </c>
      <c r="T6" s="11">
        <f>HYPERLINK("https://github.com/VitjanZ/DRAEM","GitHub")</f>
        <v/>
      </c>
    </row>
  </sheetData>
  <autoFilter ref="A1:T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5" customWidth="1" min="3" max="3"/>
    <col width="13" customWidth="1" min="4" max="4"/>
    <col width="10" customWidth="1" min="5" max="5"/>
    <col width="13" customWidth="1" min="6" max="6"/>
    <col width="22" customWidth="1" min="7" max="7"/>
    <col width="22" customWidth="1" min="8" max="8"/>
    <col width="18" customWidth="1" min="9" max="9"/>
    <col width="28" customWidth="1" min="10" max="10"/>
    <col width="10" customWidth="1" min="11" max="11"/>
    <col width="10" customWidth="1" min="12" max="12"/>
    <col width="13" customWidth="1" min="13" max="13"/>
    <col width="11" customWidth="1" min="14" max="14"/>
    <col width="14" customWidth="1" min="15" max="15"/>
    <col width="22" customWidth="1" min="16" max="16"/>
    <col width="22" customWidth="1" min="17" max="17"/>
    <col width="45" customWidth="1" min="18" max="18"/>
    <col width="18" customWidth="1" min="19" max="19"/>
    <col width="18" customWidth="1" min="20" max="20"/>
  </cols>
  <sheetData>
    <row r="1" ht="36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合成類型</t>
        </is>
      </c>
      <c r="H1" s="1" t="inlineStr">
        <is>
          <t>任務設定</t>
        </is>
      </c>
      <c r="I1" s="1" t="inlineStr">
        <is>
          <t>資料集</t>
        </is>
      </c>
      <c r="J1" s="1" t="inlineStr">
        <is>
          <t>Split/Protocol</t>
        </is>
      </c>
      <c r="K1" s="1" t="inlineStr">
        <is>
          <t>I-AUROC</t>
        </is>
      </c>
      <c r="L1" s="1" t="inlineStr">
        <is>
          <t>P-AUROC</t>
        </is>
      </c>
      <c r="M1" s="1" t="inlineStr">
        <is>
          <t>AUPRO/PRO</t>
        </is>
      </c>
      <c r="N1" s="1" t="inlineStr">
        <is>
          <t>AP/AUPRC</t>
        </is>
      </c>
      <c r="O1" s="1" t="inlineStr">
        <is>
          <t>F1/Dice/IoU</t>
        </is>
      </c>
      <c r="P1" s="1" t="inlineStr">
        <is>
          <t>合成品質指標</t>
        </is>
      </c>
      <c r="Q1" s="1" t="inlineStr">
        <is>
          <t>Backbone/Detector</t>
        </is>
      </c>
      <c r="R1" s="1" t="inlineStr">
        <is>
          <t>備註(特色/可比性)</t>
        </is>
      </c>
      <c r="S1" s="1" t="inlineStr">
        <is>
          <t>連結</t>
        </is>
      </c>
      <c r="T1" s="1" t="inlineStr">
        <is>
          <t>GitHub</t>
        </is>
      </c>
    </row>
    <row r="2" ht="60" customHeight="1">
      <c r="A2" s="4" t="inlineStr">
        <is>
          <t>Generative-model-based Anomaly Synthesis</t>
        </is>
      </c>
      <c r="B2" s="4" t="inlineStr">
        <is>
          <t>RealNet</t>
        </is>
      </c>
      <c r="C2" s="4" t="inlineStr">
        <is>
          <t>Zhang et al.</t>
        </is>
      </c>
      <c r="D2" s="4" t="inlineStr">
        <is>
          <t>CVPR 2024</t>
        </is>
      </c>
      <c r="E2" s="4" t="inlineStr">
        <is>
          <t>2024-03</t>
        </is>
      </c>
      <c r="F2" s="4" t="inlineStr">
        <is>
          <t>Published</t>
        </is>
      </c>
      <c r="G2" s="4" t="inlineStr">
        <is>
          <t>diffusion (SDAS)</t>
        </is>
      </c>
      <c r="H2" s="4" t="inlineStr">
        <is>
          <t>unsupervised / class-separated</t>
        </is>
      </c>
      <c r="I2" s="4" t="inlineStr">
        <is>
          <t>MVTec AD</t>
        </is>
      </c>
      <c r="J2" s="4" t="inlineStr">
        <is>
          <t>class-separated; category average</t>
        </is>
      </c>
      <c r="K2" s="4" t="inlineStr">
        <is>
          <t>99.65</t>
        </is>
      </c>
      <c r="L2" s="4" t="inlineStr">
        <is>
          <t>99.03</t>
        </is>
      </c>
      <c r="M2" s="4" t="inlineStr">
        <is>
          <t>93.07</t>
        </is>
      </c>
      <c r="N2" s="4" t="inlineStr">
        <is>
          <t>N/A</t>
        </is>
      </c>
      <c r="O2" s="4" t="inlineStr">
        <is>
          <t>N/A</t>
        </is>
      </c>
      <c r="P2" s="4" t="inlineStr">
        <is>
          <t>N/A</t>
        </is>
      </c>
      <c r="Q2" s="4" t="inlineStr">
        <is>
          <t>WideResNet50</t>
        </is>
      </c>
      <c r="R2" s="4" t="inlineStr">
        <is>
          <t>CVPR 2024; SDAS diffusion synthesis; Paper-reported result</t>
        </is>
      </c>
      <c r="S2" s="5">
        <f>HYPERLINK("https://arxiv.org/abs/2403.05897","Link")</f>
        <v/>
      </c>
      <c r="T2" s="5">
        <f>HYPERLINK("https://github.com/cnulab/RealNet","GitHub")</f>
        <v/>
      </c>
    </row>
    <row r="3" ht="60" customHeight="1">
      <c r="A3" s="6" t="inlineStr">
        <is>
          <t>Downstream Synthesis-based AD / Segmentation</t>
        </is>
      </c>
      <c r="B3" s="6" t="inlineStr">
        <is>
          <t>INP-Former</t>
        </is>
      </c>
      <c r="C3" s="6" t="inlineStr">
        <is>
          <t>Lou et al.</t>
        </is>
      </c>
      <c r="D3" s="6" t="inlineStr">
        <is>
          <t>CVPR 2025</t>
        </is>
      </c>
      <c r="E3" s="6" t="inlineStr">
        <is>
          <t>2025-00</t>
        </is>
      </c>
      <c r="F3" s="6" t="inlineStr">
        <is>
          <t>Published</t>
        </is>
      </c>
      <c r="G3" s="6" t="inlineStr">
        <is>
          <t>reconstruction / prototype</t>
        </is>
      </c>
      <c r="H3" s="6" t="inlineStr">
        <is>
          <t>multi-class / unsupervised</t>
        </is>
      </c>
      <c r="I3" s="6" t="inlineStr">
        <is>
          <t>MVTec AD</t>
        </is>
      </c>
      <c r="J3" s="6" t="inlineStr">
        <is>
          <t>multi-class; category average</t>
        </is>
      </c>
      <c r="K3" s="6" t="inlineStr">
        <is>
          <t>99.8</t>
        </is>
      </c>
      <c r="L3" s="6" t="inlineStr">
        <is>
          <t>98.7</t>
        </is>
      </c>
      <c r="M3" s="6" t="inlineStr">
        <is>
          <t>96.0</t>
        </is>
      </c>
      <c r="N3" s="6" t="inlineStr">
        <is>
          <t>75.6</t>
        </is>
      </c>
      <c r="O3" s="6" t="inlineStr">
        <is>
          <t>71.6 (P-F1max)</t>
        </is>
      </c>
      <c r="P3" s="6" t="inlineStr">
        <is>
          <t>N/A</t>
        </is>
      </c>
      <c r="Q3" s="6" t="inlineStr">
        <is>
          <t>ViT-L/14 (DINOv2)</t>
        </is>
      </c>
      <c r="R3" s="6" t="inlineStr">
        <is>
          <t>CVPR 2025; SOTA pixel-level; Paper-reported result</t>
        </is>
      </c>
      <c r="S3" s="7">
        <f>HYPERLINK("https://github.com/luow23/INP-Former","Link")</f>
        <v/>
      </c>
      <c r="T3" s="7">
        <f>HYPERLINK("https://github.com/luow23/INP-Former","GitHub")</f>
        <v/>
      </c>
    </row>
    <row r="4" ht="60" customHeight="1">
      <c r="A4" s="6" t="inlineStr">
        <is>
          <t>Downstream Synthesis-based AD / Segmentation</t>
        </is>
      </c>
      <c r="B4" s="6" t="inlineStr">
        <is>
          <t>PatchCore</t>
        </is>
      </c>
      <c r="C4" s="6" t="inlineStr">
        <is>
          <t>Roth et al.</t>
        </is>
      </c>
      <c r="D4" s="6" t="inlineStr">
        <is>
          <t>CVPR 2022</t>
        </is>
      </c>
      <c r="E4" s="6" t="inlineStr">
        <is>
          <t>2022-00</t>
        </is>
      </c>
      <c r="F4" s="6" t="inlineStr">
        <is>
          <t>Published</t>
        </is>
      </c>
      <c r="G4" s="6" t="inlineStr">
        <is>
          <t>memory bank</t>
        </is>
      </c>
      <c r="H4" s="6" t="inlineStr">
        <is>
          <t>unsupervised / class-separated</t>
        </is>
      </c>
      <c r="I4" s="6" t="inlineStr">
        <is>
          <t>MVTec AD</t>
        </is>
      </c>
      <c r="J4" s="6" t="inlineStr">
        <is>
          <t>class-separated; category average; WideResNet50</t>
        </is>
      </c>
      <c r="K4" s="6" t="inlineStr">
        <is>
          <t>99.6</t>
        </is>
      </c>
      <c r="L4" s="6" t="inlineStr">
        <is>
          <t>98.1</t>
        </is>
      </c>
      <c r="M4" s="6" t="inlineStr">
        <is>
          <t>N/A</t>
        </is>
      </c>
      <c r="N4" s="6" t="inlineStr">
        <is>
          <t>N/A</t>
        </is>
      </c>
      <c r="O4" s="6" t="inlineStr">
        <is>
          <t>N/A</t>
        </is>
      </c>
      <c r="P4" s="6" t="inlineStr">
        <is>
          <t>N/A</t>
        </is>
      </c>
      <c r="Q4" s="6" t="inlineStr">
        <is>
          <t>WideResNet50</t>
        </is>
      </c>
      <c r="R4" s="6" t="inlineStr">
        <is>
          <t>CVPR 2022; widely used baseline; Paper-reported result</t>
        </is>
      </c>
      <c r="S4" s="7">
        <f>HYPERLINK("https://arxiv.org/abs/2106.08265","Link")</f>
        <v/>
      </c>
      <c r="T4" s="7">
        <f>HYPERLINK("https://github.com/amazon-science/patchcore-inspection","GitHub")</f>
        <v/>
      </c>
    </row>
    <row r="5" ht="60" customHeight="1">
      <c r="A5" s="6" t="inlineStr">
        <is>
          <t>Downstream Synthesis-based AD / Segmentation</t>
        </is>
      </c>
      <c r="B5" s="6" t="inlineStr">
        <is>
          <t>PaDiM</t>
        </is>
      </c>
      <c r="C5" s="6" t="inlineStr">
        <is>
          <t>Defard et al.</t>
        </is>
      </c>
      <c r="D5" s="6" t="inlineStr">
        <is>
          <t>ICPR 2021</t>
        </is>
      </c>
      <c r="E5" s="6" t="inlineStr">
        <is>
          <t>2021-00</t>
        </is>
      </c>
      <c r="F5" s="6" t="inlineStr">
        <is>
          <t>Published</t>
        </is>
      </c>
      <c r="G5" s="6" t="inlineStr">
        <is>
          <t>patch distribution</t>
        </is>
      </c>
      <c r="H5" s="6" t="inlineStr">
        <is>
          <t>unsupervised / class-separated</t>
        </is>
      </c>
      <c r="I5" s="6" t="inlineStr">
        <is>
          <t>MVTec AD</t>
        </is>
      </c>
      <c r="J5" s="6" t="inlineStr">
        <is>
          <t>class-separated; category average</t>
        </is>
      </c>
      <c r="K5" s="6" t="inlineStr">
        <is>
          <t>98.2</t>
        </is>
      </c>
      <c r="L5" s="6" t="inlineStr">
        <is>
          <t>97.5</t>
        </is>
      </c>
      <c r="M5" s="6" t="inlineStr">
        <is>
          <t>N/A</t>
        </is>
      </c>
      <c r="N5" s="6" t="inlineStr">
        <is>
          <t>N/A</t>
        </is>
      </c>
      <c r="O5" s="6" t="inlineStr">
        <is>
          <t>N/A</t>
        </is>
      </c>
      <c r="P5" s="6" t="inlineStr">
        <is>
          <t>N/A</t>
        </is>
      </c>
      <c r="Q5" s="6" t="inlineStr">
        <is>
          <t>WideResNet50</t>
        </is>
      </c>
      <c r="R5" s="6" t="inlineStr">
        <is>
          <t>ICPR 2021; multivariate Gaussian per patch; Paper-reported result</t>
        </is>
      </c>
      <c r="S5" s="7">
        <f>HYPERLINK("https://arxiv.org/abs/2011.08785","Link")</f>
        <v/>
      </c>
      <c r="T5" s="6" t="inlineStr">
        <is>
          <t>N/A</t>
        </is>
      </c>
    </row>
    <row r="6" ht="60" customHeight="1">
      <c r="A6" s="10" t="inlineStr">
        <is>
          <t>Hand-crafted / Rule-based Anomaly Synthesis</t>
        </is>
      </c>
      <c r="B6" s="10" t="inlineStr">
        <is>
          <t>DRAEM</t>
        </is>
      </c>
      <c r="C6" s="10" t="inlineStr">
        <is>
          <t>Zavrtanik et al.</t>
        </is>
      </c>
      <c r="D6" s="10" t="inlineStr">
        <is>
          <t>ICCV 2021</t>
        </is>
      </c>
      <c r="E6" s="10" t="inlineStr">
        <is>
          <t>2021-08</t>
        </is>
      </c>
      <c r="F6" s="10" t="inlineStr">
        <is>
          <t>Published</t>
        </is>
      </c>
      <c r="G6" s="10" t="inlineStr">
        <is>
          <t>Perlin + DTD texture</t>
        </is>
      </c>
      <c r="H6" s="10" t="inlineStr">
        <is>
          <t>unsupervised / class-separated</t>
        </is>
      </c>
      <c r="I6" s="10" t="inlineStr">
        <is>
          <t>MVTec AD</t>
        </is>
      </c>
      <c r="J6" s="10" t="inlineStr">
        <is>
          <t>class-separated; category average</t>
        </is>
      </c>
      <c r="K6" s="10" t="inlineStr">
        <is>
          <t>98.0</t>
        </is>
      </c>
      <c r="L6" s="10" t="inlineStr">
        <is>
          <t>97.3</t>
        </is>
      </c>
      <c r="M6" s="10" t="inlineStr">
        <is>
          <t>N/A</t>
        </is>
      </c>
      <c r="N6" s="10" t="inlineStr">
        <is>
          <t>68.9 (P-AP)</t>
        </is>
      </c>
      <c r="O6" s="10" t="inlineStr">
        <is>
          <t>N/A</t>
        </is>
      </c>
      <c r="P6" s="10" t="inlineStr">
        <is>
          <t>N/A</t>
        </is>
      </c>
      <c r="Q6" s="10" t="inlineStr">
        <is>
          <t>U-Net + discriminative subnet</t>
        </is>
      </c>
      <c r="R6" s="10" t="inlineStr">
        <is>
          <t>ICCV 2021; seminal anomaly synthesis; Paper-reported result</t>
        </is>
      </c>
      <c r="S6" s="11">
        <f>HYPERLINK("https://arxiv.org/abs/2108.07610","Link")</f>
        <v/>
      </c>
      <c r="T6" s="11">
        <f>HYPERLINK("https://github.com/VitjanZ/DRAEM","GitHub")</f>
        <v/>
      </c>
    </row>
    <row r="7" ht="60" customHeight="1">
      <c r="A7" s="6" t="inlineStr">
        <is>
          <t>Downstream Synthesis-based AD / Segmentation</t>
        </is>
      </c>
      <c r="B7" s="6" t="inlineStr">
        <is>
          <t>DeSTSeg</t>
        </is>
      </c>
      <c r="C7" s="6" t="inlineStr">
        <is>
          <t>Zhang et al.</t>
        </is>
      </c>
      <c r="D7" s="6" t="inlineStr">
        <is>
          <t>CVPR 2023</t>
        </is>
      </c>
      <c r="E7" s="6" t="inlineStr">
        <is>
          <t>2023-00</t>
        </is>
      </c>
      <c r="F7" s="6" t="inlineStr">
        <is>
          <t>Published</t>
        </is>
      </c>
      <c r="G7" s="6" t="inlineStr">
        <is>
          <t>Perlin + texture synthesis</t>
        </is>
      </c>
      <c r="H7" s="6" t="inlineStr">
        <is>
          <t>unsupervised / class-separated</t>
        </is>
      </c>
      <c r="I7" s="6" t="inlineStr">
        <is>
          <t>MVTec AD</t>
        </is>
      </c>
      <c r="J7" s="6" t="inlineStr">
        <is>
          <t>class-separated; category average</t>
        </is>
      </c>
      <c r="K7" s="6" t="inlineStr">
        <is>
          <t>98.6</t>
        </is>
      </c>
      <c r="L7" s="6" t="inlineStr">
        <is>
          <t>N/A</t>
        </is>
      </c>
      <c r="M7" s="6" t="inlineStr">
        <is>
          <t>N/A</t>
        </is>
      </c>
      <c r="N7" s="6" t="inlineStr">
        <is>
          <t>75.8 (P-AP)</t>
        </is>
      </c>
      <c r="O7" s="6" t="inlineStr">
        <is>
          <t>76.4 (instance AP)</t>
        </is>
      </c>
      <c r="P7" s="6" t="inlineStr">
        <is>
          <t>N/A</t>
        </is>
      </c>
      <c r="Q7" s="6" t="inlineStr">
        <is>
          <t>WideResNet101 teacher</t>
        </is>
      </c>
      <c r="R7" s="6" t="inlineStr">
        <is>
          <t>CVPR 2023; synthetic anomaly student-teacher; Paper-reported result</t>
        </is>
      </c>
      <c r="S7" s="7">
        <f>HYPERLINK("https://arxiv.org/abs/2211.11317","Link")</f>
        <v/>
      </c>
      <c r="T7" s="7">
        <f>HYPERLINK("https://github.com/apple/ml-destseg","GitHub")</f>
        <v/>
      </c>
    </row>
    <row r="8" ht="60" customHeight="1">
      <c r="A8" s="10" t="inlineStr">
        <is>
          <t>Hand-crafted / Rule-based Anomaly Synthesis</t>
        </is>
      </c>
      <c r="B8" s="10" t="inlineStr">
        <is>
          <t>NSA</t>
        </is>
      </c>
      <c r="C8" s="10" t="inlineStr">
        <is>
          <t>Schlüter et al.</t>
        </is>
      </c>
      <c r="D8" s="10" t="inlineStr">
        <is>
          <t>ECCV 2022</t>
        </is>
      </c>
      <c r="E8" s="10" t="inlineStr">
        <is>
          <t>2022-07</t>
        </is>
      </c>
      <c r="F8" s="10" t="inlineStr">
        <is>
          <t>Published</t>
        </is>
      </c>
      <c r="G8" s="10" t="inlineStr">
        <is>
          <t>Poisson blending</t>
        </is>
      </c>
      <c r="H8" s="10" t="inlineStr">
        <is>
          <t>unsupervised / class-separated</t>
        </is>
      </c>
      <c r="I8" s="10" t="inlineStr">
        <is>
          <t>MVTec AD</t>
        </is>
      </c>
      <c r="J8" s="10" t="inlineStr">
        <is>
          <t>class-separated; category average</t>
        </is>
      </c>
      <c r="K8" s="10" t="inlineStr">
        <is>
          <t>97.2</t>
        </is>
      </c>
      <c r="L8" s="10" t="inlineStr">
        <is>
          <t>N/A</t>
        </is>
      </c>
      <c r="M8" s="10" t="inlineStr">
        <is>
          <t>N/A</t>
        </is>
      </c>
      <c r="N8" s="10" t="inlineStr">
        <is>
          <t>N/A</t>
        </is>
      </c>
      <c r="O8" s="10" t="inlineStr">
        <is>
          <t>N/A</t>
        </is>
      </c>
      <c r="P8" s="10" t="inlineStr">
        <is>
          <t>N/A</t>
        </is>
      </c>
      <c r="Q8" s="10" t="inlineStr">
        <is>
          <t>ResNet encoder-decoder</t>
        </is>
      </c>
      <c r="R8" s="10" t="inlineStr">
        <is>
          <t>ECCV 2022; Poisson image editing; Paper-reported result</t>
        </is>
      </c>
      <c r="S8" s="11">
        <f>HYPERLINK("https://arxiv.org/abs/2109.15222","Link")</f>
        <v/>
      </c>
      <c r="T8" s="11">
        <f>HYPERLINK("https://github.com/hmsch/natural-synthetic-anomalies","GitHub")</f>
        <v/>
      </c>
    </row>
    <row r="9" ht="60" customHeight="1">
      <c r="A9" s="8" t="inlineStr">
        <is>
          <t>Distribution-hypothesis / Feature-space Anomaly Synthesis</t>
        </is>
      </c>
      <c r="B9" s="8" t="inlineStr">
        <is>
          <t>SimpleNet</t>
        </is>
      </c>
      <c r="C9" s="8" t="inlineStr">
        <is>
          <t>Liu et al.</t>
        </is>
      </c>
      <c r="D9" s="8" t="inlineStr">
        <is>
          <t>CVPR 2023</t>
        </is>
      </c>
      <c r="E9" s="8" t="inlineStr">
        <is>
          <t>2023-03</t>
        </is>
      </c>
      <c r="F9" s="8" t="inlineStr">
        <is>
          <t>Published</t>
        </is>
      </c>
      <c r="G9" s="8" t="inlineStr">
        <is>
          <t>Gaussian noise in feature space</t>
        </is>
      </c>
      <c r="H9" s="8" t="inlineStr">
        <is>
          <t>unsupervised / class-separated</t>
        </is>
      </c>
      <c r="I9" s="8" t="inlineStr">
        <is>
          <t>MVTec AD</t>
        </is>
      </c>
      <c r="J9" s="8" t="inlineStr">
        <is>
          <t>class-separated; category average</t>
        </is>
      </c>
      <c r="K9" s="8" t="inlineStr">
        <is>
          <t>99.6</t>
        </is>
      </c>
      <c r="L9" s="8" t="inlineStr">
        <is>
          <t>98.1</t>
        </is>
      </c>
      <c r="M9" s="8" t="inlineStr">
        <is>
          <t>N/A</t>
        </is>
      </c>
      <c r="N9" s="8" t="inlineStr">
        <is>
          <t>N/A</t>
        </is>
      </c>
      <c r="O9" s="8" t="inlineStr">
        <is>
          <t>N/A</t>
        </is>
      </c>
      <c r="P9" s="8" t="inlineStr">
        <is>
          <t>N/A</t>
        </is>
      </c>
      <c r="Q9" s="8" t="inlineStr">
        <is>
          <t>WideResNet50</t>
        </is>
      </c>
      <c r="R9" s="8" t="inlineStr">
        <is>
          <t>CVPR 2023; feature-space Gaussian noise synthesis; Paper-reported result</t>
        </is>
      </c>
      <c r="S9" s="9">
        <f>HYPERLINK("https://arxiv.org/abs/2303.15140","Link")</f>
        <v/>
      </c>
      <c r="T9" s="9">
        <f>HYPERLINK("https://github.com/DonaldRR/SimpleNet","GitHub")</f>
        <v/>
      </c>
    </row>
    <row r="10" ht="60" customHeight="1">
      <c r="A10" s="8" t="inlineStr">
        <is>
          <t>Distribution-hypothesis / Feature-space Anomaly Synthesis</t>
        </is>
      </c>
      <c r="B10" s="8" t="inlineStr">
        <is>
          <t>GLASS</t>
        </is>
      </c>
      <c r="C10" s="8" t="inlineStr">
        <is>
          <t>Chen et al.</t>
        </is>
      </c>
      <c r="D10" s="8" t="inlineStr">
        <is>
          <t>ECCV 2024</t>
        </is>
      </c>
      <c r="E10" s="8" t="inlineStr">
        <is>
          <t>2024-07</t>
        </is>
      </c>
      <c r="F10" s="8" t="inlineStr">
        <is>
          <t>Published</t>
        </is>
      </c>
      <c r="G10" s="8" t="inlineStr">
        <is>
          <t>gradient-ascent + Perlin</t>
        </is>
      </c>
      <c r="H10" s="8" t="inlineStr">
        <is>
          <t>unsupervised / class-separated</t>
        </is>
      </c>
      <c r="I10" s="8" t="inlineStr">
        <is>
          <t>MVTec AD</t>
        </is>
      </c>
      <c r="J10" s="8" t="inlineStr">
        <is>
          <t>class-separated; category average</t>
        </is>
      </c>
      <c r="K10" s="8" t="inlineStr">
        <is>
          <t>99.9</t>
        </is>
      </c>
      <c r="L10" s="8" t="inlineStr">
        <is>
          <t>N/A</t>
        </is>
      </c>
      <c r="M10" s="8" t="inlineStr">
        <is>
          <t>N/A</t>
        </is>
      </c>
      <c r="N10" s="8" t="inlineStr">
        <is>
          <t>N/A</t>
        </is>
      </c>
      <c r="O10" s="8" t="inlineStr">
        <is>
          <t>N/A</t>
        </is>
      </c>
      <c r="P10" s="8" t="inlineStr">
        <is>
          <t>N/A</t>
        </is>
      </c>
      <c r="Q10" s="8" t="inlineStr">
        <is>
          <t>WideResNet50</t>
        </is>
      </c>
      <c r="R10" s="8" t="inlineStr">
        <is>
          <t>ECCV 2024; global+local synthesis; Paper-reported result; pixel metrics To verify</t>
        </is>
      </c>
      <c r="S10" s="9">
        <f>HYPERLINK("https://arxiv.org/abs/2407.09359","Link")</f>
        <v/>
      </c>
      <c r="T10" s="9">
        <f>HYPERLINK("https://github.com/cqylunlun/GLASS","GitHub")</f>
        <v/>
      </c>
    </row>
    <row r="11" ht="60" customHeight="1">
      <c r="A11" s="2" t="inlineStr">
        <is>
          <t>Vision-language / Foundation-model-based Anomaly Synthesis</t>
        </is>
      </c>
      <c r="B11" s="2" t="inlineStr">
        <is>
          <t>WinCLIP</t>
        </is>
      </c>
      <c r="C11" s="2" t="inlineStr">
        <is>
          <t>Jeong et al.</t>
        </is>
      </c>
      <c r="D11" s="2" t="inlineStr">
        <is>
          <t>CVPR 2023</t>
        </is>
      </c>
      <c r="E11" s="2" t="inlineStr">
        <is>
          <t>2023-03</t>
        </is>
      </c>
      <c r="F11" s="2" t="inlineStr">
        <is>
          <t>Published</t>
        </is>
      </c>
      <c r="G11" s="2" t="inlineStr">
        <is>
          <t>VLM CLIP</t>
        </is>
      </c>
      <c r="H11" s="2" t="inlineStr">
        <is>
          <t>zero-shot / 1-shot</t>
        </is>
      </c>
      <c r="I11" s="2" t="inlineStr">
        <is>
          <t>MVTec AD</t>
        </is>
      </c>
      <c r="J11" s="2" t="inlineStr">
        <is>
          <t>zero-shot and 1-normal-shot; Not directly comparable with unsupervised</t>
        </is>
      </c>
      <c r="K11" s="2" t="inlineStr">
        <is>
          <t>91.8 / 93.1</t>
        </is>
      </c>
      <c r="L11" s="2" t="inlineStr">
        <is>
          <t>85.1 / 95.2</t>
        </is>
      </c>
      <c r="M11" s="2" t="inlineStr">
        <is>
          <t>N/A</t>
        </is>
      </c>
      <c r="N11" s="2" t="inlineStr">
        <is>
          <t>N/A</t>
        </is>
      </c>
      <c r="O11" s="2" t="inlineStr">
        <is>
          <t>N/A</t>
        </is>
      </c>
      <c r="P11" s="2" t="inlineStr">
        <is>
          <t>N/A</t>
        </is>
      </c>
      <c r="Q11" s="2" t="inlineStr">
        <is>
          <t>CLIP ViT-B/16+</t>
        </is>
      </c>
      <c r="R11" s="2" t="inlineStr">
        <is>
          <t>CVPR 2023; zero-shot vs 1-shot results shown; Paper-reported result; Not directly comparable: zero-shot vs unsupervised</t>
        </is>
      </c>
      <c r="S11" s="3">
        <f>HYPERLINK("https://arxiv.org/abs/2303.14814","Link")</f>
        <v/>
      </c>
      <c r="T11" s="2" t="inlineStr">
        <is>
          <t>N/A</t>
        </is>
      </c>
    </row>
  </sheetData>
  <autoFilter ref="A1:T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43C0C"/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5" customWidth="1" min="3" max="3"/>
    <col width="13" customWidth="1" min="4" max="4"/>
    <col width="10" customWidth="1" min="5" max="5"/>
    <col width="13" customWidth="1" min="6" max="6"/>
    <col width="22" customWidth="1" min="7" max="7"/>
    <col width="22" customWidth="1" min="8" max="8"/>
    <col width="18" customWidth="1" min="9" max="9"/>
    <col width="28" customWidth="1" min="10" max="10"/>
    <col width="10" customWidth="1" min="11" max="11"/>
    <col width="10" customWidth="1" min="12" max="12"/>
    <col width="13" customWidth="1" min="13" max="13"/>
    <col width="11" customWidth="1" min="14" max="14"/>
    <col width="14" customWidth="1" min="15" max="15"/>
    <col width="22" customWidth="1" min="16" max="16"/>
    <col width="22" customWidth="1" min="17" max="17"/>
    <col width="45" customWidth="1" min="18" max="18"/>
    <col width="18" customWidth="1" min="19" max="19"/>
    <col width="18" customWidth="1" min="20" max="20"/>
  </cols>
  <sheetData>
    <row r="1" ht="36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合成類型</t>
        </is>
      </c>
      <c r="H1" s="1" t="inlineStr">
        <is>
          <t>任務設定</t>
        </is>
      </c>
      <c r="I1" s="1" t="inlineStr">
        <is>
          <t>資料集</t>
        </is>
      </c>
      <c r="J1" s="1" t="inlineStr">
        <is>
          <t>Split/Protocol</t>
        </is>
      </c>
      <c r="K1" s="1" t="inlineStr">
        <is>
          <t>I-AUROC</t>
        </is>
      </c>
      <c r="L1" s="1" t="inlineStr">
        <is>
          <t>P-AUROC</t>
        </is>
      </c>
      <c r="M1" s="1" t="inlineStr">
        <is>
          <t>AUPRO/PRO</t>
        </is>
      </c>
      <c r="N1" s="1" t="inlineStr">
        <is>
          <t>AP/AUPRC</t>
        </is>
      </c>
      <c r="O1" s="1" t="inlineStr">
        <is>
          <t>F1/Dice/IoU</t>
        </is>
      </c>
      <c r="P1" s="1" t="inlineStr">
        <is>
          <t>合成品質指標</t>
        </is>
      </c>
      <c r="Q1" s="1" t="inlineStr">
        <is>
          <t>Backbone/Detector</t>
        </is>
      </c>
      <c r="R1" s="1" t="inlineStr">
        <is>
          <t>備註(特色/可比性)</t>
        </is>
      </c>
      <c r="S1" s="1" t="inlineStr">
        <is>
          <t>連結</t>
        </is>
      </c>
      <c r="T1" s="1" t="inlineStr">
        <is>
          <t>GitHub</t>
        </is>
      </c>
    </row>
    <row r="2" ht="60" customHeight="1">
      <c r="A2" s="6" t="inlineStr">
        <is>
          <t>Downstream Synthesis-based AD / Segmentation</t>
        </is>
      </c>
      <c r="B2" s="6" t="inlineStr">
        <is>
          <t>EfficientAD</t>
        </is>
      </c>
      <c r="C2" s="6" t="inlineStr">
        <is>
          <t>Batzner et al.</t>
        </is>
      </c>
      <c r="D2" s="6" t="inlineStr">
        <is>
          <t>WACV 2024</t>
        </is>
      </c>
      <c r="E2" s="6" t="inlineStr">
        <is>
          <t>2024-00</t>
        </is>
      </c>
      <c r="F2" s="6" t="inlineStr">
        <is>
          <t>Published</t>
        </is>
      </c>
      <c r="G2" s="6" t="inlineStr">
        <is>
          <t>teacher-student / autoencoder</t>
        </is>
      </c>
      <c r="H2" s="6" t="inlineStr">
        <is>
          <t>unsupervised</t>
        </is>
      </c>
      <c r="I2" s="6" t="inlineStr">
        <is>
          <t>MVTec AD 2</t>
        </is>
      </c>
      <c r="J2" s="6" t="inlineStr">
        <is>
          <t>TESTpub; 8 categories</t>
        </is>
      </c>
      <c r="K2" s="6" t="inlineStr">
        <is>
          <t>N/A</t>
        </is>
      </c>
      <c r="L2" s="6" t="inlineStr">
        <is>
          <t>N/A</t>
        </is>
      </c>
      <c r="M2" s="6" t="inlineStr">
        <is>
          <t>&lt;60% AUPRO (avg)</t>
        </is>
      </c>
      <c r="N2" s="6" t="inlineStr">
        <is>
          <t>N/A</t>
        </is>
      </c>
      <c r="O2" s="6" t="inlineStr">
        <is>
          <t>N/A</t>
        </is>
      </c>
      <c r="P2" s="6" t="inlineStr">
        <is>
          <t>N/A</t>
        </is>
      </c>
      <c r="Q2" s="6" t="inlineStr">
        <is>
          <t>PDN + autoencoder</t>
        </is>
      </c>
      <c r="R2" s="6" t="inlineStr">
        <is>
          <t>To verify exact TESTpub numbers; best SOTA below 60% AUPRO; Official dataset page</t>
        </is>
      </c>
      <c r="S2" s="7">
        <f>HYPERLINK("https://arxiv.org/abs/2303.14535","Link")</f>
        <v/>
      </c>
      <c r="T2" s="6" t="inlineStr">
        <is>
          <t>N/A</t>
        </is>
      </c>
    </row>
    <row r="3" ht="60" customHeight="1">
      <c r="A3" s="6" t="inlineStr">
        <is>
          <t>Downstream Synthesis-based AD / Segmentation</t>
        </is>
      </c>
      <c r="B3" s="6" t="inlineStr">
        <is>
          <t>PatchCore</t>
        </is>
      </c>
      <c r="C3" s="6" t="inlineStr">
        <is>
          <t>Roth et al.</t>
        </is>
      </c>
      <c r="D3" s="6" t="inlineStr">
        <is>
          <t>CVPR 2022</t>
        </is>
      </c>
      <c r="E3" s="6" t="inlineStr">
        <is>
          <t>2022-00</t>
        </is>
      </c>
      <c r="F3" s="6" t="inlineStr">
        <is>
          <t>Published</t>
        </is>
      </c>
      <c r="G3" s="6" t="inlineStr">
        <is>
          <t>memory bank</t>
        </is>
      </c>
      <c r="H3" s="6" t="inlineStr">
        <is>
          <t>unsupervised</t>
        </is>
      </c>
      <c r="I3" s="6" t="inlineStr">
        <is>
          <t>MVTec AD 2</t>
        </is>
      </c>
      <c r="J3" s="6" t="inlineStr">
        <is>
          <t>TESTpub; 8 categories</t>
        </is>
      </c>
      <c r="K3" s="6" t="inlineStr">
        <is>
          <t>N/A</t>
        </is>
      </c>
      <c r="L3" s="6" t="inlineStr">
        <is>
          <t>N/A</t>
        </is>
      </c>
      <c r="M3" s="6" t="inlineStr">
        <is>
          <t>N/A</t>
        </is>
      </c>
      <c r="N3" s="6" t="inlineStr">
        <is>
          <t>N/A</t>
        </is>
      </c>
      <c r="O3" s="6" t="inlineStr">
        <is>
          <t>N/A</t>
        </is>
      </c>
      <c r="P3" s="6" t="inlineStr">
        <is>
          <t>N/A</t>
        </is>
      </c>
      <c r="Q3" s="6" t="inlineStr">
        <is>
          <t>WideResNet50</t>
        </is>
      </c>
      <c r="R3" s="6" t="inlineStr">
        <is>
          <t>To verify exact TESTpub numbers; baseline reference; Official leaderboard / To verify</t>
        </is>
      </c>
      <c r="S3" s="7">
        <f>HYPERLINK("https://arxiv.org/abs/2106.08265","Link")</f>
        <v/>
      </c>
      <c r="T3" s="7">
        <f>HYPERLINK("https://github.com/amazon-science/patchcore-inspection","GitHub")</f>
        <v/>
      </c>
    </row>
    <row r="4" ht="60" customHeight="1">
      <c r="A4" s="2" t="inlineStr">
        <is>
          <t>Vision-language / Foundation-model-based Anomaly Synthesis</t>
        </is>
      </c>
      <c r="B4" s="2" t="inlineStr">
        <is>
          <t>WinCLIP</t>
        </is>
      </c>
      <c r="C4" s="2" t="inlineStr">
        <is>
          <t>Jeong et al.</t>
        </is>
      </c>
      <c r="D4" s="2" t="inlineStr">
        <is>
          <t>CVPR 2023</t>
        </is>
      </c>
      <c r="E4" s="2" t="inlineStr">
        <is>
          <t>2023-03</t>
        </is>
      </c>
      <c r="F4" s="2" t="inlineStr">
        <is>
          <t>Published</t>
        </is>
      </c>
      <c r="G4" s="2" t="inlineStr">
        <is>
          <t>VLM CLIP</t>
        </is>
      </c>
      <c r="H4" s="2" t="inlineStr">
        <is>
          <t>zero-shot</t>
        </is>
      </c>
      <c r="I4" s="2" t="inlineStr">
        <is>
          <t>MVTec AD 2</t>
        </is>
      </c>
      <c r="J4" s="2" t="inlineStr">
        <is>
          <t>TESTpub; zero-shot; Not comparable with standard unsupervised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N/A</t>
        </is>
      </c>
      <c r="N4" s="2" t="inlineStr">
        <is>
          <t>N/A</t>
        </is>
      </c>
      <c r="O4" s="2" t="inlineStr">
        <is>
          <t>N/A</t>
        </is>
      </c>
      <c r="P4" s="2" t="inlineStr">
        <is>
          <t>N/A</t>
        </is>
      </c>
      <c r="Q4" s="2" t="inlineStr">
        <is>
          <t>CLIP ViT-B/16+</t>
        </is>
      </c>
      <c r="R4" s="2" t="inlineStr">
        <is>
          <t>To verify TESTpub numbers; Not directly comparable: zero-shot vs unsupervised protocol</t>
        </is>
      </c>
      <c r="S4" s="3">
        <f>HYPERLINK("https://arxiv.org/abs/2303.14814","Link")</f>
        <v/>
      </c>
      <c r="T4" s="2" t="inlineStr">
        <is>
          <t>N/A</t>
        </is>
      </c>
    </row>
    <row r="5" ht="60" customHeight="1">
      <c r="A5" s="6" t="inlineStr">
        <is>
          <t>Downstream Synthesis-based AD / Segmentation</t>
        </is>
      </c>
      <c r="B5" s="6" t="inlineStr">
        <is>
          <t>UniAD</t>
        </is>
      </c>
      <c r="C5" s="6" t="inlineStr">
        <is>
          <t>You et al.</t>
        </is>
      </c>
      <c r="D5" s="6" t="inlineStr">
        <is>
          <t>NeurIPS 2022</t>
        </is>
      </c>
      <c r="E5" s="6" t="inlineStr">
        <is>
          <t>2022-06</t>
        </is>
      </c>
      <c r="F5" s="6" t="inlineStr">
        <is>
          <t>Published</t>
        </is>
      </c>
      <c r="G5" s="6" t="inlineStr">
        <is>
          <t>multi-class reconstruction</t>
        </is>
      </c>
      <c r="H5" s="6" t="inlineStr">
        <is>
          <t>multi-class</t>
        </is>
      </c>
      <c r="I5" s="6" t="inlineStr">
        <is>
          <t>MVTec AD 2</t>
        </is>
      </c>
      <c r="J5" s="6" t="inlineStr">
        <is>
          <t>TESTpub; multi-class; To verify</t>
        </is>
      </c>
      <c r="K5" s="6" t="inlineStr">
        <is>
          <t>N/A</t>
        </is>
      </c>
      <c r="L5" s="6" t="inlineStr">
        <is>
          <t>N/A</t>
        </is>
      </c>
      <c r="M5" s="6" t="inlineStr">
        <is>
          <t>N/A</t>
        </is>
      </c>
      <c r="N5" s="6" t="inlineStr">
        <is>
          <t>N/A</t>
        </is>
      </c>
      <c r="O5" s="6" t="inlineStr">
        <is>
          <t>N/A</t>
        </is>
      </c>
      <c r="P5" s="6" t="inlineStr">
        <is>
          <t>N/A</t>
        </is>
      </c>
      <c r="Q5" s="6" t="inlineStr">
        <is>
          <t>Transformer</t>
        </is>
      </c>
      <c r="R5" s="6" t="inlineStr">
        <is>
          <t>To verify MVTec AD 2 TESTpub numbers; NeurIPS 2022; To verify</t>
        </is>
      </c>
      <c r="S5" s="7">
        <f>HYPERLINK("https://arxiv.org/abs/2206.03687","Link")</f>
        <v/>
      </c>
      <c r="T5" s="7">
        <f>HYPERLINK("https://github.com/zhiyuanyou/UniAD","GitHub")</f>
        <v/>
      </c>
    </row>
    <row r="6" ht="60" customHeight="1">
      <c r="A6" s="8" t="inlineStr">
        <is>
          <t>Distribution-hypothesis / Feature-space Anomaly Synthesis</t>
        </is>
      </c>
      <c r="B6" s="8" t="inlineStr">
        <is>
          <t>SimpleNet</t>
        </is>
      </c>
      <c r="C6" s="8" t="inlineStr">
        <is>
          <t>Liu et al.</t>
        </is>
      </c>
      <c r="D6" s="8" t="inlineStr">
        <is>
          <t>CVPR 2023</t>
        </is>
      </c>
      <c r="E6" s="8" t="inlineStr">
        <is>
          <t>2023-03</t>
        </is>
      </c>
      <c r="F6" s="8" t="inlineStr">
        <is>
          <t>Published</t>
        </is>
      </c>
      <c r="G6" s="8" t="inlineStr">
        <is>
          <t>Gaussian noise feature-space</t>
        </is>
      </c>
      <c r="H6" s="8" t="inlineStr">
        <is>
          <t>unsupervised</t>
        </is>
      </c>
      <c r="I6" s="8" t="inlineStr">
        <is>
          <t>MVTec AD 2</t>
        </is>
      </c>
      <c r="J6" s="8" t="inlineStr">
        <is>
          <t>TESTpub; To verify</t>
        </is>
      </c>
      <c r="K6" s="8" t="inlineStr">
        <is>
          <t>N/A</t>
        </is>
      </c>
      <c r="L6" s="8" t="inlineStr">
        <is>
          <t>N/A</t>
        </is>
      </c>
      <c r="M6" s="8" t="inlineStr">
        <is>
          <t>N/A</t>
        </is>
      </c>
      <c r="N6" s="8" t="inlineStr">
        <is>
          <t>N/A</t>
        </is>
      </c>
      <c r="O6" s="8" t="inlineStr">
        <is>
          <t>N/A</t>
        </is>
      </c>
      <c r="P6" s="8" t="inlineStr">
        <is>
          <t>N/A</t>
        </is>
      </c>
      <c r="Q6" s="8" t="inlineStr">
        <is>
          <t>WideResNet50</t>
        </is>
      </c>
      <c r="R6" s="8" t="inlineStr">
        <is>
          <t>To verify TESTpub numbers; CVPR 2023</t>
        </is>
      </c>
      <c r="S6" s="9">
        <f>HYPERLINK("https://arxiv.org/abs/2303.15140","Link")</f>
        <v/>
      </c>
      <c r="T6" s="9">
        <f>HYPERLINK("https://github.com/DonaldRR/SimpleNet","GitHub")</f>
        <v/>
      </c>
    </row>
    <row r="7" ht="60" customHeight="1">
      <c r="A7" s="4" t="inlineStr">
        <is>
          <t>Generative-model-based Anomaly Synthesis</t>
        </is>
      </c>
      <c r="B7" s="4" t="inlineStr">
        <is>
          <t>DiAD</t>
        </is>
      </c>
      <c r="C7" s="4" t="inlineStr">
        <is>
          <t>He et al.</t>
        </is>
      </c>
      <c r="D7" s="4" t="inlineStr">
        <is>
          <t>AAAI 2024</t>
        </is>
      </c>
      <c r="E7" s="4" t="inlineStr">
        <is>
          <t>2024-00</t>
        </is>
      </c>
      <c r="F7" s="4" t="inlineStr">
        <is>
          <t>Published</t>
        </is>
      </c>
      <c r="G7" s="4" t="inlineStr">
        <is>
          <t>diffusion / reconstruction</t>
        </is>
      </c>
      <c r="H7" s="4" t="inlineStr">
        <is>
          <t>multi-class</t>
        </is>
      </c>
      <c r="I7" s="4" t="inlineStr">
        <is>
          <t>MVTec AD 2</t>
        </is>
      </c>
      <c r="J7" s="4" t="inlineStr">
        <is>
          <t>TESTpub; To verify</t>
        </is>
      </c>
      <c r="K7" s="4" t="inlineStr">
        <is>
          <t>N/A</t>
        </is>
      </c>
      <c r="L7" s="4" t="inlineStr">
        <is>
          <t>N/A</t>
        </is>
      </c>
      <c r="M7" s="4" t="inlineStr">
        <is>
          <t>N/A</t>
        </is>
      </c>
      <c r="N7" s="4" t="inlineStr">
        <is>
          <t>N/A</t>
        </is>
      </c>
      <c r="O7" s="4" t="inlineStr">
        <is>
          <t>N/A</t>
        </is>
      </c>
      <c r="P7" s="4" t="inlineStr">
        <is>
          <t>N/A</t>
        </is>
      </c>
      <c r="Q7" s="4" t="inlineStr">
        <is>
          <t>Stable Diffusion</t>
        </is>
      </c>
      <c r="R7" s="4" t="inlineStr">
        <is>
          <t>To verify TESTpub numbers; AAAI 2024</t>
        </is>
      </c>
      <c r="S7" s="5">
        <f>HYPERLINK("https://arxiv.org/abs/2312.06607","Link")</f>
        <v/>
      </c>
      <c r="T7" s="5">
        <f>HYPERLINK("https://github.com/lewandofskee/DiAD","GitHub")</f>
        <v/>
      </c>
    </row>
    <row r="8" ht="60" customHeight="1">
      <c r="A8" s="6" t="inlineStr">
        <is>
          <t>Downstream Synthesis-based AD / Segmentation</t>
        </is>
      </c>
      <c r="B8" s="6" t="inlineStr">
        <is>
          <t>INP-Former</t>
        </is>
      </c>
      <c r="C8" s="6" t="inlineStr">
        <is>
          <t>Lou et al.</t>
        </is>
      </c>
      <c r="D8" s="6" t="inlineStr">
        <is>
          <t>CVPR 2025</t>
        </is>
      </c>
      <c r="E8" s="6" t="inlineStr">
        <is>
          <t>2025-00</t>
        </is>
      </c>
      <c r="F8" s="6" t="inlineStr">
        <is>
          <t>Published</t>
        </is>
      </c>
      <c r="G8" s="6" t="inlineStr">
        <is>
          <t>reconstruction / prototype</t>
        </is>
      </c>
      <c r="H8" s="6" t="inlineStr">
        <is>
          <t>multi-class</t>
        </is>
      </c>
      <c r="I8" s="6" t="inlineStr">
        <is>
          <t>MVTec AD 2</t>
        </is>
      </c>
      <c r="J8" s="6" t="inlineStr">
        <is>
          <t>TESTpub; To verify</t>
        </is>
      </c>
      <c r="K8" s="6" t="inlineStr">
        <is>
          <t>N/A</t>
        </is>
      </c>
      <c r="L8" s="6" t="inlineStr">
        <is>
          <t>N/A</t>
        </is>
      </c>
      <c r="M8" s="6" t="inlineStr">
        <is>
          <t>N/A</t>
        </is>
      </c>
      <c r="N8" s="6" t="inlineStr">
        <is>
          <t>N/A</t>
        </is>
      </c>
      <c r="O8" s="6" t="inlineStr">
        <is>
          <t>N/A</t>
        </is>
      </c>
      <c r="P8" s="6" t="inlineStr">
        <is>
          <t>N/A</t>
        </is>
      </c>
      <c r="Q8" s="6" t="inlineStr">
        <is>
          <t>ViT-L/14 (DINOv2)</t>
        </is>
      </c>
      <c r="R8" s="6" t="inlineStr">
        <is>
          <t>To verify TESTpub numbers; CVPR 2025</t>
        </is>
      </c>
      <c r="S8" s="7">
        <f>HYPERLINK("https://github.com/luow23/INP-Former","Link")</f>
        <v/>
      </c>
      <c r="T8" s="7">
        <f>HYPERLINK("https://github.com/luow23/INP-Former","GitHub")</f>
        <v/>
      </c>
    </row>
    <row r="9" ht="60" customHeight="1">
      <c r="A9" s="2" t="inlineStr">
        <is>
          <t>Vision-language / Foundation-model-based Anomaly Synthesis</t>
        </is>
      </c>
      <c r="B9" s="2" t="inlineStr">
        <is>
          <t>AnomalyCLIP</t>
        </is>
      </c>
      <c r="C9" s="2" t="inlineStr">
        <is>
          <t>Zhou et al.</t>
        </is>
      </c>
      <c r="D9" s="2" t="inlineStr">
        <is>
          <t>ICLR 2024</t>
        </is>
      </c>
      <c r="E9" s="2" t="inlineStr">
        <is>
          <t>2024-00</t>
        </is>
      </c>
      <c r="F9" s="2" t="inlineStr">
        <is>
          <t>Published</t>
        </is>
      </c>
      <c r="G9" s="2" t="inlineStr">
        <is>
          <t>VLM / prompt-learning</t>
        </is>
      </c>
      <c r="H9" s="2" t="inlineStr">
        <is>
          <t>zero-shot</t>
        </is>
      </c>
      <c r="I9" s="2" t="inlineStr">
        <is>
          <t>MVTec AD 2</t>
        </is>
      </c>
      <c r="J9" s="2" t="inlineStr">
        <is>
          <t>TESTpub; zero-shot; Not comparable with unsupervised</t>
        </is>
      </c>
      <c r="K9" s="2" t="inlineStr">
        <is>
          <t>N/A</t>
        </is>
      </c>
      <c r="L9" s="2" t="inlineStr">
        <is>
          <t>N/A</t>
        </is>
      </c>
      <c r="M9" s="2" t="inlineStr">
        <is>
          <t>N/A</t>
        </is>
      </c>
      <c r="N9" s="2" t="inlineStr">
        <is>
          <t>N/A</t>
        </is>
      </c>
      <c r="O9" s="2" t="inlineStr">
        <is>
          <t>N/A</t>
        </is>
      </c>
      <c r="P9" s="2" t="inlineStr">
        <is>
          <t>N/A</t>
        </is>
      </c>
      <c r="Q9" s="2" t="inlineStr">
        <is>
          <t>CLIP ViT-L/14</t>
        </is>
      </c>
      <c r="R9" s="2" t="inlineStr">
        <is>
          <t>To verify TESTpub numbers; ICLR 2024; Not directly comparable: zero-shot vs unsupervised</t>
        </is>
      </c>
      <c r="S9" s="3">
        <f>HYPERLINK("https://arxiv.org/abs/2310.18961","Link")</f>
        <v/>
      </c>
      <c r="T9" s="3">
        <f>HYPERLINK("https://github.com/zqhang/AnomalyCLIP","GitHub")</f>
        <v/>
      </c>
    </row>
    <row r="10" ht="60" customHeight="1">
      <c r="A10" s="10" t="inlineStr">
        <is>
          <t>Hand-crafted / Rule-based Anomaly Synthesis</t>
        </is>
      </c>
      <c r="B10" s="10" t="inlineStr">
        <is>
          <t>DRAEM</t>
        </is>
      </c>
      <c r="C10" s="10" t="inlineStr">
        <is>
          <t>Zavrtanik et al.</t>
        </is>
      </c>
      <c r="D10" s="10" t="inlineStr">
        <is>
          <t>ICCV 2021</t>
        </is>
      </c>
      <c r="E10" s="10" t="inlineStr">
        <is>
          <t>2021-08</t>
        </is>
      </c>
      <c r="F10" s="10" t="inlineStr">
        <is>
          <t>Published</t>
        </is>
      </c>
      <c r="G10" s="10" t="inlineStr">
        <is>
          <t>Perlin + DTD texture</t>
        </is>
      </c>
      <c r="H10" s="10" t="inlineStr">
        <is>
          <t>unsupervised</t>
        </is>
      </c>
      <c r="I10" s="10" t="inlineStr">
        <is>
          <t>MVTec AD 2</t>
        </is>
      </c>
      <c r="J10" s="10" t="inlineStr">
        <is>
          <t>TESTpub; To verify — MVTec AD 2 specific results may not be reported</t>
        </is>
      </c>
      <c r="K10" s="10" t="inlineStr">
        <is>
          <t>N/A</t>
        </is>
      </c>
      <c r="L10" s="10" t="inlineStr">
        <is>
          <t>N/A</t>
        </is>
      </c>
      <c r="M10" s="10" t="inlineStr">
        <is>
          <t>N/A</t>
        </is>
      </c>
      <c r="N10" s="10" t="inlineStr">
        <is>
          <t>N/A</t>
        </is>
      </c>
      <c r="O10" s="10" t="inlineStr">
        <is>
          <t>N/A</t>
        </is>
      </c>
      <c r="P10" s="10" t="inlineStr">
        <is>
          <t>N/A</t>
        </is>
      </c>
      <c r="Q10" s="10" t="inlineStr">
        <is>
          <t>U-Net</t>
        </is>
      </c>
      <c r="R10" s="10" t="inlineStr">
        <is>
          <t>To verify MVTec AD 2 TESTpub; seminal baseline; Not directly comparable: ICCV 2021 paper pre-dates MVTec AD 2</t>
        </is>
      </c>
      <c r="S10" s="11">
        <f>HYPERLINK("https://arxiv.org/abs/2108.07610","Link")</f>
        <v/>
      </c>
      <c r="T10" s="11">
        <f>HYPERLINK("https://github.com/VitjanZ/DRAEM","GitHub")</f>
        <v/>
      </c>
    </row>
    <row r="11" ht="60" customHeight="1">
      <c r="A11" s="4" t="inlineStr">
        <is>
          <t>Generative-model-based Anomaly Synthesis</t>
        </is>
      </c>
      <c r="B11" s="4" t="inlineStr">
        <is>
          <t>RealNet</t>
        </is>
      </c>
      <c r="C11" s="4" t="inlineStr">
        <is>
          <t>Zhang et al.</t>
        </is>
      </c>
      <c r="D11" s="4" t="inlineStr">
        <is>
          <t>CVPR 2024</t>
        </is>
      </c>
      <c r="E11" s="4" t="inlineStr">
        <is>
          <t>2024-03</t>
        </is>
      </c>
      <c r="F11" s="4" t="inlineStr">
        <is>
          <t>Published</t>
        </is>
      </c>
      <c r="G11" s="4" t="inlineStr">
        <is>
          <t>diffusion (SDAS)</t>
        </is>
      </c>
      <c r="H11" s="4" t="inlineStr">
        <is>
          <t>unsupervised</t>
        </is>
      </c>
      <c r="I11" s="4" t="inlineStr">
        <is>
          <t>MVTec AD 2</t>
        </is>
      </c>
      <c r="J11" s="4" t="inlineStr">
        <is>
          <t>TESTpub; To verify</t>
        </is>
      </c>
      <c r="K11" s="4" t="inlineStr">
        <is>
          <t>N/A</t>
        </is>
      </c>
      <c r="L11" s="4" t="inlineStr">
        <is>
          <t>N/A</t>
        </is>
      </c>
      <c r="M11" s="4" t="inlineStr">
        <is>
          <t>N/A</t>
        </is>
      </c>
      <c r="N11" s="4" t="inlineStr">
        <is>
          <t>N/A</t>
        </is>
      </c>
      <c r="O11" s="4" t="inlineStr">
        <is>
          <t>N/A</t>
        </is>
      </c>
      <c r="P11" s="4" t="inlineStr">
        <is>
          <t>N/A</t>
        </is>
      </c>
      <c r="Q11" s="4" t="inlineStr">
        <is>
          <t>WideResNet50</t>
        </is>
      </c>
      <c r="R11" s="4" t="inlineStr">
        <is>
          <t>To verify TESTpub numbers; CVPR 2024</t>
        </is>
      </c>
      <c r="S11" s="5">
        <f>HYPERLINK("https://arxiv.org/abs/2403.05897","Link")</f>
        <v/>
      </c>
      <c r="T11" s="5">
        <f>HYPERLINK("https://github.com/cnulab/RealNet","GitHub")</f>
        <v/>
      </c>
    </row>
  </sheetData>
  <autoFilter ref="A1:T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43C0C"/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5" customWidth="1" min="3" max="3"/>
    <col width="13" customWidth="1" min="4" max="4"/>
    <col width="10" customWidth="1" min="5" max="5"/>
    <col width="13" customWidth="1" min="6" max="6"/>
    <col width="22" customWidth="1" min="7" max="7"/>
    <col width="22" customWidth="1" min="8" max="8"/>
    <col width="18" customWidth="1" min="9" max="9"/>
    <col width="28" customWidth="1" min="10" max="10"/>
    <col width="10" customWidth="1" min="11" max="11"/>
    <col width="10" customWidth="1" min="12" max="12"/>
    <col width="13" customWidth="1" min="13" max="13"/>
    <col width="11" customWidth="1" min="14" max="14"/>
    <col width="14" customWidth="1" min="15" max="15"/>
    <col width="22" customWidth="1" min="16" max="16"/>
    <col width="22" customWidth="1" min="17" max="17"/>
    <col width="45" customWidth="1" min="18" max="18"/>
    <col width="18" customWidth="1" min="19" max="19"/>
    <col width="18" customWidth="1" min="20" max="20"/>
  </cols>
  <sheetData>
    <row r="1" ht="36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合成類型</t>
        </is>
      </c>
      <c r="H1" s="1" t="inlineStr">
        <is>
          <t>任務設定</t>
        </is>
      </c>
      <c r="I1" s="1" t="inlineStr">
        <is>
          <t>資料集</t>
        </is>
      </c>
      <c r="J1" s="1" t="inlineStr">
        <is>
          <t>Split/Protocol</t>
        </is>
      </c>
      <c r="K1" s="1" t="inlineStr">
        <is>
          <t>I-AUROC</t>
        </is>
      </c>
      <c r="L1" s="1" t="inlineStr">
        <is>
          <t>P-AUROC</t>
        </is>
      </c>
      <c r="M1" s="1" t="inlineStr">
        <is>
          <t>AUPRO/PRO</t>
        </is>
      </c>
      <c r="N1" s="1" t="inlineStr">
        <is>
          <t>AP/AUPRC</t>
        </is>
      </c>
      <c r="O1" s="1" t="inlineStr">
        <is>
          <t>F1/Dice/IoU</t>
        </is>
      </c>
      <c r="P1" s="1" t="inlineStr">
        <is>
          <t>合成品質指標</t>
        </is>
      </c>
      <c r="Q1" s="1" t="inlineStr">
        <is>
          <t>Backbone/Detector</t>
        </is>
      </c>
      <c r="R1" s="1" t="inlineStr">
        <is>
          <t>備註(特色/可比性)</t>
        </is>
      </c>
      <c r="S1" s="1" t="inlineStr">
        <is>
          <t>連結</t>
        </is>
      </c>
      <c r="T1" s="1" t="inlineStr">
        <is>
          <t>GitHub</t>
        </is>
      </c>
    </row>
    <row r="2" ht="60" customHeight="1">
      <c r="A2" s="12" t="inlineStr">
        <is>
          <t>NOTE: No publicly verified results found for this split/protocol. Manual search of official MVTec AD 2 leaderboard (benchmark.mvtec.com) or Real-IAD project page required. All rows marked To verify.</t>
        </is>
      </c>
    </row>
  </sheetData>
  <autoFilter ref="A1:T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5" customWidth="1" min="3" max="3"/>
    <col width="13" customWidth="1" min="4" max="4"/>
    <col width="10" customWidth="1" min="5" max="5"/>
    <col width="13" customWidth="1" min="6" max="6"/>
    <col width="22" customWidth="1" min="7" max="7"/>
    <col width="22" customWidth="1" min="8" max="8"/>
    <col width="18" customWidth="1" min="9" max="9"/>
    <col width="28" customWidth="1" min="10" max="10"/>
    <col width="10" customWidth="1" min="11" max="11"/>
    <col width="10" customWidth="1" min="12" max="12"/>
    <col width="13" customWidth="1" min="13" max="13"/>
    <col width="11" customWidth="1" min="14" max="14"/>
    <col width="14" customWidth="1" min="15" max="15"/>
    <col width="22" customWidth="1" min="16" max="16"/>
    <col width="22" customWidth="1" min="17" max="17"/>
    <col width="45" customWidth="1" min="18" max="18"/>
    <col width="18" customWidth="1" min="19" max="19"/>
    <col width="18" customWidth="1" min="20" max="20"/>
  </cols>
  <sheetData>
    <row r="1" ht="36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合成類型</t>
        </is>
      </c>
      <c r="H1" s="1" t="inlineStr">
        <is>
          <t>任務設定</t>
        </is>
      </c>
      <c r="I1" s="1" t="inlineStr">
        <is>
          <t>資料集</t>
        </is>
      </c>
      <c r="J1" s="1" t="inlineStr">
        <is>
          <t>Split/Protocol</t>
        </is>
      </c>
      <c r="K1" s="1" t="inlineStr">
        <is>
          <t>I-AUROC</t>
        </is>
      </c>
      <c r="L1" s="1" t="inlineStr">
        <is>
          <t>P-AUROC</t>
        </is>
      </c>
      <c r="M1" s="1" t="inlineStr">
        <is>
          <t>AUPRO/PRO</t>
        </is>
      </c>
      <c r="N1" s="1" t="inlineStr">
        <is>
          <t>AP/AUPRC</t>
        </is>
      </c>
      <c r="O1" s="1" t="inlineStr">
        <is>
          <t>F1/Dice/IoU</t>
        </is>
      </c>
      <c r="P1" s="1" t="inlineStr">
        <is>
          <t>合成品質指標</t>
        </is>
      </c>
      <c r="Q1" s="1" t="inlineStr">
        <is>
          <t>Backbone/Detector</t>
        </is>
      </c>
      <c r="R1" s="1" t="inlineStr">
        <is>
          <t>備註(特色/可比性)</t>
        </is>
      </c>
      <c r="S1" s="1" t="inlineStr">
        <is>
          <t>連結</t>
        </is>
      </c>
      <c r="T1" s="1" t="inlineStr">
        <is>
          <t>GitHub</t>
        </is>
      </c>
    </row>
    <row r="2" ht="60" customHeight="1">
      <c r="A2" s="6" t="inlineStr">
        <is>
          <t>Downstream Synthesis-based AD / Segmentation</t>
        </is>
      </c>
      <c r="B2" s="6" t="inlineStr">
        <is>
          <t>EfficientAD</t>
        </is>
      </c>
      <c r="C2" s="6" t="inlineStr">
        <is>
          <t>Batzner et al.</t>
        </is>
      </c>
      <c r="D2" s="6" t="inlineStr">
        <is>
          <t>WACV 2024</t>
        </is>
      </c>
      <c r="E2" s="6" t="inlineStr">
        <is>
          <t>2024-00</t>
        </is>
      </c>
      <c r="F2" s="6" t="inlineStr">
        <is>
          <t>Published</t>
        </is>
      </c>
      <c r="G2" s="6" t="inlineStr">
        <is>
          <t>teacher-student + autoencoder</t>
        </is>
      </c>
      <c r="H2" s="6" t="inlineStr">
        <is>
          <t>unsupervised; structural+logical</t>
        </is>
      </c>
      <c r="I2" s="6" t="inlineStr">
        <is>
          <t>MVTec LOCO AD</t>
        </is>
      </c>
      <c r="J2" s="6" t="inlineStr">
        <is>
          <t>5 categories; structural + logical</t>
        </is>
      </c>
      <c r="K2" s="6" t="inlineStr">
        <is>
          <t>N/A</t>
        </is>
      </c>
      <c r="L2" s="6" t="inlineStr">
        <is>
          <t>N/A</t>
        </is>
      </c>
      <c r="M2" s="6" t="inlineStr">
        <is>
          <t>N/A</t>
        </is>
      </c>
      <c r="N2" s="6" t="inlineStr">
        <is>
          <t>N/A</t>
        </is>
      </c>
      <c r="O2" s="6" t="inlineStr">
        <is>
          <t>N/A</t>
        </is>
      </c>
      <c r="P2" s="6" t="inlineStr">
        <is>
          <t>N/A</t>
        </is>
      </c>
      <c r="Q2" s="6" t="inlineStr">
        <is>
          <t>PDN + autoencoder</t>
        </is>
      </c>
      <c r="R2" s="6" t="inlineStr">
        <is>
          <t>WACV 2024; designed for logical anomalies; SOTA on LOCO; Paper-reported result; To verify exact AUPRO</t>
        </is>
      </c>
      <c r="S2" s="7">
        <f>HYPERLINK("https://arxiv.org/abs/2303.14535","Link")</f>
        <v/>
      </c>
      <c r="T2" s="6" t="inlineStr">
        <is>
          <t>N/A</t>
        </is>
      </c>
    </row>
    <row r="3" ht="60" customHeight="1">
      <c r="A3" s="6" t="inlineStr">
        <is>
          <t>Downstream Synthesis-based AD / Segmentation</t>
        </is>
      </c>
      <c r="B3" s="6" t="inlineStr">
        <is>
          <t>UniAD</t>
        </is>
      </c>
      <c r="C3" s="6" t="inlineStr">
        <is>
          <t>You et al.</t>
        </is>
      </c>
      <c r="D3" s="6" t="inlineStr">
        <is>
          <t>NeurIPS 2022</t>
        </is>
      </c>
      <c r="E3" s="6" t="inlineStr">
        <is>
          <t>2022-06</t>
        </is>
      </c>
      <c r="F3" s="6" t="inlineStr">
        <is>
          <t>Published</t>
        </is>
      </c>
      <c r="G3" s="6" t="inlineStr">
        <is>
          <t>multi-class reconstruction</t>
        </is>
      </c>
      <c r="H3" s="6" t="inlineStr">
        <is>
          <t>multi-class; structural anomaly focus</t>
        </is>
      </c>
      <c r="I3" s="6" t="inlineStr">
        <is>
          <t>MVTec LOCO AD</t>
        </is>
      </c>
      <c r="J3" s="6" t="inlineStr">
        <is>
          <t>5 categories; structural + logical; To verify</t>
        </is>
      </c>
      <c r="K3" s="6" t="inlineStr">
        <is>
          <t>N/A</t>
        </is>
      </c>
      <c r="L3" s="6" t="inlineStr">
        <is>
          <t>N/A</t>
        </is>
      </c>
      <c r="M3" s="6" t="inlineStr">
        <is>
          <t>N/A</t>
        </is>
      </c>
      <c r="N3" s="6" t="inlineStr">
        <is>
          <t>N/A</t>
        </is>
      </c>
      <c r="O3" s="6" t="inlineStr">
        <is>
          <t>N/A</t>
        </is>
      </c>
      <c r="P3" s="6" t="inlineStr">
        <is>
          <t>N/A</t>
        </is>
      </c>
      <c r="Q3" s="6" t="inlineStr">
        <is>
          <t>Transformer</t>
        </is>
      </c>
      <c r="R3" s="6" t="inlineStr">
        <is>
          <t>NeurIPS 2022; logical anomaly performance may be limited; To verify</t>
        </is>
      </c>
      <c r="S3" s="7">
        <f>HYPERLINK("https://arxiv.org/abs/2206.03687","Link")</f>
        <v/>
      </c>
      <c r="T3" s="7">
        <f>HYPERLINK("https://github.com/zhiyuanyou/UniAD","GitHub")</f>
        <v/>
      </c>
    </row>
    <row r="4" ht="60" customHeight="1">
      <c r="A4" s="8" t="inlineStr">
        <is>
          <t>Distribution-hypothesis / Feature-space Anomaly Synthesis</t>
        </is>
      </c>
      <c r="B4" s="8" t="inlineStr">
        <is>
          <t>GLASS</t>
        </is>
      </c>
      <c r="C4" s="8" t="inlineStr">
        <is>
          <t>Chen et al.</t>
        </is>
      </c>
      <c r="D4" s="8" t="inlineStr">
        <is>
          <t>ECCV 2024</t>
        </is>
      </c>
      <c r="E4" s="8" t="inlineStr">
        <is>
          <t>2024-07</t>
        </is>
      </c>
      <c r="F4" s="8" t="inlineStr">
        <is>
          <t>Published</t>
        </is>
      </c>
      <c r="G4" s="8" t="inlineStr">
        <is>
          <t>gradient-ascent + Perlin</t>
        </is>
      </c>
      <c r="H4" s="8" t="inlineStr">
        <is>
          <t>unsupervised; structural anomaly focus</t>
        </is>
      </c>
      <c r="I4" s="8" t="inlineStr">
        <is>
          <t>MVTec LOCO AD</t>
        </is>
      </c>
      <c r="J4" s="8" t="inlineStr">
        <is>
          <t>To verify — LOCO results may not be reported in main paper</t>
        </is>
      </c>
      <c r="K4" s="8" t="inlineStr">
        <is>
          <t>N/A</t>
        </is>
      </c>
      <c r="L4" s="8" t="inlineStr">
        <is>
          <t>N/A</t>
        </is>
      </c>
      <c r="M4" s="8" t="inlineStr">
        <is>
          <t>N/A</t>
        </is>
      </c>
      <c r="N4" s="8" t="inlineStr">
        <is>
          <t>N/A</t>
        </is>
      </c>
      <c r="O4" s="8" t="inlineStr">
        <is>
          <t>N/A</t>
        </is>
      </c>
      <c r="P4" s="8" t="inlineStr">
        <is>
          <t>N/A</t>
        </is>
      </c>
      <c r="Q4" s="8" t="inlineStr">
        <is>
          <t>WideResNet50</t>
        </is>
      </c>
      <c r="R4" s="8" t="inlineStr">
        <is>
          <t>ECCV 2024; To verify LOCO AD specific numbers</t>
        </is>
      </c>
      <c r="S4" s="9">
        <f>HYPERLINK("https://arxiv.org/abs/2407.09359","Link")</f>
        <v/>
      </c>
      <c r="T4" s="9">
        <f>HYPERLINK("https://github.com/cqylunlun/GLASS","GitHub")</f>
        <v/>
      </c>
    </row>
    <row r="5" ht="60" customHeight="1">
      <c r="A5" s="6" t="inlineStr">
        <is>
          <t>Downstream Synthesis-based AD / Segmentation</t>
        </is>
      </c>
      <c r="B5" s="6" t="inlineStr">
        <is>
          <t>PatchCore</t>
        </is>
      </c>
      <c r="C5" s="6" t="inlineStr">
        <is>
          <t>Roth et al.</t>
        </is>
      </c>
      <c r="D5" s="6" t="inlineStr">
        <is>
          <t>CVPR 2022</t>
        </is>
      </c>
      <c r="E5" s="6" t="inlineStr">
        <is>
          <t>2022-00</t>
        </is>
      </c>
      <c r="F5" s="6" t="inlineStr">
        <is>
          <t>Published</t>
        </is>
      </c>
      <c r="G5" s="6" t="inlineStr">
        <is>
          <t>memory bank</t>
        </is>
      </c>
      <c r="H5" s="6" t="inlineStr">
        <is>
          <t>unsupervised / class-separated</t>
        </is>
      </c>
      <c r="I5" s="6" t="inlineStr">
        <is>
          <t>MVTec LOCO AD</t>
        </is>
      </c>
      <c r="J5" s="6" t="inlineStr">
        <is>
          <t>5 categories; structural + logical; To verify</t>
        </is>
      </c>
      <c r="K5" s="6" t="inlineStr">
        <is>
          <t>N/A</t>
        </is>
      </c>
      <c r="L5" s="6" t="inlineStr">
        <is>
          <t>N/A</t>
        </is>
      </c>
      <c r="M5" s="6" t="inlineStr">
        <is>
          <t>N/A</t>
        </is>
      </c>
      <c r="N5" s="6" t="inlineStr">
        <is>
          <t>N/A</t>
        </is>
      </c>
      <c r="O5" s="6" t="inlineStr">
        <is>
          <t>N/A</t>
        </is>
      </c>
      <c r="P5" s="6" t="inlineStr">
        <is>
          <t>N/A</t>
        </is>
      </c>
      <c r="Q5" s="6" t="inlineStr">
        <is>
          <t>WideResNet50</t>
        </is>
      </c>
      <c r="R5" s="6" t="inlineStr">
        <is>
          <t>CVPR 2022; baseline; To verify LOCO numbers</t>
        </is>
      </c>
      <c r="S5" s="7">
        <f>HYPERLINK("https://arxiv.org/abs/2106.08265","Link")</f>
        <v/>
      </c>
      <c r="T5" s="7">
        <f>HYPERLINK("https://github.com/amazon-science/patchcore-inspection","GitHub")</f>
        <v/>
      </c>
    </row>
    <row r="6" ht="60" customHeight="1">
      <c r="A6" s="10" t="inlineStr">
        <is>
          <t>Hand-crafted / Rule-based Anomaly Synthesis</t>
        </is>
      </c>
      <c r="B6" s="10" t="inlineStr">
        <is>
          <t>DRAEM</t>
        </is>
      </c>
      <c r="C6" s="10" t="inlineStr">
        <is>
          <t>Zavrtanik et al.</t>
        </is>
      </c>
      <c r="D6" s="10" t="inlineStr">
        <is>
          <t>ICCV 2021</t>
        </is>
      </c>
      <c r="E6" s="10" t="inlineStr">
        <is>
          <t>2021-08</t>
        </is>
      </c>
      <c r="F6" s="10" t="inlineStr">
        <is>
          <t>Published</t>
        </is>
      </c>
      <c r="G6" s="10" t="inlineStr">
        <is>
          <t>Perlin + DTD texture</t>
        </is>
      </c>
      <c r="H6" s="10" t="inlineStr">
        <is>
          <t>unsupervised</t>
        </is>
      </c>
      <c r="I6" s="10" t="inlineStr">
        <is>
          <t>MVTec LOCO AD</t>
        </is>
      </c>
      <c r="J6" s="10" t="inlineStr">
        <is>
          <t>5 categories; structural only focus; To verify logical performance</t>
        </is>
      </c>
      <c r="K6" s="10" t="inlineStr">
        <is>
          <t>N/A</t>
        </is>
      </c>
      <c r="L6" s="10" t="inlineStr">
        <is>
          <t>N/A</t>
        </is>
      </c>
      <c r="M6" s="10" t="inlineStr">
        <is>
          <t>N/A</t>
        </is>
      </c>
      <c r="N6" s="10" t="inlineStr">
        <is>
          <t>N/A</t>
        </is>
      </c>
      <c r="O6" s="10" t="inlineStr">
        <is>
          <t>N/A</t>
        </is>
      </c>
      <c r="P6" s="10" t="inlineStr">
        <is>
          <t>N/A</t>
        </is>
      </c>
      <c r="Q6" s="10" t="inlineStr">
        <is>
          <t>U-Net</t>
        </is>
      </c>
      <c r="R6" s="10" t="inlineStr">
        <is>
          <t>ICCV 2021; originally designed for structural anomalies; logical anomaly handling limited; To verify</t>
        </is>
      </c>
      <c r="S6" s="11">
        <f>HYPERLINK("https://arxiv.org/abs/2108.07610","Link")</f>
        <v/>
      </c>
      <c r="T6" s="11">
        <f>HYPERLINK("https://github.com/VitjanZ/DRAEM","GitHub")</f>
        <v/>
      </c>
    </row>
    <row r="7" ht="60" customHeight="1">
      <c r="A7" s="6" t="inlineStr">
        <is>
          <t>Downstream Synthesis-based AD / Segmentation</t>
        </is>
      </c>
      <c r="B7" s="6" t="inlineStr">
        <is>
          <t>INP-Former</t>
        </is>
      </c>
      <c r="C7" s="6" t="inlineStr">
        <is>
          <t>Lou et al.</t>
        </is>
      </c>
      <c r="D7" s="6" t="inlineStr">
        <is>
          <t>CVPR 2025</t>
        </is>
      </c>
      <c r="E7" s="6" t="inlineStr">
        <is>
          <t>2025-00</t>
        </is>
      </c>
      <c r="F7" s="6" t="inlineStr">
        <is>
          <t>Published</t>
        </is>
      </c>
      <c r="G7" s="6" t="inlineStr">
        <is>
          <t>reconstruction / prototype</t>
        </is>
      </c>
      <c r="H7" s="6" t="inlineStr">
        <is>
          <t>multi-class / unsupervised</t>
        </is>
      </c>
      <c r="I7" s="6" t="inlineStr">
        <is>
          <t>MVTec LOCO AD</t>
        </is>
      </c>
      <c r="J7" s="6" t="inlineStr">
        <is>
          <t>5 categories; structural + logical; To verify</t>
        </is>
      </c>
      <c r="K7" s="6" t="inlineStr">
        <is>
          <t>N/A</t>
        </is>
      </c>
      <c r="L7" s="6" t="inlineStr">
        <is>
          <t>N/A</t>
        </is>
      </c>
      <c r="M7" s="6" t="inlineStr">
        <is>
          <t>N/A</t>
        </is>
      </c>
      <c r="N7" s="6" t="inlineStr">
        <is>
          <t>N/A</t>
        </is>
      </c>
      <c r="O7" s="6" t="inlineStr">
        <is>
          <t>N/A</t>
        </is>
      </c>
      <c r="P7" s="6" t="inlineStr">
        <is>
          <t>N/A</t>
        </is>
      </c>
      <c r="Q7" s="6" t="inlineStr">
        <is>
          <t>ViT-L/14 (DINOv2)</t>
        </is>
      </c>
      <c r="R7" s="6" t="inlineStr">
        <is>
          <t>CVPR 2025; To verify LOCO AD numbers</t>
        </is>
      </c>
      <c r="S7" s="7">
        <f>HYPERLINK("https://github.com/luow23/INP-Former","Link")</f>
        <v/>
      </c>
      <c r="T7" s="7">
        <f>HYPERLINK("https://github.com/luow23/INP-Former","GitHub")</f>
        <v/>
      </c>
    </row>
    <row r="8" ht="60" customHeight="1">
      <c r="A8" s="2" t="inlineStr">
        <is>
          <t>Vision-language / Foundation-model-based Anomaly Synthesis</t>
        </is>
      </c>
      <c r="B8" s="2" t="inlineStr">
        <is>
          <t>AnomalyXFusion</t>
        </is>
      </c>
      <c r="C8" s="2" t="inlineStr">
        <is>
          <t>Hu et al.</t>
        </is>
      </c>
      <c r="D8" s="2" t="inlineStr">
        <is>
          <t>arXiv</t>
        </is>
      </c>
      <c r="E8" s="2" t="inlineStr">
        <is>
          <t>2024-04</t>
        </is>
      </c>
      <c r="F8" s="2" t="inlineStr">
        <is>
          <t>arXiv</t>
        </is>
      </c>
      <c r="G8" s="2" t="inlineStr">
        <is>
          <t>diffusion / multi-modal</t>
        </is>
      </c>
      <c r="H8" s="2" t="inlineStr">
        <is>
          <t>few-shot; logical anomaly focus</t>
        </is>
      </c>
      <c r="I8" s="2" t="inlineStr">
        <is>
          <t>MVTec LOCO AD</t>
        </is>
      </c>
      <c r="J8" s="2" t="inlineStr">
        <is>
          <t>5 categories; logical anomalies focus; uses real anomalies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N/A</t>
        </is>
      </c>
      <c r="N8" s="2" t="inlineStr">
        <is>
          <t>N/A</t>
        </is>
      </c>
      <c r="O8" s="2" t="inlineStr">
        <is>
          <t>N/A</t>
        </is>
      </c>
      <c r="P8" s="2" t="inlineStr">
        <is>
          <t>FID; diversity</t>
        </is>
      </c>
      <c r="Q8" s="2" t="inlineStr">
        <is>
          <t>LDM + Multi-modal Fusion</t>
        </is>
      </c>
      <c r="R8" s="2" t="inlineStr">
        <is>
          <t>Multi-modal anomaly synthesis; logical anomaly generation; uses real anomalies — Data leakage risk; Unverified arXiv claim</t>
        </is>
      </c>
      <c r="S8" s="3">
        <f>HYPERLINK("https://arxiv.org/abs/2404.19444","Link")</f>
        <v/>
      </c>
      <c r="T8" s="2" t="inlineStr">
        <is>
          <t>N/A</t>
        </is>
      </c>
    </row>
    <row r="9" ht="60" customHeight="1">
      <c r="A9" s="6" t="inlineStr">
        <is>
          <t>Downstream Synthesis-based AD / Segmentation</t>
        </is>
      </c>
      <c r="B9" s="6" t="inlineStr">
        <is>
          <t>DiAD</t>
        </is>
      </c>
      <c r="C9" s="6" t="inlineStr">
        <is>
          <t>He et al.</t>
        </is>
      </c>
      <c r="D9" s="6" t="inlineStr">
        <is>
          <t>AAAI 2024</t>
        </is>
      </c>
      <c r="E9" s="6" t="inlineStr">
        <is>
          <t>2024-00</t>
        </is>
      </c>
      <c r="F9" s="6" t="inlineStr">
        <is>
          <t>Published</t>
        </is>
      </c>
      <c r="G9" s="6" t="inlineStr">
        <is>
          <t>diffusion / reconstruction</t>
        </is>
      </c>
      <c r="H9" s="6" t="inlineStr">
        <is>
          <t>multi-class; structural focus</t>
        </is>
      </c>
      <c r="I9" s="6" t="inlineStr">
        <is>
          <t>MVTec LOCO AD</t>
        </is>
      </c>
      <c r="J9" s="6" t="inlineStr">
        <is>
          <t>To verify — LOCO results may not be main contribution</t>
        </is>
      </c>
      <c r="K9" s="6" t="inlineStr">
        <is>
          <t>N/A</t>
        </is>
      </c>
      <c r="L9" s="6" t="inlineStr">
        <is>
          <t>N/A</t>
        </is>
      </c>
      <c r="M9" s="6" t="inlineStr">
        <is>
          <t>N/A</t>
        </is>
      </c>
      <c r="N9" s="6" t="inlineStr">
        <is>
          <t>N/A</t>
        </is>
      </c>
      <c r="O9" s="6" t="inlineStr">
        <is>
          <t>N/A</t>
        </is>
      </c>
      <c r="P9" s="6" t="inlineStr">
        <is>
          <t>N/A</t>
        </is>
      </c>
      <c r="Q9" s="6" t="inlineStr">
        <is>
          <t>Stable Diffusion</t>
        </is>
      </c>
      <c r="R9" s="6" t="inlineStr">
        <is>
          <t>To verify LOCO numbers; AAAI 2024</t>
        </is>
      </c>
      <c r="S9" s="7">
        <f>HYPERLINK("https://arxiv.org/abs/2312.06607","Link")</f>
        <v/>
      </c>
      <c r="T9" s="7">
        <f>HYPERLINK("https://github.com/lewandofskee/DiAD","GitHub")</f>
        <v/>
      </c>
    </row>
    <row r="10" ht="60" customHeight="1">
      <c r="A10" s="8" t="inlineStr">
        <is>
          <t>Distribution-hypothesis / Feature-space Anomaly Synthesis</t>
        </is>
      </c>
      <c r="B10" s="8" t="inlineStr">
        <is>
          <t>SimpleNet</t>
        </is>
      </c>
      <c r="C10" s="8" t="inlineStr">
        <is>
          <t>Liu et al.</t>
        </is>
      </c>
      <c r="D10" s="8" t="inlineStr">
        <is>
          <t>CVPR 2023</t>
        </is>
      </c>
      <c r="E10" s="8" t="inlineStr">
        <is>
          <t>2023-03</t>
        </is>
      </c>
      <c r="F10" s="8" t="inlineStr">
        <is>
          <t>Published</t>
        </is>
      </c>
      <c r="G10" s="8" t="inlineStr">
        <is>
          <t>Gaussian noise feature-space</t>
        </is>
      </c>
      <c r="H10" s="8" t="inlineStr">
        <is>
          <t>unsupervised</t>
        </is>
      </c>
      <c r="I10" s="8" t="inlineStr">
        <is>
          <t>MVTec LOCO AD</t>
        </is>
      </c>
      <c r="J10" s="8" t="inlineStr">
        <is>
          <t>To verify — LOCO results uncertain</t>
        </is>
      </c>
      <c r="K10" s="8" t="inlineStr">
        <is>
          <t>N/A</t>
        </is>
      </c>
      <c r="L10" s="8" t="inlineStr">
        <is>
          <t>N/A</t>
        </is>
      </c>
      <c r="M10" s="8" t="inlineStr">
        <is>
          <t>N/A</t>
        </is>
      </c>
      <c r="N10" s="8" t="inlineStr">
        <is>
          <t>N/A</t>
        </is>
      </c>
      <c r="O10" s="8" t="inlineStr">
        <is>
          <t>N/A</t>
        </is>
      </c>
      <c r="P10" s="8" t="inlineStr">
        <is>
          <t>N/A</t>
        </is>
      </c>
      <c r="Q10" s="8" t="inlineStr">
        <is>
          <t>WideResNet50</t>
        </is>
      </c>
      <c r="R10" s="8" t="inlineStr">
        <is>
          <t>CVPR 2023; To verify LOCO numbers</t>
        </is>
      </c>
      <c r="S10" s="9">
        <f>HYPERLINK("https://arxiv.org/abs/2303.15140","Link")</f>
        <v/>
      </c>
      <c r="T10" s="9">
        <f>HYPERLINK("https://github.com/DonaldRR/SimpleNet","GitHub")</f>
        <v/>
      </c>
    </row>
    <row r="11" ht="60" customHeight="1">
      <c r="A11" s="2" t="inlineStr">
        <is>
          <t>Vision-language / Foundation-model-based Anomaly Synthesis</t>
        </is>
      </c>
      <c r="B11" s="2" t="inlineStr">
        <is>
          <t>WinCLIP</t>
        </is>
      </c>
      <c r="C11" s="2" t="inlineStr">
        <is>
          <t>Jeong et al.</t>
        </is>
      </c>
      <c r="D11" s="2" t="inlineStr">
        <is>
          <t>CVPR 2023</t>
        </is>
      </c>
      <c r="E11" s="2" t="inlineStr">
        <is>
          <t>2023-03</t>
        </is>
      </c>
      <c r="F11" s="2" t="inlineStr">
        <is>
          <t>Published</t>
        </is>
      </c>
      <c r="G11" s="2" t="inlineStr">
        <is>
          <t>VLM CLIP</t>
        </is>
      </c>
      <c r="H11" s="2" t="inlineStr">
        <is>
          <t>zero-shot / 1-shot</t>
        </is>
      </c>
      <c r="I11" s="2" t="inlineStr">
        <is>
          <t>MVTec LOCO AD</t>
        </is>
      </c>
      <c r="J11" s="2" t="inlineStr">
        <is>
          <t>zero-shot; Not directly comparable with supervised methods</t>
        </is>
      </c>
      <c r="K11" s="2" t="inlineStr">
        <is>
          <t>N/A</t>
        </is>
      </c>
      <c r="L11" s="2" t="inlineStr">
        <is>
          <t>N/A</t>
        </is>
      </c>
      <c r="M11" s="2" t="inlineStr">
        <is>
          <t>N/A</t>
        </is>
      </c>
      <c r="N11" s="2" t="inlineStr">
        <is>
          <t>N/A</t>
        </is>
      </c>
      <c r="O11" s="2" t="inlineStr">
        <is>
          <t>N/A</t>
        </is>
      </c>
      <c r="P11" s="2" t="inlineStr">
        <is>
          <t>N/A</t>
        </is>
      </c>
      <c r="Q11" s="2" t="inlineStr">
        <is>
          <t>CLIP ViT-B/16+</t>
        </is>
      </c>
      <c r="R11" s="2" t="inlineStr">
        <is>
          <t>CVPR 2023; To verify LOCO numbers; Not directly comparable: zero-shot protocol</t>
        </is>
      </c>
      <c r="S11" s="3">
        <f>HYPERLINK("https://arxiv.org/abs/2303.14814","Link")</f>
        <v/>
      </c>
      <c r="T11" s="2" t="inlineStr">
        <is>
          <t>N/A</t>
        </is>
      </c>
    </row>
  </sheetData>
  <autoFilter ref="A1:T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75623"/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5" customWidth="1" min="3" max="3"/>
    <col width="13" customWidth="1" min="4" max="4"/>
    <col width="10" customWidth="1" min="5" max="5"/>
    <col width="13" customWidth="1" min="6" max="6"/>
    <col width="22" customWidth="1" min="7" max="7"/>
    <col width="22" customWidth="1" min="8" max="8"/>
    <col width="18" customWidth="1" min="9" max="9"/>
    <col width="28" customWidth="1" min="10" max="10"/>
    <col width="10" customWidth="1" min="11" max="11"/>
    <col width="10" customWidth="1" min="12" max="12"/>
    <col width="13" customWidth="1" min="13" max="13"/>
    <col width="11" customWidth="1" min="14" max="14"/>
    <col width="14" customWidth="1" min="15" max="15"/>
    <col width="22" customWidth="1" min="16" max="16"/>
    <col width="22" customWidth="1" min="17" max="17"/>
    <col width="45" customWidth="1" min="18" max="18"/>
    <col width="18" customWidth="1" min="19" max="19"/>
    <col width="18" customWidth="1" min="20" max="20"/>
  </cols>
  <sheetData>
    <row r="1" ht="36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合成類型</t>
        </is>
      </c>
      <c r="H1" s="1" t="inlineStr">
        <is>
          <t>任務設定</t>
        </is>
      </c>
      <c r="I1" s="1" t="inlineStr">
        <is>
          <t>資料集</t>
        </is>
      </c>
      <c r="J1" s="1" t="inlineStr">
        <is>
          <t>Split/Protocol</t>
        </is>
      </c>
      <c r="K1" s="1" t="inlineStr">
        <is>
          <t>I-AUROC</t>
        </is>
      </c>
      <c r="L1" s="1" t="inlineStr">
        <is>
          <t>P-AUROC</t>
        </is>
      </c>
      <c r="M1" s="1" t="inlineStr">
        <is>
          <t>AUPRO/PRO</t>
        </is>
      </c>
      <c r="N1" s="1" t="inlineStr">
        <is>
          <t>AP/AUPRC</t>
        </is>
      </c>
      <c r="O1" s="1" t="inlineStr">
        <is>
          <t>F1/Dice/IoU</t>
        </is>
      </c>
      <c r="P1" s="1" t="inlineStr">
        <is>
          <t>合成品質指標</t>
        </is>
      </c>
      <c r="Q1" s="1" t="inlineStr">
        <is>
          <t>Backbone/Detector</t>
        </is>
      </c>
      <c r="R1" s="1" t="inlineStr">
        <is>
          <t>備註(特色/可比性)</t>
        </is>
      </c>
      <c r="S1" s="1" t="inlineStr">
        <is>
          <t>連結</t>
        </is>
      </c>
      <c r="T1" s="1" t="inlineStr">
        <is>
          <t>GitHub</t>
        </is>
      </c>
    </row>
    <row r="2" ht="60" customHeight="1">
      <c r="A2" s="2" t="inlineStr">
        <is>
          <t>Vision-language / Foundation-model-based Anomaly Synthesis</t>
        </is>
      </c>
      <c r="B2" s="2" t="inlineStr">
        <is>
          <t>WinCLIP</t>
        </is>
      </c>
      <c r="C2" s="2" t="inlineStr">
        <is>
          <t>Jeong et al.</t>
        </is>
      </c>
      <c r="D2" s="2" t="inlineStr">
        <is>
          <t>CVPR 2023</t>
        </is>
      </c>
      <c r="E2" s="2" t="inlineStr">
        <is>
          <t>2023-03</t>
        </is>
      </c>
      <c r="F2" s="2" t="inlineStr">
        <is>
          <t>Published</t>
        </is>
      </c>
      <c r="G2" s="2" t="inlineStr">
        <is>
          <t>VLM CLIP</t>
        </is>
      </c>
      <c r="H2" s="2" t="inlineStr">
        <is>
          <t>zero-shot / 1-shot</t>
        </is>
      </c>
      <c r="I2" s="2" t="inlineStr">
        <is>
          <t>VisA</t>
        </is>
      </c>
      <c r="J2" s="2" t="inlineStr">
        <is>
          <t>class-separated; zero-shot + 1-normal-shot</t>
        </is>
      </c>
      <c r="K2" s="2" t="inlineStr">
        <is>
          <t>78.1 / 83.8</t>
        </is>
      </c>
      <c r="L2" s="2" t="inlineStr">
        <is>
          <t>79.6 / 96.4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N/A</t>
        </is>
      </c>
      <c r="P2" s="2" t="inlineStr">
        <is>
          <t>N/A</t>
        </is>
      </c>
      <c r="Q2" s="2" t="inlineStr">
        <is>
          <t>CLIP ViT-B/16+</t>
        </is>
      </c>
      <c r="R2" s="2" t="inlineStr">
        <is>
          <t>Not directly comparable: zero-shot vs standard unsupervised; Paper-reported result</t>
        </is>
      </c>
      <c r="S2" s="3">
        <f>HYPERLINK("https://arxiv.org/abs/2303.14814","Link")</f>
        <v/>
      </c>
      <c r="T2" s="2" t="inlineStr">
        <is>
          <t>N/A</t>
        </is>
      </c>
    </row>
    <row r="3" ht="60" customHeight="1">
      <c r="A3" s="2" t="inlineStr">
        <is>
          <t>Vision-language / Foundation-model-based Anomaly Synthesis</t>
        </is>
      </c>
      <c r="B3" s="2" t="inlineStr">
        <is>
          <t>AnomalyCLIP</t>
        </is>
      </c>
      <c r="C3" s="2" t="inlineStr">
        <is>
          <t>Zhou et al.</t>
        </is>
      </c>
      <c r="D3" s="2" t="inlineStr">
        <is>
          <t>ICLR 2024</t>
        </is>
      </c>
      <c r="E3" s="2" t="inlineStr">
        <is>
          <t>2024-00</t>
        </is>
      </c>
      <c r="F3" s="2" t="inlineStr">
        <is>
          <t>Published</t>
        </is>
      </c>
      <c r="G3" s="2" t="inlineStr">
        <is>
          <t>VLM / prompt-learning</t>
        </is>
      </c>
      <c r="H3" s="2" t="inlineStr">
        <is>
          <t>zero-shot</t>
        </is>
      </c>
      <c r="I3" s="2" t="inlineStr">
        <is>
          <t>VisA</t>
        </is>
      </c>
      <c r="J3" s="2" t="inlineStr">
        <is>
          <t>class-separated; zero-shot; 12 categories</t>
        </is>
      </c>
      <c r="K3" s="2" t="inlineStr">
        <is>
          <t>N/A</t>
        </is>
      </c>
      <c r="L3" s="2" t="inlineStr">
        <is>
          <t>N/A</t>
        </is>
      </c>
      <c r="M3" s="2" t="inlineStr">
        <is>
          <t>N/A</t>
        </is>
      </c>
      <c r="N3" s="2" t="inlineStr">
        <is>
          <t>N/A</t>
        </is>
      </c>
      <c r="O3" s="2" t="inlineStr">
        <is>
          <t>N/A</t>
        </is>
      </c>
      <c r="P3" s="2" t="inlineStr">
        <is>
          <t>N/A</t>
        </is>
      </c>
      <c r="Q3" s="2" t="inlineStr">
        <is>
          <t>CLIP ViT-L/14</t>
        </is>
      </c>
      <c r="R3" s="2" t="inlineStr">
        <is>
          <t>ICLR 2024; To verify VisA pixel metrics</t>
        </is>
      </c>
      <c r="S3" s="3">
        <f>HYPERLINK("https://arxiv.org/abs/2310.18961","Link")</f>
        <v/>
      </c>
      <c r="T3" s="3">
        <f>HYPERLINK("https://github.com/zqhang/AnomalyCLIP","GitHub")</f>
        <v/>
      </c>
    </row>
    <row r="4" ht="60" customHeight="1">
      <c r="A4" s="6" t="inlineStr">
        <is>
          <t>Downstream Synthesis-based AD / Segmentation</t>
        </is>
      </c>
      <c r="B4" s="6" t="inlineStr">
        <is>
          <t>PatchCore</t>
        </is>
      </c>
      <c r="C4" s="6" t="inlineStr">
        <is>
          <t>Roth et al.</t>
        </is>
      </c>
      <c r="D4" s="6" t="inlineStr">
        <is>
          <t>CVPR 2022</t>
        </is>
      </c>
      <c r="E4" s="6" t="inlineStr">
        <is>
          <t>2022-00</t>
        </is>
      </c>
      <c r="F4" s="6" t="inlineStr">
        <is>
          <t>Published</t>
        </is>
      </c>
      <c r="G4" s="6" t="inlineStr">
        <is>
          <t>memory bank</t>
        </is>
      </c>
      <c r="H4" s="6" t="inlineStr">
        <is>
          <t>unsupervised / class-separated</t>
        </is>
      </c>
      <c r="I4" s="6" t="inlineStr">
        <is>
          <t>VisA</t>
        </is>
      </c>
      <c r="J4" s="6" t="inlineStr">
        <is>
          <t>class-separated; 2-class; category average</t>
        </is>
      </c>
      <c r="K4" s="6" t="inlineStr">
        <is>
          <t>90.1</t>
        </is>
      </c>
      <c r="L4" s="6" t="inlineStr">
        <is>
          <t>N/A</t>
        </is>
      </c>
      <c r="M4" s="6" t="inlineStr">
        <is>
          <t>N/A</t>
        </is>
      </c>
      <c r="N4" s="6" t="inlineStr">
        <is>
          <t>N/A</t>
        </is>
      </c>
      <c r="O4" s="6" t="inlineStr">
        <is>
          <t>N/A</t>
        </is>
      </c>
      <c r="P4" s="6" t="inlineStr">
        <is>
          <t>N/A</t>
        </is>
      </c>
      <c r="Q4" s="6" t="inlineStr">
        <is>
          <t>WideResNet50</t>
        </is>
      </c>
      <c r="R4" s="6" t="inlineStr">
        <is>
          <t>CVPR 2022; Papers with Code leaderboard</t>
        </is>
      </c>
      <c r="S4" s="7">
        <f>HYPERLINK("https://arxiv.org/abs/2106.08265","Link")</f>
        <v/>
      </c>
      <c r="T4" s="7">
        <f>HYPERLINK("https://github.com/amazon-science/patchcore-inspection","GitHub")</f>
        <v/>
      </c>
    </row>
    <row r="5" ht="60" customHeight="1">
      <c r="A5" s="10" t="inlineStr">
        <is>
          <t>Hand-crafted / Rule-based Anomaly Synthesis</t>
        </is>
      </c>
      <c r="B5" s="10" t="inlineStr">
        <is>
          <t>DRAEM</t>
        </is>
      </c>
      <c r="C5" s="10" t="inlineStr">
        <is>
          <t>Zavrtanik et al.</t>
        </is>
      </c>
      <c r="D5" s="10" t="inlineStr">
        <is>
          <t>ICCV 2021</t>
        </is>
      </c>
      <c r="E5" s="10" t="inlineStr">
        <is>
          <t>2021-08</t>
        </is>
      </c>
      <c r="F5" s="10" t="inlineStr">
        <is>
          <t>Published</t>
        </is>
      </c>
      <c r="G5" s="10" t="inlineStr">
        <is>
          <t>Perlin + DTD texture</t>
        </is>
      </c>
      <c r="H5" s="10" t="inlineStr">
        <is>
          <t>unsupervised / class-separated</t>
        </is>
      </c>
      <c r="I5" s="10" t="inlineStr">
        <is>
          <t>VisA</t>
        </is>
      </c>
      <c r="J5" s="10" t="inlineStr">
        <is>
          <t>class-separated; 2-class; To verify</t>
        </is>
      </c>
      <c r="K5" s="10" t="inlineStr">
        <is>
          <t>N/A</t>
        </is>
      </c>
      <c r="L5" s="10" t="inlineStr">
        <is>
          <t>N/A</t>
        </is>
      </c>
      <c r="M5" s="10" t="inlineStr">
        <is>
          <t>N/A</t>
        </is>
      </c>
      <c r="N5" s="10" t="inlineStr">
        <is>
          <t>N/A</t>
        </is>
      </c>
      <c r="O5" s="10" t="inlineStr">
        <is>
          <t>N/A</t>
        </is>
      </c>
      <c r="P5" s="10" t="inlineStr">
        <is>
          <t>N/A</t>
        </is>
      </c>
      <c r="Q5" s="10" t="inlineStr">
        <is>
          <t>U-Net</t>
        </is>
      </c>
      <c r="R5" s="10" t="inlineStr">
        <is>
          <t>To verify VisA numbers; Paper-reported result</t>
        </is>
      </c>
      <c r="S5" s="11">
        <f>HYPERLINK("https://arxiv.org/abs/2108.07610","Link")</f>
        <v/>
      </c>
      <c r="T5" s="11">
        <f>HYPERLINK("https://github.com/VitjanZ/DRAEM","GitHub")</f>
        <v/>
      </c>
    </row>
    <row r="6" ht="60" customHeight="1">
      <c r="A6" s="8" t="inlineStr">
        <is>
          <t>Distribution-hypothesis / Feature-space Anomaly Synthesis</t>
        </is>
      </c>
      <c r="B6" s="8" t="inlineStr">
        <is>
          <t>SimpleNet</t>
        </is>
      </c>
      <c r="C6" s="8" t="inlineStr">
        <is>
          <t>Liu et al.</t>
        </is>
      </c>
      <c r="D6" s="8" t="inlineStr">
        <is>
          <t>CVPR 2023</t>
        </is>
      </c>
      <c r="E6" s="8" t="inlineStr">
        <is>
          <t>2023-03</t>
        </is>
      </c>
      <c r="F6" s="8" t="inlineStr">
        <is>
          <t>Published</t>
        </is>
      </c>
      <c r="G6" s="8" t="inlineStr">
        <is>
          <t>Gaussian noise feature-space</t>
        </is>
      </c>
      <c r="H6" s="8" t="inlineStr">
        <is>
          <t>unsupervised / class-separated</t>
        </is>
      </c>
      <c r="I6" s="8" t="inlineStr">
        <is>
          <t>VisA</t>
        </is>
      </c>
      <c r="J6" s="8" t="inlineStr">
        <is>
          <t>class-separated; 2-class</t>
        </is>
      </c>
      <c r="K6" s="8" t="inlineStr">
        <is>
          <t>N/A</t>
        </is>
      </c>
      <c r="L6" s="8" t="inlineStr">
        <is>
          <t>N/A</t>
        </is>
      </c>
      <c r="M6" s="8" t="inlineStr">
        <is>
          <t>N/A</t>
        </is>
      </c>
      <c r="N6" s="8" t="inlineStr">
        <is>
          <t>N/A</t>
        </is>
      </c>
      <c r="O6" s="8" t="inlineStr">
        <is>
          <t>N/A</t>
        </is>
      </c>
      <c r="P6" s="8" t="inlineStr">
        <is>
          <t>N/A</t>
        </is>
      </c>
      <c r="Q6" s="8" t="inlineStr">
        <is>
          <t>WideResNet50</t>
        </is>
      </c>
      <c r="R6" s="8" t="inlineStr">
        <is>
          <t>CVPR 2023; To verify VisA numbers</t>
        </is>
      </c>
      <c r="S6" s="9">
        <f>HYPERLINK("https://arxiv.org/abs/2303.15140","Link")</f>
        <v/>
      </c>
      <c r="T6" s="9">
        <f>HYPERLINK("https://github.com/DonaldRR/SimpleNet","GitHub")</f>
        <v/>
      </c>
    </row>
    <row r="7" ht="60" customHeight="1">
      <c r="A7" s="8" t="inlineStr">
        <is>
          <t>Distribution-hypothesis / Feature-space Anomaly Synthesis</t>
        </is>
      </c>
      <c r="B7" s="8" t="inlineStr">
        <is>
          <t>GLASS</t>
        </is>
      </c>
      <c r="C7" s="8" t="inlineStr">
        <is>
          <t>Chen et al.</t>
        </is>
      </c>
      <c r="D7" s="8" t="inlineStr">
        <is>
          <t>ECCV 2024</t>
        </is>
      </c>
      <c r="E7" s="8" t="inlineStr">
        <is>
          <t>2024-07</t>
        </is>
      </c>
      <c r="F7" s="8" t="inlineStr">
        <is>
          <t>Published</t>
        </is>
      </c>
      <c r="G7" s="8" t="inlineStr">
        <is>
          <t>gradient-ascent + Perlin</t>
        </is>
      </c>
      <c r="H7" s="8" t="inlineStr">
        <is>
          <t>unsupervised / class-separated</t>
        </is>
      </c>
      <c r="I7" s="8" t="inlineStr">
        <is>
          <t>VisA</t>
        </is>
      </c>
      <c r="J7" s="8" t="inlineStr">
        <is>
          <t>class-separated; category average</t>
        </is>
      </c>
      <c r="K7" s="8" t="inlineStr">
        <is>
          <t>N/A</t>
        </is>
      </c>
      <c r="L7" s="8" t="inlineStr">
        <is>
          <t>N/A</t>
        </is>
      </c>
      <c r="M7" s="8" t="inlineStr">
        <is>
          <t>N/A</t>
        </is>
      </c>
      <c r="N7" s="8" t="inlineStr">
        <is>
          <t>N/A</t>
        </is>
      </c>
      <c r="O7" s="8" t="inlineStr">
        <is>
          <t>N/A</t>
        </is>
      </c>
      <c r="P7" s="8" t="inlineStr">
        <is>
          <t>N/A</t>
        </is>
      </c>
      <c r="Q7" s="8" t="inlineStr">
        <is>
          <t>WideResNet50</t>
        </is>
      </c>
      <c r="R7" s="8" t="inlineStr">
        <is>
          <t>ECCV 2024; SOTA on VisA; To verify exact numbers</t>
        </is>
      </c>
      <c r="S7" s="9">
        <f>HYPERLINK("https://arxiv.org/abs/2407.09359","Link")</f>
        <v/>
      </c>
      <c r="T7" s="9">
        <f>HYPERLINK("https://github.com/cqylunlun/GLASS","GitHub")</f>
        <v/>
      </c>
    </row>
  </sheetData>
  <autoFilter ref="A1:T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75623"/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5" customWidth="1" min="3" max="3"/>
    <col width="13" customWidth="1" min="4" max="4"/>
    <col width="10" customWidth="1" min="5" max="5"/>
    <col width="13" customWidth="1" min="6" max="6"/>
    <col width="22" customWidth="1" min="7" max="7"/>
    <col width="22" customWidth="1" min="8" max="8"/>
    <col width="18" customWidth="1" min="9" max="9"/>
    <col width="28" customWidth="1" min="10" max="10"/>
    <col width="10" customWidth="1" min="11" max="11"/>
    <col width="10" customWidth="1" min="12" max="12"/>
    <col width="13" customWidth="1" min="13" max="13"/>
    <col width="11" customWidth="1" min="14" max="14"/>
    <col width="14" customWidth="1" min="15" max="15"/>
    <col width="22" customWidth="1" min="16" max="16"/>
    <col width="22" customWidth="1" min="17" max="17"/>
    <col width="45" customWidth="1" min="18" max="18"/>
    <col width="18" customWidth="1" min="19" max="19"/>
    <col width="18" customWidth="1" min="20" max="20"/>
  </cols>
  <sheetData>
    <row r="1" ht="36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合成類型</t>
        </is>
      </c>
      <c r="H1" s="1" t="inlineStr">
        <is>
          <t>任務設定</t>
        </is>
      </c>
      <c r="I1" s="1" t="inlineStr">
        <is>
          <t>資料集</t>
        </is>
      </c>
      <c r="J1" s="1" t="inlineStr">
        <is>
          <t>Split/Protocol</t>
        </is>
      </c>
      <c r="K1" s="1" t="inlineStr">
        <is>
          <t>I-AUROC</t>
        </is>
      </c>
      <c r="L1" s="1" t="inlineStr">
        <is>
          <t>P-AUROC</t>
        </is>
      </c>
      <c r="M1" s="1" t="inlineStr">
        <is>
          <t>AUPRO/PRO</t>
        </is>
      </c>
      <c r="N1" s="1" t="inlineStr">
        <is>
          <t>AP/AUPRC</t>
        </is>
      </c>
      <c r="O1" s="1" t="inlineStr">
        <is>
          <t>F1/Dice/IoU</t>
        </is>
      </c>
      <c r="P1" s="1" t="inlineStr">
        <is>
          <t>合成品質指標</t>
        </is>
      </c>
      <c r="Q1" s="1" t="inlineStr">
        <is>
          <t>Backbone/Detector</t>
        </is>
      </c>
      <c r="R1" s="1" t="inlineStr">
        <is>
          <t>備註(特色/可比性)</t>
        </is>
      </c>
      <c r="S1" s="1" t="inlineStr">
        <is>
          <t>連結</t>
        </is>
      </c>
      <c r="T1" s="1" t="inlineStr">
        <is>
          <t>GitHub</t>
        </is>
      </c>
    </row>
    <row r="2" ht="60" customHeight="1">
      <c r="A2" s="2" t="inlineStr">
        <is>
          <t>Vision-language / Foundation-model-based Anomaly Synthesis</t>
        </is>
      </c>
      <c r="B2" s="2" t="inlineStr">
        <is>
          <t>WinCLIP</t>
        </is>
      </c>
      <c r="C2" s="2" t="inlineStr">
        <is>
          <t>Jeong et al.</t>
        </is>
      </c>
      <c r="D2" s="2" t="inlineStr">
        <is>
          <t>CVPR 2023</t>
        </is>
      </c>
      <c r="E2" s="2" t="inlineStr">
        <is>
          <t>2023-03</t>
        </is>
      </c>
      <c r="F2" s="2" t="inlineStr">
        <is>
          <t>Published</t>
        </is>
      </c>
      <c r="G2" s="2" t="inlineStr">
        <is>
          <t>VLM CLIP</t>
        </is>
      </c>
      <c r="H2" s="2" t="inlineStr">
        <is>
          <t>zero-shot / 1-shot</t>
        </is>
      </c>
      <c r="I2" s="2" t="inlineStr">
        <is>
          <t>VisA</t>
        </is>
      </c>
      <c r="J2" s="2" t="inlineStr">
        <is>
          <t>class-separated; zero-shot + 1-normal-shot</t>
        </is>
      </c>
      <c r="K2" s="2" t="inlineStr">
        <is>
          <t>78.1 / 83.8</t>
        </is>
      </c>
      <c r="L2" s="2" t="inlineStr">
        <is>
          <t>79.6 / 96.4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N/A</t>
        </is>
      </c>
      <c r="P2" s="2" t="inlineStr">
        <is>
          <t>N/A</t>
        </is>
      </c>
      <c r="Q2" s="2" t="inlineStr">
        <is>
          <t>CLIP ViT-B/16+</t>
        </is>
      </c>
      <c r="R2" s="2" t="inlineStr">
        <is>
          <t>Not directly comparable: zero-shot vs standard unsupervised; Paper-reported result</t>
        </is>
      </c>
      <c r="S2" s="3">
        <f>HYPERLINK("https://arxiv.org/abs/2303.14814","Link")</f>
        <v/>
      </c>
      <c r="T2" s="2" t="inlineStr">
        <is>
          <t>N/A</t>
        </is>
      </c>
    </row>
    <row r="3" ht="60" customHeight="1">
      <c r="A3" s="2" t="inlineStr">
        <is>
          <t>Vision-language / Foundation-model-based Anomaly Synthesis</t>
        </is>
      </c>
      <c r="B3" s="2" t="inlineStr">
        <is>
          <t>AnomalyCLIP</t>
        </is>
      </c>
      <c r="C3" s="2" t="inlineStr">
        <is>
          <t>Zhou et al.</t>
        </is>
      </c>
      <c r="D3" s="2" t="inlineStr">
        <is>
          <t>ICLR 2024</t>
        </is>
      </c>
      <c r="E3" s="2" t="inlineStr">
        <is>
          <t>2024-00</t>
        </is>
      </c>
      <c r="F3" s="2" t="inlineStr">
        <is>
          <t>Published</t>
        </is>
      </c>
      <c r="G3" s="2" t="inlineStr">
        <is>
          <t>VLM / prompt-learning</t>
        </is>
      </c>
      <c r="H3" s="2" t="inlineStr">
        <is>
          <t>zero-shot</t>
        </is>
      </c>
      <c r="I3" s="2" t="inlineStr">
        <is>
          <t>VisA</t>
        </is>
      </c>
      <c r="J3" s="2" t="inlineStr">
        <is>
          <t>class-separated; zero-shot; 12 categories</t>
        </is>
      </c>
      <c r="K3" s="2" t="inlineStr">
        <is>
          <t>N/A</t>
        </is>
      </c>
      <c r="L3" s="2" t="inlineStr">
        <is>
          <t>N/A</t>
        </is>
      </c>
      <c r="M3" s="2" t="inlineStr">
        <is>
          <t>N/A</t>
        </is>
      </c>
      <c r="N3" s="2" t="inlineStr">
        <is>
          <t>N/A</t>
        </is>
      </c>
      <c r="O3" s="2" t="inlineStr">
        <is>
          <t>N/A</t>
        </is>
      </c>
      <c r="P3" s="2" t="inlineStr">
        <is>
          <t>N/A</t>
        </is>
      </c>
      <c r="Q3" s="2" t="inlineStr">
        <is>
          <t>CLIP ViT-L/14</t>
        </is>
      </c>
      <c r="R3" s="2" t="inlineStr">
        <is>
          <t>ICLR 2024; To verify VisA pixel metrics</t>
        </is>
      </c>
      <c r="S3" s="3">
        <f>HYPERLINK("https://arxiv.org/abs/2310.18961","Link")</f>
        <v/>
      </c>
      <c r="T3" s="3">
        <f>HYPERLINK("https://github.com/zqhang/AnomalyCLIP","GitHub")</f>
        <v/>
      </c>
    </row>
    <row r="4" ht="60" customHeight="1">
      <c r="A4" s="6" t="inlineStr">
        <is>
          <t>Downstream Synthesis-based AD / Segmentation</t>
        </is>
      </c>
      <c r="B4" s="6" t="inlineStr">
        <is>
          <t>PatchCore</t>
        </is>
      </c>
      <c r="C4" s="6" t="inlineStr">
        <is>
          <t>Roth et al.</t>
        </is>
      </c>
      <c r="D4" s="6" t="inlineStr">
        <is>
          <t>CVPR 2022</t>
        </is>
      </c>
      <c r="E4" s="6" t="inlineStr">
        <is>
          <t>2022-00</t>
        </is>
      </c>
      <c r="F4" s="6" t="inlineStr">
        <is>
          <t>Published</t>
        </is>
      </c>
      <c r="G4" s="6" t="inlineStr">
        <is>
          <t>memory bank</t>
        </is>
      </c>
      <c r="H4" s="6" t="inlineStr">
        <is>
          <t>unsupervised / class-separated</t>
        </is>
      </c>
      <c r="I4" s="6" t="inlineStr">
        <is>
          <t>VisA</t>
        </is>
      </c>
      <c r="J4" s="6" t="inlineStr">
        <is>
          <t>class-separated; 2-class; category average</t>
        </is>
      </c>
      <c r="K4" s="6" t="inlineStr">
        <is>
          <t>90.1</t>
        </is>
      </c>
      <c r="L4" s="6" t="inlineStr">
        <is>
          <t>N/A</t>
        </is>
      </c>
      <c r="M4" s="6" t="inlineStr">
        <is>
          <t>N/A</t>
        </is>
      </c>
      <c r="N4" s="6" t="inlineStr">
        <is>
          <t>N/A</t>
        </is>
      </c>
      <c r="O4" s="6" t="inlineStr">
        <is>
          <t>N/A</t>
        </is>
      </c>
      <c r="P4" s="6" t="inlineStr">
        <is>
          <t>N/A</t>
        </is>
      </c>
      <c r="Q4" s="6" t="inlineStr">
        <is>
          <t>WideResNet50</t>
        </is>
      </c>
      <c r="R4" s="6" t="inlineStr">
        <is>
          <t>CVPR 2022; Papers with Code leaderboard</t>
        </is>
      </c>
      <c r="S4" s="7">
        <f>HYPERLINK("https://arxiv.org/abs/2106.08265","Link")</f>
        <v/>
      </c>
      <c r="T4" s="7">
        <f>HYPERLINK("https://github.com/amazon-science/patchcore-inspection","GitHub")</f>
        <v/>
      </c>
    </row>
    <row r="5" ht="60" customHeight="1">
      <c r="A5" s="10" t="inlineStr">
        <is>
          <t>Hand-crafted / Rule-based Anomaly Synthesis</t>
        </is>
      </c>
      <c r="B5" s="10" t="inlineStr">
        <is>
          <t>DRAEM</t>
        </is>
      </c>
      <c r="C5" s="10" t="inlineStr">
        <is>
          <t>Zavrtanik et al.</t>
        </is>
      </c>
      <c r="D5" s="10" t="inlineStr">
        <is>
          <t>ICCV 2021</t>
        </is>
      </c>
      <c r="E5" s="10" t="inlineStr">
        <is>
          <t>2021-08</t>
        </is>
      </c>
      <c r="F5" s="10" t="inlineStr">
        <is>
          <t>Published</t>
        </is>
      </c>
      <c r="G5" s="10" t="inlineStr">
        <is>
          <t>Perlin + DTD texture</t>
        </is>
      </c>
      <c r="H5" s="10" t="inlineStr">
        <is>
          <t>unsupervised / class-separated</t>
        </is>
      </c>
      <c r="I5" s="10" t="inlineStr">
        <is>
          <t>VisA</t>
        </is>
      </c>
      <c r="J5" s="10" t="inlineStr">
        <is>
          <t>class-separated; 2-class; To verify</t>
        </is>
      </c>
      <c r="K5" s="10" t="inlineStr">
        <is>
          <t>N/A</t>
        </is>
      </c>
      <c r="L5" s="10" t="inlineStr">
        <is>
          <t>N/A</t>
        </is>
      </c>
      <c r="M5" s="10" t="inlineStr">
        <is>
          <t>N/A</t>
        </is>
      </c>
      <c r="N5" s="10" t="inlineStr">
        <is>
          <t>N/A</t>
        </is>
      </c>
      <c r="O5" s="10" t="inlineStr">
        <is>
          <t>N/A</t>
        </is>
      </c>
      <c r="P5" s="10" t="inlineStr">
        <is>
          <t>N/A</t>
        </is>
      </c>
      <c r="Q5" s="10" t="inlineStr">
        <is>
          <t>U-Net</t>
        </is>
      </c>
      <c r="R5" s="10" t="inlineStr">
        <is>
          <t>To verify VisA numbers; Paper-reported result</t>
        </is>
      </c>
      <c r="S5" s="11">
        <f>HYPERLINK("https://arxiv.org/abs/2108.07610","Link")</f>
        <v/>
      </c>
      <c r="T5" s="11">
        <f>HYPERLINK("https://github.com/VitjanZ/DRAEM","GitHub")</f>
        <v/>
      </c>
    </row>
    <row r="6" ht="60" customHeight="1">
      <c r="A6" s="8" t="inlineStr">
        <is>
          <t>Distribution-hypothesis / Feature-space Anomaly Synthesis</t>
        </is>
      </c>
      <c r="B6" s="8" t="inlineStr">
        <is>
          <t>SimpleNet</t>
        </is>
      </c>
      <c r="C6" s="8" t="inlineStr">
        <is>
          <t>Liu et al.</t>
        </is>
      </c>
      <c r="D6" s="8" t="inlineStr">
        <is>
          <t>CVPR 2023</t>
        </is>
      </c>
      <c r="E6" s="8" t="inlineStr">
        <is>
          <t>2023-03</t>
        </is>
      </c>
      <c r="F6" s="8" t="inlineStr">
        <is>
          <t>Published</t>
        </is>
      </c>
      <c r="G6" s="8" t="inlineStr">
        <is>
          <t>Gaussian noise feature-space</t>
        </is>
      </c>
      <c r="H6" s="8" t="inlineStr">
        <is>
          <t>unsupervised / class-separated</t>
        </is>
      </c>
      <c r="I6" s="8" t="inlineStr">
        <is>
          <t>VisA</t>
        </is>
      </c>
      <c r="J6" s="8" t="inlineStr">
        <is>
          <t>class-separated; 2-class</t>
        </is>
      </c>
      <c r="K6" s="8" t="inlineStr">
        <is>
          <t>N/A</t>
        </is>
      </c>
      <c r="L6" s="8" t="inlineStr">
        <is>
          <t>N/A</t>
        </is>
      </c>
      <c r="M6" s="8" t="inlineStr">
        <is>
          <t>N/A</t>
        </is>
      </c>
      <c r="N6" s="8" t="inlineStr">
        <is>
          <t>N/A</t>
        </is>
      </c>
      <c r="O6" s="8" t="inlineStr">
        <is>
          <t>N/A</t>
        </is>
      </c>
      <c r="P6" s="8" t="inlineStr">
        <is>
          <t>N/A</t>
        </is>
      </c>
      <c r="Q6" s="8" t="inlineStr">
        <is>
          <t>WideResNet50</t>
        </is>
      </c>
      <c r="R6" s="8" t="inlineStr">
        <is>
          <t>CVPR 2023; To verify VisA numbers</t>
        </is>
      </c>
      <c r="S6" s="9">
        <f>HYPERLINK("https://arxiv.org/abs/2303.15140","Link")</f>
        <v/>
      </c>
      <c r="T6" s="9">
        <f>HYPERLINK("https://github.com/DonaldRR/SimpleNet","GitHub")</f>
        <v/>
      </c>
    </row>
    <row r="7" ht="60" customHeight="1">
      <c r="A7" s="8" t="inlineStr">
        <is>
          <t>Distribution-hypothesis / Feature-space Anomaly Synthesis</t>
        </is>
      </c>
      <c r="B7" s="8" t="inlineStr">
        <is>
          <t>GLASS</t>
        </is>
      </c>
      <c r="C7" s="8" t="inlineStr">
        <is>
          <t>Chen et al.</t>
        </is>
      </c>
      <c r="D7" s="8" t="inlineStr">
        <is>
          <t>ECCV 2024</t>
        </is>
      </c>
      <c r="E7" s="8" t="inlineStr">
        <is>
          <t>2024-07</t>
        </is>
      </c>
      <c r="F7" s="8" t="inlineStr">
        <is>
          <t>Published</t>
        </is>
      </c>
      <c r="G7" s="8" t="inlineStr">
        <is>
          <t>gradient-ascent + Perlin</t>
        </is>
      </c>
      <c r="H7" s="8" t="inlineStr">
        <is>
          <t>unsupervised / class-separated</t>
        </is>
      </c>
      <c r="I7" s="8" t="inlineStr">
        <is>
          <t>VisA</t>
        </is>
      </c>
      <c r="J7" s="8" t="inlineStr">
        <is>
          <t>class-separated; category average</t>
        </is>
      </c>
      <c r="K7" s="8" t="inlineStr">
        <is>
          <t>N/A</t>
        </is>
      </c>
      <c r="L7" s="8" t="inlineStr">
        <is>
          <t>N/A</t>
        </is>
      </c>
      <c r="M7" s="8" t="inlineStr">
        <is>
          <t>N/A</t>
        </is>
      </c>
      <c r="N7" s="8" t="inlineStr">
        <is>
          <t>N/A</t>
        </is>
      </c>
      <c r="O7" s="8" t="inlineStr">
        <is>
          <t>N/A</t>
        </is>
      </c>
      <c r="P7" s="8" t="inlineStr">
        <is>
          <t>N/A</t>
        </is>
      </c>
      <c r="Q7" s="8" t="inlineStr">
        <is>
          <t>WideResNet50</t>
        </is>
      </c>
      <c r="R7" s="8" t="inlineStr">
        <is>
          <t>ECCV 2024; SOTA on VisA; To verify exact numbers</t>
        </is>
      </c>
      <c r="S7" s="9">
        <f>HYPERLINK("https://arxiv.org/abs/2407.09359","Link")</f>
        <v/>
      </c>
      <c r="T7" s="9">
        <f>HYPERLINK("https://github.com/cqylunlun/GLASS","GitHub")</f>
        <v/>
      </c>
    </row>
    <row r="8" ht="60" customHeight="1">
      <c r="A8" s="4" t="inlineStr">
        <is>
          <t>Generative-model-based Anomaly Synthesis</t>
        </is>
      </c>
      <c r="B8" s="4" t="inlineStr">
        <is>
          <t>RealNet</t>
        </is>
      </c>
      <c r="C8" s="4" t="inlineStr">
        <is>
          <t>Zhang et al.</t>
        </is>
      </c>
      <c r="D8" s="4" t="inlineStr">
        <is>
          <t>CVPR 2024</t>
        </is>
      </c>
      <c r="E8" s="4" t="inlineStr">
        <is>
          <t>2024-03</t>
        </is>
      </c>
      <c r="F8" s="4" t="inlineStr">
        <is>
          <t>Published</t>
        </is>
      </c>
      <c r="G8" s="4" t="inlineStr">
        <is>
          <t>diffusion (SDAS)</t>
        </is>
      </c>
      <c r="H8" s="4" t="inlineStr">
        <is>
          <t>unsupervised / class-separated</t>
        </is>
      </c>
      <c r="I8" s="4" t="inlineStr">
        <is>
          <t>VisA</t>
        </is>
      </c>
      <c r="J8" s="4" t="inlineStr">
        <is>
          <t>class-separated; category average</t>
        </is>
      </c>
      <c r="K8" s="4" t="inlineStr">
        <is>
          <t>N/A</t>
        </is>
      </c>
      <c r="L8" s="4" t="inlineStr">
        <is>
          <t>N/A</t>
        </is>
      </c>
      <c r="M8" s="4" t="inlineStr">
        <is>
          <t>N/A</t>
        </is>
      </c>
      <c r="N8" s="4" t="inlineStr">
        <is>
          <t>N/A</t>
        </is>
      </c>
      <c r="O8" s="4" t="inlineStr">
        <is>
          <t>N/A</t>
        </is>
      </c>
      <c r="P8" s="4" t="inlineStr">
        <is>
          <t>N/A</t>
        </is>
      </c>
      <c r="Q8" s="4" t="inlineStr">
        <is>
          <t>WideResNet50</t>
        </is>
      </c>
      <c r="R8" s="4" t="inlineStr">
        <is>
          <t>CVPR 2024; To verify VisA numbers</t>
        </is>
      </c>
      <c r="S8" s="5">
        <f>HYPERLINK("https://arxiv.org/abs/2403.05897","Link")</f>
        <v/>
      </c>
      <c r="T8" s="5">
        <f>HYPERLINK("https://github.com/cnulab/RealNet","GitHub")</f>
        <v/>
      </c>
    </row>
    <row r="9" ht="60" customHeight="1">
      <c r="A9" s="6" t="inlineStr">
        <is>
          <t>Downstream Synthesis-based AD / Segmentation</t>
        </is>
      </c>
      <c r="B9" s="6" t="inlineStr">
        <is>
          <t>INP-Former</t>
        </is>
      </c>
      <c r="C9" s="6" t="inlineStr">
        <is>
          <t>Lou et al.</t>
        </is>
      </c>
      <c r="D9" s="6" t="inlineStr">
        <is>
          <t>CVPR 2025</t>
        </is>
      </c>
      <c r="E9" s="6" t="inlineStr">
        <is>
          <t>2025-00</t>
        </is>
      </c>
      <c r="F9" s="6" t="inlineStr">
        <is>
          <t>Published</t>
        </is>
      </c>
      <c r="G9" s="6" t="inlineStr">
        <is>
          <t>reconstruction / prototype</t>
        </is>
      </c>
      <c r="H9" s="6" t="inlineStr">
        <is>
          <t>multi-class / unsupervised</t>
        </is>
      </c>
      <c r="I9" s="6" t="inlineStr">
        <is>
          <t>VisA</t>
        </is>
      </c>
      <c r="J9" s="6" t="inlineStr">
        <is>
          <t>multi-class; category average</t>
        </is>
      </c>
      <c r="K9" s="6" t="inlineStr">
        <is>
          <t>N/A</t>
        </is>
      </c>
      <c r="L9" s="6" t="inlineStr">
        <is>
          <t>99.1</t>
        </is>
      </c>
      <c r="M9" s="6" t="inlineStr">
        <is>
          <t>96.0</t>
        </is>
      </c>
      <c r="N9" s="6" t="inlineStr">
        <is>
          <t>52.7</t>
        </is>
      </c>
      <c r="O9" s="6" t="inlineStr">
        <is>
          <t>55.2 (P-F1max)</t>
        </is>
      </c>
      <c r="P9" s="6" t="inlineStr">
        <is>
          <t>N/A</t>
        </is>
      </c>
      <c r="Q9" s="6" t="inlineStr">
        <is>
          <t>ViT-L/14 (DINOv2)</t>
        </is>
      </c>
      <c r="R9" s="6" t="inlineStr">
        <is>
          <t>CVPR 2025; Paper-reported result; Not directly comparable: multi-class setting</t>
        </is>
      </c>
      <c r="S9" s="7">
        <f>HYPERLINK("https://github.com/luow23/INP-Former","Link")</f>
        <v/>
      </c>
      <c r="T9" s="7">
        <f>HYPERLINK("https://github.com/luow23/INP-Former","GitHub")</f>
        <v/>
      </c>
    </row>
    <row r="10" ht="60" customHeight="1">
      <c r="A10" s="4" t="inlineStr">
        <is>
          <t>Generative-model-based Anomaly Synthesis</t>
        </is>
      </c>
      <c r="B10" s="4" t="inlineStr">
        <is>
          <t>AnomalyDiffusion</t>
        </is>
      </c>
      <c r="C10" s="4" t="inlineStr">
        <is>
          <t>Hu et al.</t>
        </is>
      </c>
      <c r="D10" s="4" t="inlineStr">
        <is>
          <t>AAAI 2024</t>
        </is>
      </c>
      <c r="E10" s="4" t="inlineStr">
        <is>
          <t>2023-12</t>
        </is>
      </c>
      <c r="F10" s="4" t="inlineStr">
        <is>
          <t>Published</t>
        </is>
      </c>
      <c r="G10" s="4" t="inlineStr">
        <is>
          <t>LDM few-shot</t>
        </is>
      </c>
      <c r="H10" s="4" t="inlineStr">
        <is>
          <t>few-shot (uses real anomalies)</t>
        </is>
      </c>
      <c r="I10" s="4" t="inlineStr">
        <is>
          <t>VisA</t>
        </is>
      </c>
      <c r="J10" s="4" t="inlineStr">
        <is>
          <t>class-separated; few-shot; To verify</t>
        </is>
      </c>
      <c r="K10" s="4" t="inlineStr">
        <is>
          <t>N/A</t>
        </is>
      </c>
      <c r="L10" s="4" t="inlineStr">
        <is>
          <t>N/A</t>
        </is>
      </c>
      <c r="M10" s="4" t="inlineStr">
        <is>
          <t>N/A</t>
        </is>
      </c>
      <c r="N10" s="4" t="inlineStr">
        <is>
          <t>N/A</t>
        </is>
      </c>
      <c r="O10" s="4" t="inlineStr">
        <is>
          <t>N/A</t>
        </is>
      </c>
      <c r="P10" s="4" t="inlineStr">
        <is>
          <t>FID; LPIPS</t>
        </is>
      </c>
      <c r="Q10" s="4" t="inlineStr">
        <is>
          <t>LDM</t>
        </is>
      </c>
      <c r="R10" s="4" t="inlineStr">
        <is>
          <t>To verify VisA metrics; uses real anomalies — Data leakage risk</t>
        </is>
      </c>
      <c r="S10" s="5">
        <f>HYPERLINK("https://arxiv.org/abs/2312.05767","Link")</f>
        <v/>
      </c>
      <c r="T10" s="4" t="inlineStr">
        <is>
          <t>N/A</t>
        </is>
      </c>
    </row>
    <row r="11" ht="60" customHeight="1">
      <c r="A11" s="2" t="inlineStr">
        <is>
          <t>Vision-language / Foundation-model-based Anomaly Synthesis</t>
        </is>
      </c>
      <c r="B11" s="2" t="inlineStr">
        <is>
          <t>MuSc</t>
        </is>
      </c>
      <c r="C11" s="2" t="inlineStr">
        <is>
          <t>Li et al.</t>
        </is>
      </c>
      <c r="D11" s="2" t="inlineStr">
        <is>
          <t>ICLR 2024</t>
        </is>
      </c>
      <c r="E11" s="2" t="inlineStr">
        <is>
          <t>2024-01</t>
        </is>
      </c>
      <c r="F11" s="2" t="inlineStr">
        <is>
          <t>Published</t>
        </is>
      </c>
      <c r="G11" s="2" t="inlineStr">
        <is>
          <t>zero-shot mutual scoring</t>
        </is>
      </c>
      <c r="H11" s="2" t="inlineStr">
        <is>
          <t>zero-shot</t>
        </is>
      </c>
      <c r="I11" s="2" t="inlineStr">
        <is>
          <t>VisA</t>
        </is>
      </c>
      <c r="J11" s="2" t="inlineStr">
        <is>
          <t>class-separated; zero-shot; 12 categories</t>
        </is>
      </c>
      <c r="K11" s="2" t="inlineStr">
        <is>
          <t>N/A</t>
        </is>
      </c>
      <c r="L11" s="2" t="inlineStr">
        <is>
          <t>N/A</t>
        </is>
      </c>
      <c r="M11" s="2" t="inlineStr">
        <is>
          <t>N/A</t>
        </is>
      </c>
      <c r="N11" s="2" t="inlineStr">
        <is>
          <t>N/A</t>
        </is>
      </c>
      <c r="O11" s="2" t="inlineStr">
        <is>
          <t>N/A</t>
        </is>
      </c>
      <c r="P11" s="2" t="inlineStr">
        <is>
          <t>N/A</t>
        </is>
      </c>
      <c r="Q11" s="2" t="inlineStr">
        <is>
          <t>DINOv2 ViT-L/14</t>
        </is>
      </c>
      <c r="R11" s="2" t="inlineStr">
        <is>
          <t>ICLR 2024; +19.4% pixel-AP vs prior zero-shot SOTA; Paper-reported result; Not directly comparable: zero-shot protocol</t>
        </is>
      </c>
      <c r="S11" s="3">
        <f>HYPERLINK("https://arxiv.org/abs/2401.16753","Link")</f>
        <v/>
      </c>
      <c r="T11" s="3">
        <f>HYPERLINK("https://github.com/xrli-U/MuSc","GitHub")</f>
        <v/>
      </c>
    </row>
  </sheetData>
  <autoFilter ref="A1:T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33C00"/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5" customWidth="1" min="3" max="3"/>
    <col width="13" customWidth="1" min="4" max="4"/>
    <col width="10" customWidth="1" min="5" max="5"/>
    <col width="13" customWidth="1" min="6" max="6"/>
    <col width="22" customWidth="1" min="7" max="7"/>
    <col width="22" customWidth="1" min="8" max="8"/>
    <col width="18" customWidth="1" min="9" max="9"/>
    <col width="28" customWidth="1" min="10" max="10"/>
    <col width="10" customWidth="1" min="11" max="11"/>
    <col width="10" customWidth="1" min="12" max="12"/>
    <col width="13" customWidth="1" min="13" max="13"/>
    <col width="11" customWidth="1" min="14" max="14"/>
    <col width="14" customWidth="1" min="15" max="15"/>
    <col width="22" customWidth="1" min="16" max="16"/>
    <col width="22" customWidth="1" min="17" max="17"/>
    <col width="45" customWidth="1" min="18" max="18"/>
    <col width="18" customWidth="1" min="19" max="19"/>
    <col width="18" customWidth="1" min="20" max="20"/>
  </cols>
  <sheetData>
    <row r="1" ht="36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合成類型</t>
        </is>
      </c>
      <c r="H1" s="1" t="inlineStr">
        <is>
          <t>任務設定</t>
        </is>
      </c>
      <c r="I1" s="1" t="inlineStr">
        <is>
          <t>資料集</t>
        </is>
      </c>
      <c r="J1" s="1" t="inlineStr">
        <is>
          <t>Split/Protocol</t>
        </is>
      </c>
      <c r="K1" s="1" t="inlineStr">
        <is>
          <t>I-AUROC</t>
        </is>
      </c>
      <c r="L1" s="1" t="inlineStr">
        <is>
          <t>P-AUROC</t>
        </is>
      </c>
      <c r="M1" s="1" t="inlineStr">
        <is>
          <t>AUPRO/PRO</t>
        </is>
      </c>
      <c r="N1" s="1" t="inlineStr">
        <is>
          <t>AP/AUPRC</t>
        </is>
      </c>
      <c r="O1" s="1" t="inlineStr">
        <is>
          <t>F1/Dice/IoU</t>
        </is>
      </c>
      <c r="P1" s="1" t="inlineStr">
        <is>
          <t>合成品質指標</t>
        </is>
      </c>
      <c r="Q1" s="1" t="inlineStr">
        <is>
          <t>Backbone/Detector</t>
        </is>
      </c>
      <c r="R1" s="1" t="inlineStr">
        <is>
          <t>備註(特色/可比性)</t>
        </is>
      </c>
      <c r="S1" s="1" t="inlineStr">
        <is>
          <t>連結</t>
        </is>
      </c>
      <c r="T1" s="1" t="inlineStr">
        <is>
          <t>GitHub</t>
        </is>
      </c>
    </row>
    <row r="2" ht="60" customHeight="1">
      <c r="A2" s="6" t="inlineStr">
        <is>
          <t>Downstream Synthesis-based AD / Segmentation</t>
        </is>
      </c>
      <c r="B2" s="6" t="inlineStr">
        <is>
          <t>PatchCore</t>
        </is>
      </c>
      <c r="C2" s="6" t="inlineStr">
        <is>
          <t>Roth et al.</t>
        </is>
      </c>
      <c r="D2" s="6" t="inlineStr">
        <is>
          <t>CVPR 2022</t>
        </is>
      </c>
      <c r="E2" s="6" t="inlineStr">
        <is>
          <t>2022-00</t>
        </is>
      </c>
      <c r="F2" s="6" t="inlineStr">
        <is>
          <t>Published</t>
        </is>
      </c>
      <c r="G2" s="6" t="inlineStr">
        <is>
          <t>memory bank</t>
        </is>
      </c>
      <c r="H2" s="6" t="inlineStr">
        <is>
          <t>unsupervised / single-view</t>
        </is>
      </c>
      <c r="I2" s="6" t="inlineStr">
        <is>
          <t>Real-IAD</t>
        </is>
      </c>
      <c r="J2" s="6" t="inlineStr">
        <is>
          <t>single-view; sample-level; 30 categories; To verify</t>
        </is>
      </c>
      <c r="K2" s="6" t="inlineStr">
        <is>
          <t>N/A</t>
        </is>
      </c>
      <c r="L2" s="6" t="inlineStr">
        <is>
          <t>N/A</t>
        </is>
      </c>
      <c r="M2" s="6" t="inlineStr">
        <is>
          <t>N/A</t>
        </is>
      </c>
      <c r="N2" s="6" t="inlineStr">
        <is>
          <t>N/A</t>
        </is>
      </c>
      <c r="O2" s="6" t="inlineStr">
        <is>
          <t>N/A</t>
        </is>
      </c>
      <c r="P2" s="6" t="inlineStr">
        <is>
          <t>N/A</t>
        </is>
      </c>
      <c r="Q2" s="6" t="inlineStr">
        <is>
          <t>WideResNet50</t>
        </is>
      </c>
      <c r="R2" s="6" t="inlineStr">
        <is>
          <t>CVPR 2022; baseline on Real-IAD; To verify exact numbers</t>
        </is>
      </c>
      <c r="S2" s="7">
        <f>HYPERLINK("https://arxiv.org/abs/2106.08265","Link")</f>
        <v/>
      </c>
      <c r="T2" s="7">
        <f>HYPERLINK("https://github.com/amazon-science/patchcore-inspection","GitHub")</f>
        <v/>
      </c>
    </row>
    <row r="3" ht="60" customHeight="1">
      <c r="A3" s="8" t="inlineStr">
        <is>
          <t>Distribution-hypothesis / Feature-space Anomaly Synthesis</t>
        </is>
      </c>
      <c r="B3" s="8" t="inlineStr">
        <is>
          <t>SimpleNet</t>
        </is>
      </c>
      <c r="C3" s="8" t="inlineStr">
        <is>
          <t>Liu et al.</t>
        </is>
      </c>
      <c r="D3" s="8" t="inlineStr">
        <is>
          <t>CVPR 2023</t>
        </is>
      </c>
      <c r="E3" s="8" t="inlineStr">
        <is>
          <t>2023-03</t>
        </is>
      </c>
      <c r="F3" s="8" t="inlineStr">
        <is>
          <t>Published</t>
        </is>
      </c>
      <c r="G3" s="8" t="inlineStr">
        <is>
          <t>Gaussian noise feature-space</t>
        </is>
      </c>
      <c r="H3" s="8" t="inlineStr">
        <is>
          <t>unsupervised / single-view</t>
        </is>
      </c>
      <c r="I3" s="8" t="inlineStr">
        <is>
          <t>Real-IAD</t>
        </is>
      </c>
      <c r="J3" s="8" t="inlineStr">
        <is>
          <t>single-view; sample-level; 30 categories; To verify</t>
        </is>
      </c>
      <c r="K3" s="8" t="inlineStr">
        <is>
          <t>N/A</t>
        </is>
      </c>
      <c r="L3" s="8" t="inlineStr">
        <is>
          <t>N/A</t>
        </is>
      </c>
      <c r="M3" s="8" t="inlineStr">
        <is>
          <t>N/A</t>
        </is>
      </c>
      <c r="N3" s="8" t="inlineStr">
        <is>
          <t>N/A</t>
        </is>
      </c>
      <c r="O3" s="8" t="inlineStr">
        <is>
          <t>N/A</t>
        </is>
      </c>
      <c r="P3" s="8" t="inlineStr">
        <is>
          <t>N/A</t>
        </is>
      </c>
      <c r="Q3" s="8" t="inlineStr">
        <is>
          <t>WideResNet50</t>
        </is>
      </c>
      <c r="R3" s="8" t="inlineStr">
        <is>
          <t>To verify Real-IAD numbers</t>
        </is>
      </c>
      <c r="S3" s="9">
        <f>HYPERLINK("https://arxiv.org/abs/2303.15140","Link")</f>
        <v/>
      </c>
      <c r="T3" s="9">
        <f>HYPERLINK("https://github.com/DonaldRR/SimpleNet","GitHub")</f>
        <v/>
      </c>
    </row>
    <row r="4" ht="60" customHeight="1">
      <c r="A4" s="6" t="inlineStr">
        <is>
          <t>Downstream Synthesis-based AD / Segmentation</t>
        </is>
      </c>
      <c r="B4" s="6" t="inlineStr">
        <is>
          <t>EfficientAD</t>
        </is>
      </c>
      <c r="C4" s="6" t="inlineStr">
        <is>
          <t>Batzner et al.</t>
        </is>
      </c>
      <c r="D4" s="6" t="inlineStr">
        <is>
          <t>WACV 2024</t>
        </is>
      </c>
      <c r="E4" s="6" t="inlineStr">
        <is>
          <t>2024-00</t>
        </is>
      </c>
      <c r="F4" s="6" t="inlineStr">
        <is>
          <t>Published</t>
        </is>
      </c>
      <c r="G4" s="6" t="inlineStr">
        <is>
          <t>teacher-student + autoencoder</t>
        </is>
      </c>
      <c r="H4" s="6" t="inlineStr">
        <is>
          <t>unsupervised / single-view</t>
        </is>
      </c>
      <c r="I4" s="6" t="inlineStr">
        <is>
          <t>Real-IAD</t>
        </is>
      </c>
      <c r="J4" s="6" t="inlineStr">
        <is>
          <t>single-view; sample-level; To verify</t>
        </is>
      </c>
      <c r="K4" s="6" t="inlineStr">
        <is>
          <t>N/A</t>
        </is>
      </c>
      <c r="L4" s="6" t="inlineStr">
        <is>
          <t>N/A</t>
        </is>
      </c>
      <c r="M4" s="6" t="inlineStr">
        <is>
          <t>N/A</t>
        </is>
      </c>
      <c r="N4" s="6" t="inlineStr">
        <is>
          <t>N/A</t>
        </is>
      </c>
      <c r="O4" s="6" t="inlineStr">
        <is>
          <t>N/A</t>
        </is>
      </c>
      <c r="P4" s="6" t="inlineStr">
        <is>
          <t>N/A</t>
        </is>
      </c>
      <c r="Q4" s="6" t="inlineStr">
        <is>
          <t>PDN + autoencoder</t>
        </is>
      </c>
      <c r="R4" s="6" t="inlineStr">
        <is>
          <t>To verify Real-IAD numbers; WACV 2024</t>
        </is>
      </c>
      <c r="S4" s="7">
        <f>HYPERLINK("https://arxiv.org/abs/2303.14535","Link")</f>
        <v/>
      </c>
      <c r="T4" s="6" t="inlineStr">
        <is>
          <t>N/A</t>
        </is>
      </c>
    </row>
    <row r="5" ht="60" customHeight="1">
      <c r="A5" s="6" t="inlineStr">
        <is>
          <t>Downstream Synthesis-based AD / Segmentation</t>
        </is>
      </c>
      <c r="B5" s="6" t="inlineStr">
        <is>
          <t>UniAD</t>
        </is>
      </c>
      <c r="C5" s="6" t="inlineStr">
        <is>
          <t>You et al.</t>
        </is>
      </c>
      <c r="D5" s="6" t="inlineStr">
        <is>
          <t>NeurIPS 2022</t>
        </is>
      </c>
      <c r="E5" s="6" t="inlineStr">
        <is>
          <t>2022-06</t>
        </is>
      </c>
      <c r="F5" s="6" t="inlineStr">
        <is>
          <t>Published</t>
        </is>
      </c>
      <c r="G5" s="6" t="inlineStr">
        <is>
          <t>multi-class reconstruction</t>
        </is>
      </c>
      <c r="H5" s="6" t="inlineStr">
        <is>
          <t>multi-class / single-view</t>
        </is>
      </c>
      <c r="I5" s="6" t="inlineStr">
        <is>
          <t>Real-IAD</t>
        </is>
      </c>
      <c r="J5" s="6" t="inlineStr">
        <is>
          <t>multi-class; sample-level; To verify</t>
        </is>
      </c>
      <c r="K5" s="6" t="inlineStr">
        <is>
          <t>N/A</t>
        </is>
      </c>
      <c r="L5" s="6" t="inlineStr">
        <is>
          <t>N/A</t>
        </is>
      </c>
      <c r="M5" s="6" t="inlineStr">
        <is>
          <t>N/A</t>
        </is>
      </c>
      <c r="N5" s="6" t="inlineStr">
        <is>
          <t>N/A</t>
        </is>
      </c>
      <c r="O5" s="6" t="inlineStr">
        <is>
          <t>N/A</t>
        </is>
      </c>
      <c r="P5" s="6" t="inlineStr">
        <is>
          <t>N/A</t>
        </is>
      </c>
      <c r="Q5" s="6" t="inlineStr">
        <is>
          <t>Transformer</t>
        </is>
      </c>
      <c r="R5" s="6" t="inlineStr">
        <is>
          <t>To verify Real-IAD numbers; NeurIPS 2022</t>
        </is>
      </c>
      <c r="S5" s="7">
        <f>HYPERLINK("https://arxiv.org/abs/2206.03687","Link")</f>
        <v/>
      </c>
      <c r="T5" s="7">
        <f>HYPERLINK("https://github.com/zhiyuanyou/UniAD","GitHub")</f>
        <v/>
      </c>
    </row>
    <row r="6" ht="60" customHeight="1">
      <c r="A6" s="6" t="inlineStr">
        <is>
          <t>Downstream Synthesis-based AD / Segmentation</t>
        </is>
      </c>
      <c r="B6" s="6" t="inlineStr">
        <is>
          <t>INP-Former</t>
        </is>
      </c>
      <c r="C6" s="6" t="inlineStr">
        <is>
          <t>Lou et al.</t>
        </is>
      </c>
      <c r="D6" s="6" t="inlineStr">
        <is>
          <t>CVPR 2025</t>
        </is>
      </c>
      <c r="E6" s="6" t="inlineStr">
        <is>
          <t>2025-00</t>
        </is>
      </c>
      <c r="F6" s="6" t="inlineStr">
        <is>
          <t>Published</t>
        </is>
      </c>
      <c r="G6" s="6" t="inlineStr">
        <is>
          <t>reconstruction / prototype</t>
        </is>
      </c>
      <c r="H6" s="6" t="inlineStr">
        <is>
          <t>multi-class / single-view</t>
        </is>
      </c>
      <c r="I6" s="6" t="inlineStr">
        <is>
          <t>Real-IAD</t>
        </is>
      </c>
      <c r="J6" s="6" t="inlineStr">
        <is>
          <t>multi-class; sample-level; To verify</t>
        </is>
      </c>
      <c r="K6" s="6" t="inlineStr">
        <is>
          <t>N/A</t>
        </is>
      </c>
      <c r="L6" s="6" t="inlineStr">
        <is>
          <t>N/A</t>
        </is>
      </c>
      <c r="M6" s="6" t="inlineStr">
        <is>
          <t>N/A</t>
        </is>
      </c>
      <c r="N6" s="6" t="inlineStr">
        <is>
          <t>N/A</t>
        </is>
      </c>
      <c r="O6" s="6" t="inlineStr">
        <is>
          <t>N/A</t>
        </is>
      </c>
      <c r="P6" s="6" t="inlineStr">
        <is>
          <t>N/A</t>
        </is>
      </c>
      <c r="Q6" s="6" t="inlineStr">
        <is>
          <t>ViT-L/14 (DINOv2)</t>
        </is>
      </c>
      <c r="R6" s="6" t="inlineStr">
        <is>
          <t>CVPR 2025; To verify Real-IAD numbers</t>
        </is>
      </c>
      <c r="S6" s="7">
        <f>HYPERLINK("https://github.com/luow23/INP-Former","Link")</f>
        <v/>
      </c>
      <c r="T6" s="7">
        <f>HYPERLINK("https://github.com/luow23/INP-Former","GitHub")</f>
        <v/>
      </c>
    </row>
    <row r="7" ht="60" customHeight="1">
      <c r="A7" s="8" t="inlineStr">
        <is>
          <t>Distribution-hypothesis / Feature-space Anomaly Synthesis</t>
        </is>
      </c>
      <c r="B7" s="8" t="inlineStr">
        <is>
          <t>GLASS</t>
        </is>
      </c>
      <c r="C7" s="8" t="inlineStr">
        <is>
          <t>Chen et al.</t>
        </is>
      </c>
      <c r="D7" s="8" t="inlineStr">
        <is>
          <t>ECCV 2024</t>
        </is>
      </c>
      <c r="E7" s="8" t="inlineStr">
        <is>
          <t>2024-07</t>
        </is>
      </c>
      <c r="F7" s="8" t="inlineStr">
        <is>
          <t>Published</t>
        </is>
      </c>
      <c r="G7" s="8" t="inlineStr">
        <is>
          <t>gradient-ascent + Perlin</t>
        </is>
      </c>
      <c r="H7" s="8" t="inlineStr">
        <is>
          <t>unsupervised / single-view</t>
        </is>
      </c>
      <c r="I7" s="8" t="inlineStr">
        <is>
          <t>Real-IAD</t>
        </is>
      </c>
      <c r="J7" s="8" t="inlineStr">
        <is>
          <t>class-separated; single-view; To verify</t>
        </is>
      </c>
      <c r="K7" s="8" t="inlineStr">
        <is>
          <t>N/A</t>
        </is>
      </c>
      <c r="L7" s="8" t="inlineStr">
        <is>
          <t>N/A</t>
        </is>
      </c>
      <c r="M7" s="8" t="inlineStr">
        <is>
          <t>N/A</t>
        </is>
      </c>
      <c r="N7" s="8" t="inlineStr">
        <is>
          <t>N/A</t>
        </is>
      </c>
      <c r="O7" s="8" t="inlineStr">
        <is>
          <t>N/A</t>
        </is>
      </c>
      <c r="P7" s="8" t="inlineStr">
        <is>
          <t>N/A</t>
        </is>
      </c>
      <c r="Q7" s="8" t="inlineStr">
        <is>
          <t>WideResNet50</t>
        </is>
      </c>
      <c r="R7" s="8" t="inlineStr">
        <is>
          <t>ECCV 2024; To verify Real-IAD numbers</t>
        </is>
      </c>
      <c r="S7" s="9">
        <f>HYPERLINK("https://arxiv.org/abs/2407.09359","Link")</f>
        <v/>
      </c>
      <c r="T7" s="9">
        <f>HYPERLINK("https://github.com/cqylunlun/GLASS","GitHub")</f>
        <v/>
      </c>
    </row>
    <row r="8" ht="60" customHeight="1">
      <c r="A8" s="4" t="inlineStr">
        <is>
          <t>Generative-model-based Anomaly Synthesis</t>
        </is>
      </c>
      <c r="B8" s="4" t="inlineStr">
        <is>
          <t>RealNet</t>
        </is>
      </c>
      <c r="C8" s="4" t="inlineStr">
        <is>
          <t>Zhang et al.</t>
        </is>
      </c>
      <c r="D8" s="4" t="inlineStr">
        <is>
          <t>CVPR 2024</t>
        </is>
      </c>
      <c r="E8" s="4" t="inlineStr">
        <is>
          <t>2024-03</t>
        </is>
      </c>
      <c r="F8" s="4" t="inlineStr">
        <is>
          <t>Published</t>
        </is>
      </c>
      <c r="G8" s="4" t="inlineStr">
        <is>
          <t>diffusion (SDAS)</t>
        </is>
      </c>
      <c r="H8" s="4" t="inlineStr">
        <is>
          <t>unsupervised / single-view</t>
        </is>
      </c>
      <c r="I8" s="4" t="inlineStr">
        <is>
          <t>Real-IAD</t>
        </is>
      </c>
      <c r="J8" s="4" t="inlineStr">
        <is>
          <t>class-separated; single-view; To verify</t>
        </is>
      </c>
      <c r="K8" s="4" t="inlineStr">
        <is>
          <t>N/A</t>
        </is>
      </c>
      <c r="L8" s="4" t="inlineStr">
        <is>
          <t>N/A</t>
        </is>
      </c>
      <c r="M8" s="4" t="inlineStr">
        <is>
          <t>N/A</t>
        </is>
      </c>
      <c r="N8" s="4" t="inlineStr">
        <is>
          <t>N/A</t>
        </is>
      </c>
      <c r="O8" s="4" t="inlineStr">
        <is>
          <t>N/A</t>
        </is>
      </c>
      <c r="P8" s="4" t="inlineStr">
        <is>
          <t>N/A</t>
        </is>
      </c>
      <c r="Q8" s="4" t="inlineStr">
        <is>
          <t>WideResNet50</t>
        </is>
      </c>
      <c r="R8" s="4" t="inlineStr">
        <is>
          <t>CVPR 2024; To verify Real-IAD numbers</t>
        </is>
      </c>
      <c r="S8" s="5">
        <f>HYPERLINK("https://arxiv.org/abs/2403.05897","Link")</f>
        <v/>
      </c>
      <c r="T8" s="5">
        <f>HYPERLINK("https://github.com/cnulab/RealNet","GitHub")</f>
        <v/>
      </c>
    </row>
    <row r="9" ht="60" customHeight="1">
      <c r="A9" s="2" t="inlineStr">
        <is>
          <t>Vision-language / Foundation-model-based Anomaly Synthesis</t>
        </is>
      </c>
      <c r="B9" s="2" t="inlineStr">
        <is>
          <t>MuSc</t>
        </is>
      </c>
      <c r="C9" s="2" t="inlineStr">
        <is>
          <t>Li et al.</t>
        </is>
      </c>
      <c r="D9" s="2" t="inlineStr">
        <is>
          <t>ICLR 2024</t>
        </is>
      </c>
      <c r="E9" s="2" t="inlineStr">
        <is>
          <t>2024-01</t>
        </is>
      </c>
      <c r="F9" s="2" t="inlineStr">
        <is>
          <t>Published</t>
        </is>
      </c>
      <c r="G9" s="2" t="inlineStr">
        <is>
          <t>zero-shot mutual scoring</t>
        </is>
      </c>
      <c r="H9" s="2" t="inlineStr">
        <is>
          <t>zero-shot / single-view</t>
        </is>
      </c>
      <c r="I9" s="2" t="inlineStr">
        <is>
          <t>Real-IAD</t>
        </is>
      </c>
      <c r="J9" s="2" t="inlineStr">
        <is>
          <t>single-view; zero-shot; To verify</t>
        </is>
      </c>
      <c r="K9" s="2" t="inlineStr">
        <is>
          <t>N/A</t>
        </is>
      </c>
      <c r="L9" s="2" t="inlineStr">
        <is>
          <t>N/A</t>
        </is>
      </c>
      <c r="M9" s="2" t="inlineStr">
        <is>
          <t>N/A</t>
        </is>
      </c>
      <c r="N9" s="2" t="inlineStr">
        <is>
          <t>N/A</t>
        </is>
      </c>
      <c r="O9" s="2" t="inlineStr">
        <is>
          <t>N/A</t>
        </is>
      </c>
      <c r="P9" s="2" t="inlineStr">
        <is>
          <t>N/A</t>
        </is>
      </c>
      <c r="Q9" s="2" t="inlineStr">
        <is>
          <t>DINOv2 ViT-L/14</t>
        </is>
      </c>
      <c r="R9" s="2" t="inlineStr">
        <is>
          <t>ICLR 2024; To verify Real-IAD numbers; Not directly comparable: zero-shot vs standard unsupervised</t>
        </is>
      </c>
      <c r="S9" s="3">
        <f>HYPERLINK("https://arxiv.org/abs/2401.16753","Link")</f>
        <v/>
      </c>
      <c r="T9" s="3">
        <f>HYPERLINK("https://github.com/xrli-U/MuSc","GitHub")</f>
        <v/>
      </c>
    </row>
    <row r="10" ht="60" customHeight="1">
      <c r="A10" s="10" t="inlineStr">
        <is>
          <t>Hand-crafted / Rule-based Anomaly Synthesis</t>
        </is>
      </c>
      <c r="B10" s="10" t="inlineStr">
        <is>
          <t>DRAEM</t>
        </is>
      </c>
      <c r="C10" s="10" t="inlineStr">
        <is>
          <t>Zavrtanik et al.</t>
        </is>
      </c>
      <c r="D10" s="10" t="inlineStr">
        <is>
          <t>ICCV 2021</t>
        </is>
      </c>
      <c r="E10" s="10" t="inlineStr">
        <is>
          <t>2021-08</t>
        </is>
      </c>
      <c r="F10" s="10" t="inlineStr">
        <is>
          <t>Published</t>
        </is>
      </c>
      <c r="G10" s="10" t="inlineStr">
        <is>
          <t>Perlin + DTD texture</t>
        </is>
      </c>
      <c r="H10" s="10" t="inlineStr">
        <is>
          <t>unsupervised / single-view</t>
        </is>
      </c>
      <c r="I10" s="10" t="inlineStr">
        <is>
          <t>Real-IAD</t>
        </is>
      </c>
      <c r="J10" s="10" t="inlineStr">
        <is>
          <t>class-separated; single-view; To verify</t>
        </is>
      </c>
      <c r="K10" s="10" t="inlineStr">
        <is>
          <t>N/A</t>
        </is>
      </c>
      <c r="L10" s="10" t="inlineStr">
        <is>
          <t>N/A</t>
        </is>
      </c>
      <c r="M10" s="10" t="inlineStr">
        <is>
          <t>N/A</t>
        </is>
      </c>
      <c r="N10" s="10" t="inlineStr">
        <is>
          <t>N/A</t>
        </is>
      </c>
      <c r="O10" s="10" t="inlineStr">
        <is>
          <t>N/A</t>
        </is>
      </c>
      <c r="P10" s="10" t="inlineStr">
        <is>
          <t>N/A</t>
        </is>
      </c>
      <c r="Q10" s="10" t="inlineStr">
        <is>
          <t>U-Net</t>
        </is>
      </c>
      <c r="R10" s="10" t="inlineStr">
        <is>
          <t>ICCV 2021; To verify Real-IAD numbers</t>
        </is>
      </c>
      <c r="S10" s="11">
        <f>HYPERLINK("https://arxiv.org/abs/2108.07610","Link")</f>
        <v/>
      </c>
      <c r="T10" s="11">
        <f>HYPERLINK("https://github.com/VitjanZ/DRAEM","GitHub")</f>
        <v/>
      </c>
    </row>
    <row r="11" ht="60" customHeight="1">
      <c r="A11" s="2" t="inlineStr">
        <is>
          <t>Vision-language / Foundation-model-based Anomaly Synthesis</t>
        </is>
      </c>
      <c r="B11" s="2" t="inlineStr">
        <is>
          <t>AnomalyCLIP</t>
        </is>
      </c>
      <c r="C11" s="2" t="inlineStr">
        <is>
          <t>Zhou et al.</t>
        </is>
      </c>
      <c r="D11" s="2" t="inlineStr">
        <is>
          <t>ICLR 2024</t>
        </is>
      </c>
      <c r="E11" s="2" t="inlineStr">
        <is>
          <t>2024-00</t>
        </is>
      </c>
      <c r="F11" s="2" t="inlineStr">
        <is>
          <t>Published</t>
        </is>
      </c>
      <c r="G11" s="2" t="inlineStr">
        <is>
          <t>VLM / prompt-learning</t>
        </is>
      </c>
      <c r="H11" s="2" t="inlineStr">
        <is>
          <t>zero-shot / single-view</t>
        </is>
      </c>
      <c r="I11" s="2" t="inlineStr">
        <is>
          <t>Real-IAD</t>
        </is>
      </c>
      <c r="J11" s="2" t="inlineStr">
        <is>
          <t>zero-shot; single-view; To verify</t>
        </is>
      </c>
      <c r="K11" s="2" t="inlineStr">
        <is>
          <t>N/A</t>
        </is>
      </c>
      <c r="L11" s="2" t="inlineStr">
        <is>
          <t>N/A</t>
        </is>
      </c>
      <c r="M11" s="2" t="inlineStr">
        <is>
          <t>N/A</t>
        </is>
      </c>
      <c r="N11" s="2" t="inlineStr">
        <is>
          <t>N/A</t>
        </is>
      </c>
      <c r="O11" s="2" t="inlineStr">
        <is>
          <t>N/A</t>
        </is>
      </c>
      <c r="P11" s="2" t="inlineStr">
        <is>
          <t>N/A</t>
        </is>
      </c>
      <c r="Q11" s="2" t="inlineStr">
        <is>
          <t>CLIP ViT-L/14</t>
        </is>
      </c>
      <c r="R11" s="2" t="inlineStr">
        <is>
          <t>ICLR 2024; To verify Real-IAD numbers; Not directly comparable: zero-shot</t>
        </is>
      </c>
      <c r="S11" s="3">
        <f>HYPERLINK("https://arxiv.org/abs/2310.18961","Link")</f>
        <v/>
      </c>
      <c r="T11" s="3">
        <f>HYPERLINK("https://github.com/zqhang/AnomalyCLIP","GitHub")</f>
        <v/>
      </c>
    </row>
  </sheetData>
  <autoFilter ref="A1:T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33C00"/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5" customWidth="1" min="3" max="3"/>
    <col width="13" customWidth="1" min="4" max="4"/>
    <col width="10" customWidth="1" min="5" max="5"/>
    <col width="13" customWidth="1" min="6" max="6"/>
    <col width="22" customWidth="1" min="7" max="7"/>
    <col width="22" customWidth="1" min="8" max="8"/>
    <col width="18" customWidth="1" min="9" max="9"/>
    <col width="28" customWidth="1" min="10" max="10"/>
    <col width="10" customWidth="1" min="11" max="11"/>
    <col width="10" customWidth="1" min="12" max="12"/>
    <col width="13" customWidth="1" min="13" max="13"/>
    <col width="11" customWidth="1" min="14" max="14"/>
    <col width="14" customWidth="1" min="15" max="15"/>
    <col width="22" customWidth="1" min="16" max="16"/>
    <col width="22" customWidth="1" min="17" max="17"/>
    <col width="45" customWidth="1" min="18" max="18"/>
    <col width="18" customWidth="1" min="19" max="19"/>
    <col width="18" customWidth="1" min="20" max="20"/>
  </cols>
  <sheetData>
    <row r="1" ht="36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合成類型</t>
        </is>
      </c>
      <c r="H1" s="1" t="inlineStr">
        <is>
          <t>任務設定</t>
        </is>
      </c>
      <c r="I1" s="1" t="inlineStr">
        <is>
          <t>資料集</t>
        </is>
      </c>
      <c r="J1" s="1" t="inlineStr">
        <is>
          <t>Split/Protocol</t>
        </is>
      </c>
      <c r="K1" s="1" t="inlineStr">
        <is>
          <t>I-AUROC</t>
        </is>
      </c>
      <c r="L1" s="1" t="inlineStr">
        <is>
          <t>P-AUROC</t>
        </is>
      </c>
      <c r="M1" s="1" t="inlineStr">
        <is>
          <t>AUPRO/PRO</t>
        </is>
      </c>
      <c r="N1" s="1" t="inlineStr">
        <is>
          <t>AP/AUPRC</t>
        </is>
      </c>
      <c r="O1" s="1" t="inlineStr">
        <is>
          <t>F1/Dice/IoU</t>
        </is>
      </c>
      <c r="P1" s="1" t="inlineStr">
        <is>
          <t>合成品質指標</t>
        </is>
      </c>
      <c r="Q1" s="1" t="inlineStr">
        <is>
          <t>Backbone/Detector</t>
        </is>
      </c>
      <c r="R1" s="1" t="inlineStr">
        <is>
          <t>備註(特色/可比性)</t>
        </is>
      </c>
      <c r="S1" s="1" t="inlineStr">
        <is>
          <t>連結</t>
        </is>
      </c>
      <c r="T1" s="1" t="inlineStr">
        <is>
          <t>GitHub</t>
        </is>
      </c>
    </row>
    <row r="2" ht="60" customHeight="1">
      <c r="A2" s="12" t="inlineStr">
        <is>
          <t>NOTE: No publicly verified results found for this split/protocol. Manual search of official MVTec AD 2 leaderboard (benchmark.mvtec.com) or Real-IAD project page required. All rows marked To verify.</t>
        </is>
      </c>
    </row>
  </sheetData>
  <autoFilter ref="A1:T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33C00"/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5" customWidth="1" min="3" max="3"/>
    <col width="13" customWidth="1" min="4" max="4"/>
    <col width="10" customWidth="1" min="5" max="5"/>
    <col width="13" customWidth="1" min="6" max="6"/>
    <col width="22" customWidth="1" min="7" max="7"/>
    <col width="22" customWidth="1" min="8" max="8"/>
    <col width="18" customWidth="1" min="9" max="9"/>
    <col width="28" customWidth="1" min="10" max="10"/>
    <col width="10" customWidth="1" min="11" max="11"/>
    <col width="10" customWidth="1" min="12" max="12"/>
    <col width="13" customWidth="1" min="13" max="13"/>
    <col width="11" customWidth="1" min="14" max="14"/>
    <col width="14" customWidth="1" min="15" max="15"/>
    <col width="22" customWidth="1" min="16" max="16"/>
    <col width="22" customWidth="1" min="17" max="17"/>
    <col width="45" customWidth="1" min="18" max="18"/>
    <col width="18" customWidth="1" min="19" max="19"/>
    <col width="18" customWidth="1" min="20" max="20"/>
  </cols>
  <sheetData>
    <row r="1" ht="36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合成類型</t>
        </is>
      </c>
      <c r="H1" s="1" t="inlineStr">
        <is>
          <t>任務設定</t>
        </is>
      </c>
      <c r="I1" s="1" t="inlineStr">
        <is>
          <t>資料集</t>
        </is>
      </c>
      <c r="J1" s="1" t="inlineStr">
        <is>
          <t>Split/Protocol</t>
        </is>
      </c>
      <c r="K1" s="1" t="inlineStr">
        <is>
          <t>I-AUROC</t>
        </is>
      </c>
      <c r="L1" s="1" t="inlineStr">
        <is>
          <t>P-AUROC</t>
        </is>
      </c>
      <c r="M1" s="1" t="inlineStr">
        <is>
          <t>AUPRO/PRO</t>
        </is>
      </c>
      <c r="N1" s="1" t="inlineStr">
        <is>
          <t>AP/AUPRC</t>
        </is>
      </c>
      <c r="O1" s="1" t="inlineStr">
        <is>
          <t>F1/Dice/IoU</t>
        </is>
      </c>
      <c r="P1" s="1" t="inlineStr">
        <is>
          <t>合成品質指標</t>
        </is>
      </c>
      <c r="Q1" s="1" t="inlineStr">
        <is>
          <t>Backbone/Detector</t>
        </is>
      </c>
      <c r="R1" s="1" t="inlineStr">
        <is>
          <t>備註(特色/可比性)</t>
        </is>
      </c>
      <c r="S1" s="1" t="inlineStr">
        <is>
          <t>連結</t>
        </is>
      </c>
      <c r="T1" s="1" t="inlineStr">
        <is>
          <t>GitHub</t>
        </is>
      </c>
    </row>
    <row r="2" ht="60" customHeight="1">
      <c r="A2" s="12" t="inlineStr">
        <is>
          <t>NOTE: No publicly verified results found for this split/protocol. Manual search of official MVTec AD 2 leaderboard (benchmark.mvtec.com) or Real-IAD project page required. All rows marked To verify.</t>
        </is>
      </c>
    </row>
  </sheetData>
  <autoFilter ref="A1:T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595959"/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5" customWidth="1" min="3" max="3"/>
    <col width="13" customWidth="1" min="4" max="4"/>
    <col width="10" customWidth="1" min="5" max="5"/>
    <col width="13" customWidth="1" min="6" max="6"/>
    <col width="22" customWidth="1" min="7" max="7"/>
    <col width="22" customWidth="1" min="8" max="8"/>
    <col width="18" customWidth="1" min="9" max="9"/>
    <col width="28" customWidth="1" min="10" max="10"/>
    <col width="10" customWidth="1" min="11" max="11"/>
    <col width="10" customWidth="1" min="12" max="12"/>
    <col width="13" customWidth="1" min="13" max="13"/>
    <col width="11" customWidth="1" min="14" max="14"/>
    <col width="14" customWidth="1" min="15" max="15"/>
    <col width="22" customWidth="1" min="16" max="16"/>
    <col width="22" customWidth="1" min="17" max="17"/>
    <col width="45" customWidth="1" min="18" max="18"/>
    <col width="18" customWidth="1" min="19" max="19"/>
    <col width="18" customWidth="1" min="20" max="20"/>
  </cols>
  <sheetData>
    <row r="1" ht="36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合成類型</t>
        </is>
      </c>
      <c r="H1" s="1" t="inlineStr">
        <is>
          <t>任務設定</t>
        </is>
      </c>
      <c r="I1" s="1" t="inlineStr">
        <is>
          <t>資料集</t>
        </is>
      </c>
      <c r="J1" s="1" t="inlineStr">
        <is>
          <t>Split/Protocol</t>
        </is>
      </c>
      <c r="K1" s="1" t="inlineStr">
        <is>
          <t>I-AUROC</t>
        </is>
      </c>
      <c r="L1" s="1" t="inlineStr">
        <is>
          <t>P-AUROC</t>
        </is>
      </c>
      <c r="M1" s="1" t="inlineStr">
        <is>
          <t>AUPRO/PRO</t>
        </is>
      </c>
      <c r="N1" s="1" t="inlineStr">
        <is>
          <t>AP/AUPRC</t>
        </is>
      </c>
      <c r="O1" s="1" t="inlineStr">
        <is>
          <t>F1/Dice/IoU</t>
        </is>
      </c>
      <c r="P1" s="1" t="inlineStr">
        <is>
          <t>合成品質指標</t>
        </is>
      </c>
      <c r="Q1" s="1" t="inlineStr">
        <is>
          <t>Backbone/Detector</t>
        </is>
      </c>
      <c r="R1" s="1" t="inlineStr">
        <is>
          <t>備註(特色/可比性)</t>
        </is>
      </c>
      <c r="S1" s="1" t="inlineStr">
        <is>
          <t>連結</t>
        </is>
      </c>
      <c r="T1" s="1" t="inlineStr">
        <is>
          <t>GitHub</t>
        </is>
      </c>
    </row>
    <row r="2" ht="60" customHeight="1">
      <c r="A2" s="6" t="inlineStr">
        <is>
          <t>Downstream Synthesis-based AD / Segmentation</t>
        </is>
      </c>
      <c r="B2" s="6" t="inlineStr">
        <is>
          <t>PatchCore</t>
        </is>
      </c>
      <c r="C2" s="6" t="inlineStr">
        <is>
          <t>Roth et al.</t>
        </is>
      </c>
      <c r="D2" s="6" t="inlineStr">
        <is>
          <t>CVPR 2022</t>
        </is>
      </c>
      <c r="E2" s="6" t="inlineStr">
        <is>
          <t>2022-00</t>
        </is>
      </c>
      <c r="F2" s="6" t="inlineStr">
        <is>
          <t>Published</t>
        </is>
      </c>
      <c r="G2" s="6" t="inlineStr">
        <is>
          <t>memory bank</t>
        </is>
      </c>
      <c r="H2" s="6" t="inlineStr">
        <is>
          <t>unsupervised / class-separated</t>
        </is>
      </c>
      <c r="I2" s="6" t="inlineStr">
        <is>
          <t>BTAD</t>
        </is>
      </c>
      <c r="J2" s="6" t="inlineStr">
        <is>
          <t>3 categories; class-separated; To verify</t>
        </is>
      </c>
      <c r="K2" s="6" t="inlineStr">
        <is>
          <t>N/A</t>
        </is>
      </c>
      <c r="L2" s="6" t="inlineStr">
        <is>
          <t>N/A</t>
        </is>
      </c>
      <c r="M2" s="6" t="inlineStr">
        <is>
          <t>N/A</t>
        </is>
      </c>
      <c r="N2" s="6" t="inlineStr">
        <is>
          <t>N/A</t>
        </is>
      </c>
      <c r="O2" s="6" t="inlineStr">
        <is>
          <t>N/A</t>
        </is>
      </c>
      <c r="P2" s="6" t="inlineStr">
        <is>
          <t>N/A</t>
        </is>
      </c>
      <c r="Q2" s="6" t="inlineStr">
        <is>
          <t>WideResNet50</t>
        </is>
      </c>
      <c r="R2" s="6" t="inlineStr">
        <is>
          <t>CVPR 2022; baseline; To verify BTAD numbers; small dataset</t>
        </is>
      </c>
      <c r="S2" s="7">
        <f>HYPERLINK("https://arxiv.org/abs/2106.08265","Link")</f>
        <v/>
      </c>
      <c r="T2" s="7">
        <f>HYPERLINK("https://github.com/amazon-science/patchcore-inspection","GitHub")</f>
        <v/>
      </c>
    </row>
    <row r="3" ht="60" customHeight="1">
      <c r="A3" s="8" t="inlineStr">
        <is>
          <t>Distribution-hypothesis / Feature-space Anomaly Synthesis</t>
        </is>
      </c>
      <c r="B3" s="8" t="inlineStr">
        <is>
          <t>BGAD</t>
        </is>
      </c>
      <c r="C3" s="8" t="inlineStr">
        <is>
          <t>Yao et al.</t>
        </is>
      </c>
      <c r="D3" s="8" t="inlineStr">
        <is>
          <t>CVPR 2023</t>
        </is>
      </c>
      <c r="E3" s="8" t="inlineStr">
        <is>
          <t>2023-00</t>
        </is>
      </c>
      <c r="F3" s="8" t="inlineStr">
        <is>
          <t>Published</t>
        </is>
      </c>
      <c r="G3" s="8" t="inlineStr">
        <is>
          <t>boundary-guided contrastive</t>
        </is>
      </c>
      <c r="H3" s="8" t="inlineStr">
        <is>
          <t>weakly supervised (uses real anomalies)</t>
        </is>
      </c>
      <c r="I3" s="8" t="inlineStr">
        <is>
          <t>BTAD</t>
        </is>
      </c>
      <c r="J3" s="8" t="inlineStr">
        <is>
          <t>3 categories; weakly supervised; uses few real anomaly samples</t>
        </is>
      </c>
      <c r="K3" s="8" t="inlineStr">
        <is>
          <t>N/A</t>
        </is>
      </c>
      <c r="L3" s="8" t="inlineStr">
        <is>
          <t>N/A</t>
        </is>
      </c>
      <c r="M3" s="8" t="inlineStr">
        <is>
          <t>N/A</t>
        </is>
      </c>
      <c r="N3" s="8" t="inlineStr">
        <is>
          <t>N/A</t>
        </is>
      </c>
      <c r="O3" s="8" t="inlineStr">
        <is>
          <t>N/A</t>
        </is>
      </c>
      <c r="P3" s="8" t="inlineStr">
        <is>
          <t>N/A</t>
        </is>
      </c>
      <c r="Q3" s="8" t="inlineStr">
        <is>
          <t>WideResNet50</t>
        </is>
      </c>
      <c r="R3" s="8" t="inlineStr">
        <is>
          <t>CVPR 2023; uses real anomalies — Data leakage risk; Paper-reported result; To verify BTAD numbers</t>
        </is>
      </c>
      <c r="S3" s="9">
        <f>HYPERLINK("https://arxiv.org/abs/2207.01463","Link")</f>
        <v/>
      </c>
      <c r="T3" s="9">
        <f>HYPERLINK("https://github.com/xcyao00/BGAD","GitHub")</f>
        <v/>
      </c>
    </row>
    <row r="4" ht="60" customHeight="1">
      <c r="A4" s="10" t="inlineStr">
        <is>
          <t>Hand-crafted / Rule-based Anomaly Synthesis</t>
        </is>
      </c>
      <c r="B4" s="10" t="inlineStr">
        <is>
          <t>DRAEM</t>
        </is>
      </c>
      <c r="C4" s="10" t="inlineStr">
        <is>
          <t>Zavrtanik et al.</t>
        </is>
      </c>
      <c r="D4" s="10" t="inlineStr">
        <is>
          <t>ICCV 2021</t>
        </is>
      </c>
      <c r="E4" s="10" t="inlineStr">
        <is>
          <t>2021-08</t>
        </is>
      </c>
      <c r="F4" s="10" t="inlineStr">
        <is>
          <t>Published</t>
        </is>
      </c>
      <c r="G4" s="10" t="inlineStr">
        <is>
          <t>Perlin + DTD texture</t>
        </is>
      </c>
      <c r="H4" s="10" t="inlineStr">
        <is>
          <t>unsupervised</t>
        </is>
      </c>
      <c r="I4" s="10" t="inlineStr">
        <is>
          <t>BTAD</t>
        </is>
      </c>
      <c r="J4" s="10" t="inlineStr">
        <is>
          <t>3 categories; class-separated; To verify</t>
        </is>
      </c>
      <c r="K4" s="10" t="inlineStr">
        <is>
          <t>N/A</t>
        </is>
      </c>
      <c r="L4" s="10" t="inlineStr">
        <is>
          <t>N/A</t>
        </is>
      </c>
      <c r="M4" s="10" t="inlineStr">
        <is>
          <t>N/A</t>
        </is>
      </c>
      <c r="N4" s="10" t="inlineStr">
        <is>
          <t>N/A</t>
        </is>
      </c>
      <c r="O4" s="10" t="inlineStr">
        <is>
          <t>N/A</t>
        </is>
      </c>
      <c r="P4" s="10" t="inlineStr">
        <is>
          <t>N/A</t>
        </is>
      </c>
      <c r="Q4" s="10" t="inlineStr">
        <is>
          <t>U-Net</t>
        </is>
      </c>
      <c r="R4" s="10" t="inlineStr">
        <is>
          <t>ICCV 2021; To verify BTAD numbers</t>
        </is>
      </c>
      <c r="S4" s="11">
        <f>HYPERLINK("https://arxiv.org/abs/2108.07610","Link")</f>
        <v/>
      </c>
      <c r="T4" s="11">
        <f>HYPERLINK("https://github.com/VitjanZ/DRAEM","GitHub")</f>
        <v/>
      </c>
    </row>
    <row r="5" ht="60" customHeight="1">
      <c r="A5" s="8" t="inlineStr">
        <is>
          <t>Distribution-hypothesis / Feature-space Anomaly Synthesis</t>
        </is>
      </c>
      <c r="B5" s="8" t="inlineStr">
        <is>
          <t>SimpleNet</t>
        </is>
      </c>
      <c r="C5" s="8" t="inlineStr">
        <is>
          <t>Liu et al.</t>
        </is>
      </c>
      <c r="D5" s="8" t="inlineStr">
        <is>
          <t>CVPR 2023</t>
        </is>
      </c>
      <c r="E5" s="8" t="inlineStr">
        <is>
          <t>2023-03</t>
        </is>
      </c>
      <c r="F5" s="8" t="inlineStr">
        <is>
          <t>Published</t>
        </is>
      </c>
      <c r="G5" s="8" t="inlineStr">
        <is>
          <t>Gaussian noise feature-space</t>
        </is>
      </c>
      <c r="H5" s="8" t="inlineStr">
        <is>
          <t>unsupervised</t>
        </is>
      </c>
      <c r="I5" s="8" t="inlineStr">
        <is>
          <t>BTAD</t>
        </is>
      </c>
      <c r="J5" s="8" t="inlineStr">
        <is>
          <t>3 categories; To verify</t>
        </is>
      </c>
      <c r="K5" s="8" t="inlineStr">
        <is>
          <t>N/A</t>
        </is>
      </c>
      <c r="L5" s="8" t="inlineStr">
        <is>
          <t>N/A</t>
        </is>
      </c>
      <c r="M5" s="8" t="inlineStr">
        <is>
          <t>N/A</t>
        </is>
      </c>
      <c r="N5" s="8" t="inlineStr">
        <is>
          <t>N/A</t>
        </is>
      </c>
      <c r="O5" s="8" t="inlineStr">
        <is>
          <t>N/A</t>
        </is>
      </c>
      <c r="P5" s="8" t="inlineStr">
        <is>
          <t>N/A</t>
        </is>
      </c>
      <c r="Q5" s="8" t="inlineStr">
        <is>
          <t>WideResNet50</t>
        </is>
      </c>
      <c r="R5" s="8" t="inlineStr">
        <is>
          <t>CVPR 2023; To verify BTAD numbers</t>
        </is>
      </c>
      <c r="S5" s="9">
        <f>HYPERLINK("https://arxiv.org/abs/2303.15140","Link")</f>
        <v/>
      </c>
      <c r="T5" s="9">
        <f>HYPERLINK("https://github.com/DonaldRR/SimpleNet","GitHub")</f>
        <v/>
      </c>
    </row>
    <row r="6" ht="60" customHeight="1">
      <c r="A6" s="6" t="inlineStr">
        <is>
          <t>Downstream Synthesis-based AD / Segmentation</t>
        </is>
      </c>
      <c r="B6" s="6" t="inlineStr">
        <is>
          <t>PaDiM</t>
        </is>
      </c>
      <c r="C6" s="6" t="inlineStr">
        <is>
          <t>Defard et al.</t>
        </is>
      </c>
      <c r="D6" s="6" t="inlineStr">
        <is>
          <t>ICPR 2021</t>
        </is>
      </c>
      <c r="E6" s="6" t="inlineStr">
        <is>
          <t>2021-00</t>
        </is>
      </c>
      <c r="F6" s="6" t="inlineStr">
        <is>
          <t>Published</t>
        </is>
      </c>
      <c r="G6" s="6" t="inlineStr">
        <is>
          <t>patch distribution</t>
        </is>
      </c>
      <c r="H6" s="6" t="inlineStr">
        <is>
          <t>unsupervised</t>
        </is>
      </c>
      <c r="I6" s="6" t="inlineStr">
        <is>
          <t>BTAD</t>
        </is>
      </c>
      <c r="J6" s="6" t="inlineStr">
        <is>
          <t>3 categories; To verify</t>
        </is>
      </c>
      <c r="K6" s="6" t="inlineStr">
        <is>
          <t>N/A</t>
        </is>
      </c>
      <c r="L6" s="6" t="inlineStr">
        <is>
          <t>N/A</t>
        </is>
      </c>
      <c r="M6" s="6" t="inlineStr">
        <is>
          <t>N/A</t>
        </is>
      </c>
      <c r="N6" s="6" t="inlineStr">
        <is>
          <t>N/A</t>
        </is>
      </c>
      <c r="O6" s="6" t="inlineStr">
        <is>
          <t>N/A</t>
        </is>
      </c>
      <c r="P6" s="6" t="inlineStr">
        <is>
          <t>N/A</t>
        </is>
      </c>
      <c r="Q6" s="6" t="inlineStr">
        <is>
          <t>WideResNet50</t>
        </is>
      </c>
      <c r="R6" s="6" t="inlineStr">
        <is>
          <t>ICPR 2021; baseline; To verify BTAD numbers</t>
        </is>
      </c>
      <c r="S6" s="7">
        <f>HYPERLINK("https://arxiv.org/abs/2011.08785","Link")</f>
        <v/>
      </c>
      <c r="T6" s="6" t="inlineStr">
        <is>
          <t>N/A</t>
        </is>
      </c>
    </row>
    <row r="7" ht="60" customHeight="1">
      <c r="A7" s="4" t="inlineStr">
        <is>
          <t>Generative-model-based Anomaly Synthesis</t>
        </is>
      </c>
      <c r="B7" s="4" t="inlineStr">
        <is>
          <t>RealNet</t>
        </is>
      </c>
      <c r="C7" s="4" t="inlineStr">
        <is>
          <t>Zhang et al.</t>
        </is>
      </c>
      <c r="D7" s="4" t="inlineStr">
        <is>
          <t>CVPR 2024</t>
        </is>
      </c>
      <c r="E7" s="4" t="inlineStr">
        <is>
          <t>2024-03</t>
        </is>
      </c>
      <c r="F7" s="4" t="inlineStr">
        <is>
          <t>Published</t>
        </is>
      </c>
      <c r="G7" s="4" t="inlineStr">
        <is>
          <t>diffusion SDAS</t>
        </is>
      </c>
      <c r="H7" s="4" t="inlineStr">
        <is>
          <t>unsupervised</t>
        </is>
      </c>
      <c r="I7" s="4" t="inlineStr">
        <is>
          <t>BTAD</t>
        </is>
      </c>
      <c r="J7" s="4" t="inlineStr">
        <is>
          <t>3 categories; To verify</t>
        </is>
      </c>
      <c r="K7" s="4" t="inlineStr">
        <is>
          <t>N/A</t>
        </is>
      </c>
      <c r="L7" s="4" t="inlineStr">
        <is>
          <t>N/A</t>
        </is>
      </c>
      <c r="M7" s="4" t="inlineStr">
        <is>
          <t>N/A</t>
        </is>
      </c>
      <c r="N7" s="4" t="inlineStr">
        <is>
          <t>N/A</t>
        </is>
      </c>
      <c r="O7" s="4" t="inlineStr">
        <is>
          <t>N/A</t>
        </is>
      </c>
      <c r="P7" s="4" t="inlineStr">
        <is>
          <t>N/A</t>
        </is>
      </c>
      <c r="Q7" s="4" t="inlineStr">
        <is>
          <t>WideResNet50</t>
        </is>
      </c>
      <c r="R7" s="4" t="inlineStr">
        <is>
          <t>CVPR 2024; To verify BTAD numbers</t>
        </is>
      </c>
      <c r="S7" s="5">
        <f>HYPERLINK("https://arxiv.org/abs/2403.05897","Link")</f>
        <v/>
      </c>
      <c r="T7" s="5">
        <f>HYPERLINK("https://github.com/cnulab/RealNet","GitHub")</f>
        <v/>
      </c>
    </row>
    <row r="8" ht="60" customHeight="1">
      <c r="A8" s="8" t="inlineStr">
        <is>
          <t>Distribution-hypothesis / Feature-space Anomaly Synthesis</t>
        </is>
      </c>
      <c r="B8" s="8" t="inlineStr">
        <is>
          <t>GLASS</t>
        </is>
      </c>
      <c r="C8" s="8" t="inlineStr">
        <is>
          <t>Chen et al.</t>
        </is>
      </c>
      <c r="D8" s="8" t="inlineStr">
        <is>
          <t>ECCV 2024</t>
        </is>
      </c>
      <c r="E8" s="8" t="inlineStr">
        <is>
          <t>2024-07</t>
        </is>
      </c>
      <c r="F8" s="8" t="inlineStr">
        <is>
          <t>Published</t>
        </is>
      </c>
      <c r="G8" s="8" t="inlineStr">
        <is>
          <t>gradient-ascent + Perlin</t>
        </is>
      </c>
      <c r="H8" s="8" t="inlineStr">
        <is>
          <t>unsupervised</t>
        </is>
      </c>
      <c r="I8" s="8" t="inlineStr">
        <is>
          <t>BTAD</t>
        </is>
      </c>
      <c r="J8" s="8" t="inlineStr">
        <is>
          <t>3 categories; To verify</t>
        </is>
      </c>
      <c r="K8" s="8" t="inlineStr">
        <is>
          <t>N/A</t>
        </is>
      </c>
      <c r="L8" s="8" t="inlineStr">
        <is>
          <t>N/A</t>
        </is>
      </c>
      <c r="M8" s="8" t="inlineStr">
        <is>
          <t>N/A</t>
        </is>
      </c>
      <c r="N8" s="8" t="inlineStr">
        <is>
          <t>N/A</t>
        </is>
      </c>
      <c r="O8" s="8" t="inlineStr">
        <is>
          <t>N/A</t>
        </is>
      </c>
      <c r="P8" s="8" t="inlineStr">
        <is>
          <t>N/A</t>
        </is>
      </c>
      <c r="Q8" s="8" t="inlineStr">
        <is>
          <t>WideResNet50</t>
        </is>
      </c>
      <c r="R8" s="8" t="inlineStr">
        <is>
          <t>ECCV 2024; To verify BTAD numbers</t>
        </is>
      </c>
      <c r="S8" s="9">
        <f>HYPERLINK("https://arxiv.org/abs/2407.09359","Link")</f>
        <v/>
      </c>
      <c r="T8" s="9">
        <f>HYPERLINK("https://github.com/cqylunlun/GLASS","GitHub")</f>
        <v/>
      </c>
    </row>
    <row r="9" ht="60" customHeight="1">
      <c r="A9" s="6" t="inlineStr">
        <is>
          <t>Downstream Synthesis-based AD / Segmentation</t>
        </is>
      </c>
      <c r="B9" s="6" t="inlineStr">
        <is>
          <t>FastFlow</t>
        </is>
      </c>
      <c r="C9" s="6" t="inlineStr">
        <is>
          <t>Yu et al.</t>
        </is>
      </c>
      <c r="D9" s="6" t="inlineStr">
        <is>
          <t>arXiv</t>
        </is>
      </c>
      <c r="E9" s="6" t="inlineStr">
        <is>
          <t>2022-00</t>
        </is>
      </c>
      <c r="F9" s="6" t="inlineStr">
        <is>
          <t>arXiv / Reproduced</t>
        </is>
      </c>
      <c r="G9" s="6" t="inlineStr">
        <is>
          <t>normalizing flow</t>
        </is>
      </c>
      <c r="H9" s="6" t="inlineStr">
        <is>
          <t>unsupervised</t>
        </is>
      </c>
      <c r="I9" s="6" t="inlineStr">
        <is>
          <t>BTAD</t>
        </is>
      </c>
      <c r="J9" s="6" t="inlineStr">
        <is>
          <t>3 categories; To verify</t>
        </is>
      </c>
      <c r="K9" s="6" t="inlineStr">
        <is>
          <t>N/A</t>
        </is>
      </c>
      <c r="L9" s="6" t="inlineStr">
        <is>
          <t>N/A</t>
        </is>
      </c>
      <c r="M9" s="6" t="inlineStr">
        <is>
          <t>N/A</t>
        </is>
      </c>
      <c r="N9" s="6" t="inlineStr">
        <is>
          <t>N/A</t>
        </is>
      </c>
      <c r="O9" s="6" t="inlineStr">
        <is>
          <t>N/A</t>
        </is>
      </c>
      <c r="P9" s="6" t="inlineStr">
        <is>
          <t>N/A</t>
        </is>
      </c>
      <c r="Q9" s="6" t="inlineStr">
        <is>
          <t>ResNet + 2D NF</t>
        </is>
      </c>
      <c r="R9" s="6" t="inlineStr">
        <is>
          <t>To verify BTAD numbers; Third-party reproduction</t>
        </is>
      </c>
      <c r="S9" s="7">
        <f>HYPERLINK("https://arxiv.org/abs/2111.07677","Link")</f>
        <v/>
      </c>
      <c r="T9" s="6" t="inlineStr">
        <is>
          <t>N/A</t>
        </is>
      </c>
    </row>
    <row r="10" ht="60" customHeight="1">
      <c r="A10" s="6" t="inlineStr">
        <is>
          <t>Downstream Synthesis-based AD / Segmentation</t>
        </is>
      </c>
      <c r="B10" s="6" t="inlineStr">
        <is>
          <t>EfficientAD</t>
        </is>
      </c>
      <c r="C10" s="6" t="inlineStr">
        <is>
          <t>Batzner et al.</t>
        </is>
      </c>
      <c r="D10" s="6" t="inlineStr">
        <is>
          <t>WACV 2024</t>
        </is>
      </c>
      <c r="E10" s="6" t="inlineStr">
        <is>
          <t>2024-00</t>
        </is>
      </c>
      <c r="F10" s="6" t="inlineStr">
        <is>
          <t>Published</t>
        </is>
      </c>
      <c r="G10" s="6" t="inlineStr">
        <is>
          <t>teacher-student + autoencoder</t>
        </is>
      </c>
      <c r="H10" s="6" t="inlineStr">
        <is>
          <t>unsupervised</t>
        </is>
      </c>
      <c r="I10" s="6" t="inlineStr">
        <is>
          <t>BTAD</t>
        </is>
      </c>
      <c r="J10" s="6" t="inlineStr">
        <is>
          <t>3 categories; To verify</t>
        </is>
      </c>
      <c r="K10" s="6" t="inlineStr">
        <is>
          <t>N/A</t>
        </is>
      </c>
      <c r="L10" s="6" t="inlineStr">
        <is>
          <t>N/A</t>
        </is>
      </c>
      <c r="M10" s="6" t="inlineStr">
        <is>
          <t>N/A</t>
        </is>
      </c>
      <c r="N10" s="6" t="inlineStr">
        <is>
          <t>N/A</t>
        </is>
      </c>
      <c r="O10" s="6" t="inlineStr">
        <is>
          <t>N/A</t>
        </is>
      </c>
      <c r="P10" s="6" t="inlineStr">
        <is>
          <t>N/A</t>
        </is>
      </c>
      <c r="Q10" s="6" t="inlineStr">
        <is>
          <t>PDN + autoencoder</t>
        </is>
      </c>
      <c r="R10" s="6" t="inlineStr">
        <is>
          <t>WACV 2024; To verify BTAD numbers</t>
        </is>
      </c>
      <c r="S10" s="7">
        <f>HYPERLINK("https://arxiv.org/abs/2303.14535","Link")</f>
        <v/>
      </c>
      <c r="T10" s="6" t="inlineStr">
        <is>
          <t>N/A</t>
        </is>
      </c>
    </row>
    <row r="11" ht="60" customHeight="1">
      <c r="A11" s="6" t="inlineStr">
        <is>
          <t>Downstream Synthesis-based AD / Segmentation</t>
        </is>
      </c>
      <c r="B11" s="6" t="inlineStr">
        <is>
          <t>UniAD</t>
        </is>
      </c>
      <c r="C11" s="6" t="inlineStr">
        <is>
          <t>You et al.</t>
        </is>
      </c>
      <c r="D11" s="6" t="inlineStr">
        <is>
          <t>NeurIPS 2022</t>
        </is>
      </c>
      <c r="E11" s="6" t="inlineStr">
        <is>
          <t>2022-06</t>
        </is>
      </c>
      <c r="F11" s="6" t="inlineStr">
        <is>
          <t>Published</t>
        </is>
      </c>
      <c r="G11" s="6" t="inlineStr">
        <is>
          <t>multi-class reconstruction</t>
        </is>
      </c>
      <c r="H11" s="6" t="inlineStr">
        <is>
          <t>multi-class</t>
        </is>
      </c>
      <c r="I11" s="6" t="inlineStr">
        <is>
          <t>BTAD</t>
        </is>
      </c>
      <c r="J11" s="6" t="inlineStr">
        <is>
          <t>multi-class; To verify</t>
        </is>
      </c>
      <c r="K11" s="6" t="inlineStr">
        <is>
          <t>N/A</t>
        </is>
      </c>
      <c r="L11" s="6" t="inlineStr">
        <is>
          <t>N/A</t>
        </is>
      </c>
      <c r="M11" s="6" t="inlineStr">
        <is>
          <t>N/A</t>
        </is>
      </c>
      <c r="N11" s="6" t="inlineStr">
        <is>
          <t>N/A</t>
        </is>
      </c>
      <c r="O11" s="6" t="inlineStr">
        <is>
          <t>N/A</t>
        </is>
      </c>
      <c r="P11" s="6" t="inlineStr">
        <is>
          <t>N/A</t>
        </is>
      </c>
      <c r="Q11" s="6" t="inlineStr">
        <is>
          <t>Transformer</t>
        </is>
      </c>
      <c r="R11" s="6" t="inlineStr">
        <is>
          <t>NeurIPS 2022; To verify BTAD numbers</t>
        </is>
      </c>
      <c r="S11" s="7">
        <f>HYPERLINK("https://arxiv.org/abs/2206.03687","Link")</f>
        <v/>
      </c>
      <c r="T11" s="7">
        <f>HYPERLINK("https://github.com/zhiyuanyou/UniAD","GitHub")</f>
        <v/>
      </c>
    </row>
  </sheetData>
  <autoFilter ref="A1:T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595959"/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5" customWidth="1" min="3" max="3"/>
    <col width="13" customWidth="1" min="4" max="4"/>
    <col width="10" customWidth="1" min="5" max="5"/>
    <col width="13" customWidth="1" min="6" max="6"/>
    <col width="22" customWidth="1" min="7" max="7"/>
    <col width="22" customWidth="1" min="8" max="8"/>
    <col width="18" customWidth="1" min="9" max="9"/>
    <col width="28" customWidth="1" min="10" max="10"/>
    <col width="10" customWidth="1" min="11" max="11"/>
    <col width="10" customWidth="1" min="12" max="12"/>
    <col width="13" customWidth="1" min="13" max="13"/>
    <col width="11" customWidth="1" min="14" max="14"/>
    <col width="14" customWidth="1" min="15" max="15"/>
    <col width="22" customWidth="1" min="16" max="16"/>
    <col width="22" customWidth="1" min="17" max="17"/>
    <col width="45" customWidth="1" min="18" max="18"/>
    <col width="18" customWidth="1" min="19" max="19"/>
    <col width="18" customWidth="1" min="20" max="20"/>
  </cols>
  <sheetData>
    <row r="1" ht="36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合成類型</t>
        </is>
      </c>
      <c r="H1" s="1" t="inlineStr">
        <is>
          <t>任務設定</t>
        </is>
      </c>
      <c r="I1" s="1" t="inlineStr">
        <is>
          <t>資料集</t>
        </is>
      </c>
      <c r="J1" s="1" t="inlineStr">
        <is>
          <t>Split/Protocol</t>
        </is>
      </c>
      <c r="K1" s="1" t="inlineStr">
        <is>
          <t>I-AUROC</t>
        </is>
      </c>
      <c r="L1" s="1" t="inlineStr">
        <is>
          <t>P-AUROC</t>
        </is>
      </c>
      <c r="M1" s="1" t="inlineStr">
        <is>
          <t>AUPRO/PRO</t>
        </is>
      </c>
      <c r="N1" s="1" t="inlineStr">
        <is>
          <t>AP/AUPRC</t>
        </is>
      </c>
      <c r="O1" s="1" t="inlineStr">
        <is>
          <t>F1/Dice/IoU</t>
        </is>
      </c>
      <c r="P1" s="1" t="inlineStr">
        <is>
          <t>合成品質指標</t>
        </is>
      </c>
      <c r="Q1" s="1" t="inlineStr">
        <is>
          <t>Backbone/Detector</t>
        </is>
      </c>
      <c r="R1" s="1" t="inlineStr">
        <is>
          <t>備註(特色/可比性)</t>
        </is>
      </c>
      <c r="S1" s="1" t="inlineStr">
        <is>
          <t>連結</t>
        </is>
      </c>
      <c r="T1" s="1" t="inlineStr">
        <is>
          <t>GitHub</t>
        </is>
      </c>
    </row>
    <row r="2" ht="60" customHeight="1">
      <c r="A2" s="8" t="inlineStr">
        <is>
          <t>Distribution-hypothesis / Feature-space Anomaly Synthesis</t>
        </is>
      </c>
      <c r="B2" s="8" t="inlineStr">
        <is>
          <t>GLASS</t>
        </is>
      </c>
      <c r="C2" s="8" t="inlineStr">
        <is>
          <t>Chen et al.</t>
        </is>
      </c>
      <c r="D2" s="8" t="inlineStr">
        <is>
          <t>ECCV 2024</t>
        </is>
      </c>
      <c r="E2" s="8" t="inlineStr">
        <is>
          <t>2024-07</t>
        </is>
      </c>
      <c r="F2" s="8" t="inlineStr">
        <is>
          <t>Published</t>
        </is>
      </c>
      <c r="G2" s="8" t="inlineStr">
        <is>
          <t>gradient-ascent + Perlin</t>
        </is>
      </c>
      <c r="H2" s="8" t="inlineStr">
        <is>
          <t>unsupervised / class-separated</t>
        </is>
      </c>
      <c r="I2" s="8" t="inlineStr">
        <is>
          <t>MPDD</t>
        </is>
      </c>
      <c r="J2" s="8" t="inlineStr">
        <is>
          <t>6 categories; class-separated; SOTA on MPDD</t>
        </is>
      </c>
      <c r="K2" s="8" t="inlineStr">
        <is>
          <t>N/A</t>
        </is>
      </c>
      <c r="L2" s="8" t="inlineStr">
        <is>
          <t>N/A</t>
        </is>
      </c>
      <c r="M2" s="8" t="inlineStr">
        <is>
          <t>N/A</t>
        </is>
      </c>
      <c r="N2" s="8" t="inlineStr">
        <is>
          <t>N/A</t>
        </is>
      </c>
      <c r="O2" s="8" t="inlineStr">
        <is>
          <t>N/A</t>
        </is>
      </c>
      <c r="P2" s="8" t="inlineStr">
        <is>
          <t>N/A</t>
        </is>
      </c>
      <c r="Q2" s="8" t="inlineStr">
        <is>
          <t>WideResNet50</t>
        </is>
      </c>
      <c r="R2" s="8" t="inlineStr">
        <is>
          <t>ECCV 2024; SOTA on MPDD (reported in paper); Paper-reported result; To verify exact AUPRO</t>
        </is>
      </c>
      <c r="S2" s="9">
        <f>HYPERLINK("https://arxiv.org/abs/2407.09359","Link")</f>
        <v/>
      </c>
      <c r="T2" s="9">
        <f>HYPERLINK("https://github.com/cqylunlun/GLASS","GitHub")</f>
        <v/>
      </c>
    </row>
    <row r="3" ht="60" customHeight="1">
      <c r="A3" s="6" t="inlineStr">
        <is>
          <t>Downstream Synthesis-based AD / Segmentation</t>
        </is>
      </c>
      <c r="B3" s="6" t="inlineStr">
        <is>
          <t>PatchCore</t>
        </is>
      </c>
      <c r="C3" s="6" t="inlineStr">
        <is>
          <t>Roth et al.</t>
        </is>
      </c>
      <c r="D3" s="6" t="inlineStr">
        <is>
          <t>CVPR 2022</t>
        </is>
      </c>
      <c r="E3" s="6" t="inlineStr">
        <is>
          <t>2022-00</t>
        </is>
      </c>
      <c r="F3" s="6" t="inlineStr">
        <is>
          <t>Published</t>
        </is>
      </c>
      <c r="G3" s="6" t="inlineStr">
        <is>
          <t>memory bank</t>
        </is>
      </c>
      <c r="H3" s="6" t="inlineStr">
        <is>
          <t>unsupervised / class-separated</t>
        </is>
      </c>
      <c r="I3" s="6" t="inlineStr">
        <is>
          <t>MPDD</t>
        </is>
      </c>
      <c r="J3" s="6" t="inlineStr">
        <is>
          <t>6 categories; To verify</t>
        </is>
      </c>
      <c r="K3" s="6" t="inlineStr">
        <is>
          <t>N/A</t>
        </is>
      </c>
      <c r="L3" s="6" t="inlineStr">
        <is>
          <t>N/A</t>
        </is>
      </c>
      <c r="M3" s="6" t="inlineStr">
        <is>
          <t>N/A</t>
        </is>
      </c>
      <c r="N3" s="6" t="inlineStr">
        <is>
          <t>N/A</t>
        </is>
      </c>
      <c r="O3" s="6" t="inlineStr">
        <is>
          <t>N/A</t>
        </is>
      </c>
      <c r="P3" s="6" t="inlineStr">
        <is>
          <t>N/A</t>
        </is>
      </c>
      <c r="Q3" s="6" t="inlineStr">
        <is>
          <t>WideResNet50</t>
        </is>
      </c>
      <c r="R3" s="6" t="inlineStr">
        <is>
          <t>CVPR 2022; To verify MPDD numbers</t>
        </is>
      </c>
      <c r="S3" s="7">
        <f>HYPERLINK("https://arxiv.org/abs/2106.08265","Link")</f>
        <v/>
      </c>
      <c r="T3" s="7">
        <f>HYPERLINK("https://github.com/amazon-science/patchcore-inspection","GitHub")</f>
        <v/>
      </c>
    </row>
    <row r="4" ht="60" customHeight="1">
      <c r="A4" s="10" t="inlineStr">
        <is>
          <t>Hand-crafted / Rule-based Anomaly Synthesis</t>
        </is>
      </c>
      <c r="B4" s="10" t="inlineStr">
        <is>
          <t>DRAEM</t>
        </is>
      </c>
      <c r="C4" s="10" t="inlineStr">
        <is>
          <t>Zavrtanik et al.</t>
        </is>
      </c>
      <c r="D4" s="10" t="inlineStr">
        <is>
          <t>ICCV 2021</t>
        </is>
      </c>
      <c r="E4" s="10" t="inlineStr">
        <is>
          <t>2021-08</t>
        </is>
      </c>
      <c r="F4" s="10" t="inlineStr">
        <is>
          <t>Published</t>
        </is>
      </c>
      <c r="G4" s="10" t="inlineStr">
        <is>
          <t>Perlin + DTD texture</t>
        </is>
      </c>
      <c r="H4" s="10" t="inlineStr">
        <is>
          <t>unsupervised</t>
        </is>
      </c>
      <c r="I4" s="10" t="inlineStr">
        <is>
          <t>MPDD</t>
        </is>
      </c>
      <c r="J4" s="10" t="inlineStr">
        <is>
          <t>6 categories; To verify</t>
        </is>
      </c>
      <c r="K4" s="10" t="inlineStr">
        <is>
          <t>N/A</t>
        </is>
      </c>
      <c r="L4" s="10" t="inlineStr">
        <is>
          <t>N/A</t>
        </is>
      </c>
      <c r="M4" s="10" t="inlineStr">
        <is>
          <t>N/A</t>
        </is>
      </c>
      <c r="N4" s="10" t="inlineStr">
        <is>
          <t>N/A</t>
        </is>
      </c>
      <c r="O4" s="10" t="inlineStr">
        <is>
          <t>N/A</t>
        </is>
      </c>
      <c r="P4" s="10" t="inlineStr">
        <is>
          <t>N/A</t>
        </is>
      </c>
      <c r="Q4" s="10" t="inlineStr">
        <is>
          <t>U-Net</t>
        </is>
      </c>
      <c r="R4" s="10" t="inlineStr">
        <is>
          <t>ICCV 2021; To verify MPDD numbers</t>
        </is>
      </c>
      <c r="S4" s="11">
        <f>HYPERLINK("https://arxiv.org/abs/2108.07610","Link")</f>
        <v/>
      </c>
      <c r="T4" s="11">
        <f>HYPERLINK("https://github.com/VitjanZ/DRAEM","GitHub")</f>
        <v/>
      </c>
    </row>
    <row r="5" ht="60" customHeight="1">
      <c r="A5" s="8" t="inlineStr">
        <is>
          <t>Distribution-hypothesis / Feature-space Anomaly Synthesis</t>
        </is>
      </c>
      <c r="B5" s="8" t="inlineStr">
        <is>
          <t>SimpleNet</t>
        </is>
      </c>
      <c r="C5" s="8" t="inlineStr">
        <is>
          <t>Liu et al.</t>
        </is>
      </c>
      <c r="D5" s="8" t="inlineStr">
        <is>
          <t>CVPR 2023</t>
        </is>
      </c>
      <c r="E5" s="8" t="inlineStr">
        <is>
          <t>2023-03</t>
        </is>
      </c>
      <c r="F5" s="8" t="inlineStr">
        <is>
          <t>Published</t>
        </is>
      </c>
      <c r="G5" s="8" t="inlineStr">
        <is>
          <t>Gaussian noise feature-space</t>
        </is>
      </c>
      <c r="H5" s="8" t="inlineStr">
        <is>
          <t>unsupervised</t>
        </is>
      </c>
      <c r="I5" s="8" t="inlineStr">
        <is>
          <t>MPDD</t>
        </is>
      </c>
      <c r="J5" s="8" t="inlineStr">
        <is>
          <t>6 categories; To verify</t>
        </is>
      </c>
      <c r="K5" s="8" t="inlineStr">
        <is>
          <t>N/A</t>
        </is>
      </c>
      <c r="L5" s="8" t="inlineStr">
        <is>
          <t>N/A</t>
        </is>
      </c>
      <c r="M5" s="8" t="inlineStr">
        <is>
          <t>N/A</t>
        </is>
      </c>
      <c r="N5" s="8" t="inlineStr">
        <is>
          <t>N/A</t>
        </is>
      </c>
      <c r="O5" s="8" t="inlineStr">
        <is>
          <t>N/A</t>
        </is>
      </c>
      <c r="P5" s="8" t="inlineStr">
        <is>
          <t>N/A</t>
        </is>
      </c>
      <c r="Q5" s="8" t="inlineStr">
        <is>
          <t>WideResNet50</t>
        </is>
      </c>
      <c r="R5" s="8" t="inlineStr">
        <is>
          <t>CVPR 2023; To verify MPDD numbers</t>
        </is>
      </c>
      <c r="S5" s="9">
        <f>HYPERLINK("https://arxiv.org/abs/2303.15140","Link")</f>
        <v/>
      </c>
      <c r="T5" s="9">
        <f>HYPERLINK("https://github.com/DonaldRR/SimpleNet","GitHub")</f>
        <v/>
      </c>
    </row>
    <row r="6" ht="60" customHeight="1">
      <c r="A6" s="4" t="inlineStr">
        <is>
          <t>Generative-model-based Anomaly Synthesis</t>
        </is>
      </c>
      <c r="B6" s="4" t="inlineStr">
        <is>
          <t>RealNet</t>
        </is>
      </c>
      <c r="C6" s="4" t="inlineStr">
        <is>
          <t>Zhang et al.</t>
        </is>
      </c>
      <c r="D6" s="4" t="inlineStr">
        <is>
          <t>CVPR 2024</t>
        </is>
      </c>
      <c r="E6" s="4" t="inlineStr">
        <is>
          <t>2024-03</t>
        </is>
      </c>
      <c r="F6" s="4" t="inlineStr">
        <is>
          <t>Published</t>
        </is>
      </c>
      <c r="G6" s="4" t="inlineStr">
        <is>
          <t>diffusion SDAS</t>
        </is>
      </c>
      <c r="H6" s="4" t="inlineStr">
        <is>
          <t>unsupervised</t>
        </is>
      </c>
      <c r="I6" s="4" t="inlineStr">
        <is>
          <t>MPDD</t>
        </is>
      </c>
      <c r="J6" s="4" t="inlineStr">
        <is>
          <t>6 categories; To verify</t>
        </is>
      </c>
      <c r="K6" s="4" t="inlineStr">
        <is>
          <t>N/A</t>
        </is>
      </c>
      <c r="L6" s="4" t="inlineStr">
        <is>
          <t>N/A</t>
        </is>
      </c>
      <c r="M6" s="4" t="inlineStr">
        <is>
          <t>N/A</t>
        </is>
      </c>
      <c r="N6" s="4" t="inlineStr">
        <is>
          <t>N/A</t>
        </is>
      </c>
      <c r="O6" s="4" t="inlineStr">
        <is>
          <t>N/A</t>
        </is>
      </c>
      <c r="P6" s="4" t="inlineStr">
        <is>
          <t>N/A</t>
        </is>
      </c>
      <c r="Q6" s="4" t="inlineStr">
        <is>
          <t>WideResNet50</t>
        </is>
      </c>
      <c r="R6" s="4" t="inlineStr">
        <is>
          <t>CVPR 2024; To verify MPDD numbers</t>
        </is>
      </c>
      <c r="S6" s="5">
        <f>HYPERLINK("https://arxiv.org/abs/2403.05897","Link")</f>
        <v/>
      </c>
      <c r="T6" s="5">
        <f>HYPERLINK("https://github.com/cnulab/RealNet","GitHub")</f>
        <v/>
      </c>
    </row>
    <row r="7" ht="60" customHeight="1">
      <c r="A7" s="6" t="inlineStr">
        <is>
          <t>Downstream Synthesis-based AD / Segmentation</t>
        </is>
      </c>
      <c r="B7" s="6" t="inlineStr">
        <is>
          <t>EfficientAD</t>
        </is>
      </c>
      <c r="C7" s="6" t="inlineStr">
        <is>
          <t>Batzner et al.</t>
        </is>
      </c>
      <c r="D7" s="6" t="inlineStr">
        <is>
          <t>WACV 2024</t>
        </is>
      </c>
      <c r="E7" s="6" t="inlineStr">
        <is>
          <t>2024-00</t>
        </is>
      </c>
      <c r="F7" s="6" t="inlineStr">
        <is>
          <t>Published</t>
        </is>
      </c>
      <c r="G7" s="6" t="inlineStr">
        <is>
          <t>teacher-student + autoencoder</t>
        </is>
      </c>
      <c r="H7" s="6" t="inlineStr">
        <is>
          <t>unsupervised</t>
        </is>
      </c>
      <c r="I7" s="6" t="inlineStr">
        <is>
          <t>MPDD</t>
        </is>
      </c>
      <c r="J7" s="6" t="inlineStr">
        <is>
          <t>6 categories; To verify</t>
        </is>
      </c>
      <c r="K7" s="6" t="inlineStr">
        <is>
          <t>N/A</t>
        </is>
      </c>
      <c r="L7" s="6" t="inlineStr">
        <is>
          <t>N/A</t>
        </is>
      </c>
      <c r="M7" s="6" t="inlineStr">
        <is>
          <t>N/A</t>
        </is>
      </c>
      <c r="N7" s="6" t="inlineStr">
        <is>
          <t>N/A</t>
        </is>
      </c>
      <c r="O7" s="6" t="inlineStr">
        <is>
          <t>N/A</t>
        </is>
      </c>
      <c r="P7" s="6" t="inlineStr">
        <is>
          <t>N/A</t>
        </is>
      </c>
      <c r="Q7" s="6" t="inlineStr">
        <is>
          <t>PDN + autoencoder</t>
        </is>
      </c>
      <c r="R7" s="6" t="inlineStr">
        <is>
          <t>WACV 2024; To verify MPDD numbers</t>
        </is>
      </c>
      <c r="S7" s="7">
        <f>HYPERLINK("https://arxiv.org/abs/2303.14535","Link")</f>
        <v/>
      </c>
      <c r="T7" s="6" t="inlineStr">
        <is>
          <t>N/A</t>
        </is>
      </c>
    </row>
    <row r="8" ht="60" customHeight="1">
      <c r="A8" s="6" t="inlineStr">
        <is>
          <t>Downstream Synthesis-based AD / Segmentation</t>
        </is>
      </c>
      <c r="B8" s="6" t="inlineStr">
        <is>
          <t>PaDiM</t>
        </is>
      </c>
      <c r="C8" s="6" t="inlineStr">
        <is>
          <t>Defard et al.</t>
        </is>
      </c>
      <c r="D8" s="6" t="inlineStr">
        <is>
          <t>ICPR 2021</t>
        </is>
      </c>
      <c r="E8" s="6" t="inlineStr">
        <is>
          <t>2021-00</t>
        </is>
      </c>
      <c r="F8" s="6" t="inlineStr">
        <is>
          <t>Published</t>
        </is>
      </c>
      <c r="G8" s="6" t="inlineStr">
        <is>
          <t>patch distribution</t>
        </is>
      </c>
      <c r="H8" s="6" t="inlineStr">
        <is>
          <t>unsupervised</t>
        </is>
      </c>
      <c r="I8" s="6" t="inlineStr">
        <is>
          <t>MPDD</t>
        </is>
      </c>
      <c r="J8" s="6" t="inlineStr">
        <is>
          <t>6 categories; To verify</t>
        </is>
      </c>
      <c r="K8" s="6" t="inlineStr">
        <is>
          <t>N/A</t>
        </is>
      </c>
      <c r="L8" s="6" t="inlineStr">
        <is>
          <t>N/A</t>
        </is>
      </c>
      <c r="M8" s="6" t="inlineStr">
        <is>
          <t>N/A</t>
        </is>
      </c>
      <c r="N8" s="6" t="inlineStr">
        <is>
          <t>N/A</t>
        </is>
      </c>
      <c r="O8" s="6" t="inlineStr">
        <is>
          <t>N/A</t>
        </is>
      </c>
      <c r="P8" s="6" t="inlineStr">
        <is>
          <t>N/A</t>
        </is>
      </c>
      <c r="Q8" s="6" t="inlineStr">
        <is>
          <t>WideResNet50</t>
        </is>
      </c>
      <c r="R8" s="6" t="inlineStr">
        <is>
          <t>ICPR 2021; To verify MPDD numbers</t>
        </is>
      </c>
      <c r="S8" s="7">
        <f>HYPERLINK("https://arxiv.org/abs/2011.08785","Link")</f>
        <v/>
      </c>
      <c r="T8" s="6" t="inlineStr">
        <is>
          <t>N/A</t>
        </is>
      </c>
    </row>
    <row r="9" ht="60" customHeight="1">
      <c r="A9" s="6" t="inlineStr">
        <is>
          <t>Downstream Synthesis-based AD / Segmentation</t>
        </is>
      </c>
      <c r="B9" s="6" t="inlineStr">
        <is>
          <t>FastFlow</t>
        </is>
      </c>
      <c r="C9" s="6" t="inlineStr">
        <is>
          <t>Yu et al.</t>
        </is>
      </c>
      <c r="D9" s="6" t="inlineStr">
        <is>
          <t>arXiv</t>
        </is>
      </c>
      <c r="E9" s="6" t="inlineStr">
        <is>
          <t>2022-00</t>
        </is>
      </c>
      <c r="F9" s="6" t="inlineStr">
        <is>
          <t>arXiv / Reproduced</t>
        </is>
      </c>
      <c r="G9" s="6" t="inlineStr">
        <is>
          <t>normalizing flow</t>
        </is>
      </c>
      <c r="H9" s="6" t="inlineStr">
        <is>
          <t>unsupervised</t>
        </is>
      </c>
      <c r="I9" s="6" t="inlineStr">
        <is>
          <t>MPDD</t>
        </is>
      </c>
      <c r="J9" s="6" t="inlineStr">
        <is>
          <t>6 categories; To verify</t>
        </is>
      </c>
      <c r="K9" s="6" t="inlineStr">
        <is>
          <t>N/A</t>
        </is>
      </c>
      <c r="L9" s="6" t="inlineStr">
        <is>
          <t>N/A</t>
        </is>
      </c>
      <c r="M9" s="6" t="inlineStr">
        <is>
          <t>N/A</t>
        </is>
      </c>
      <c r="N9" s="6" t="inlineStr">
        <is>
          <t>N/A</t>
        </is>
      </c>
      <c r="O9" s="6" t="inlineStr">
        <is>
          <t>N/A</t>
        </is>
      </c>
      <c r="P9" s="6" t="inlineStr">
        <is>
          <t>N/A</t>
        </is>
      </c>
      <c r="Q9" s="6" t="inlineStr">
        <is>
          <t>ResNet + 2D NF</t>
        </is>
      </c>
      <c r="R9" s="6" t="inlineStr">
        <is>
          <t>To verify MPDD numbers; Third-party reproduction</t>
        </is>
      </c>
      <c r="S9" s="7">
        <f>HYPERLINK("https://arxiv.org/abs/2111.07677","Link")</f>
        <v/>
      </c>
      <c r="T9" s="6" t="inlineStr">
        <is>
          <t>N/A</t>
        </is>
      </c>
    </row>
    <row r="10" ht="60" customHeight="1">
      <c r="A10" s="6" t="inlineStr">
        <is>
          <t>Downstream Synthesis-based AD / Segmentation</t>
        </is>
      </c>
      <c r="B10" s="6" t="inlineStr">
        <is>
          <t>UniAD</t>
        </is>
      </c>
      <c r="C10" s="6" t="inlineStr">
        <is>
          <t>You et al.</t>
        </is>
      </c>
      <c r="D10" s="6" t="inlineStr">
        <is>
          <t>NeurIPS 2022</t>
        </is>
      </c>
      <c r="E10" s="6" t="inlineStr">
        <is>
          <t>2022-06</t>
        </is>
      </c>
      <c r="F10" s="6" t="inlineStr">
        <is>
          <t>Published</t>
        </is>
      </c>
      <c r="G10" s="6" t="inlineStr">
        <is>
          <t>multi-class reconstruction</t>
        </is>
      </c>
      <c r="H10" s="6" t="inlineStr">
        <is>
          <t>multi-class</t>
        </is>
      </c>
      <c r="I10" s="6" t="inlineStr">
        <is>
          <t>MPDD</t>
        </is>
      </c>
      <c r="J10" s="6" t="inlineStr">
        <is>
          <t>multi-class; To verify</t>
        </is>
      </c>
      <c r="K10" s="6" t="inlineStr">
        <is>
          <t>N/A</t>
        </is>
      </c>
      <c r="L10" s="6" t="inlineStr">
        <is>
          <t>N/A</t>
        </is>
      </c>
      <c r="M10" s="6" t="inlineStr">
        <is>
          <t>N/A</t>
        </is>
      </c>
      <c r="N10" s="6" t="inlineStr">
        <is>
          <t>N/A</t>
        </is>
      </c>
      <c r="O10" s="6" t="inlineStr">
        <is>
          <t>N/A</t>
        </is>
      </c>
      <c r="P10" s="6" t="inlineStr">
        <is>
          <t>N/A</t>
        </is>
      </c>
      <c r="Q10" s="6" t="inlineStr">
        <is>
          <t>Transformer</t>
        </is>
      </c>
      <c r="R10" s="6" t="inlineStr">
        <is>
          <t>NeurIPS 2022; To verify MPDD numbers</t>
        </is>
      </c>
      <c r="S10" s="7">
        <f>HYPERLINK("https://arxiv.org/abs/2206.03687","Link")</f>
        <v/>
      </c>
      <c r="T10" s="7">
        <f>HYPERLINK("https://github.com/zhiyuanyou/UniAD","GitHub")</f>
        <v/>
      </c>
    </row>
    <row r="11" ht="60" customHeight="1">
      <c r="A11" s="6" t="inlineStr">
        <is>
          <t>Downstream Synthesis-based AD / Segmentation</t>
        </is>
      </c>
      <c r="B11" s="6" t="inlineStr">
        <is>
          <t>DeSTSeg</t>
        </is>
      </c>
      <c r="C11" s="6" t="inlineStr">
        <is>
          <t>Zhang et al.</t>
        </is>
      </c>
      <c r="D11" s="6" t="inlineStr">
        <is>
          <t>CVPR 2023</t>
        </is>
      </c>
      <c r="E11" s="6" t="inlineStr">
        <is>
          <t>2023-00</t>
        </is>
      </c>
      <c r="F11" s="6" t="inlineStr">
        <is>
          <t>Published</t>
        </is>
      </c>
      <c r="G11" s="6" t="inlineStr">
        <is>
          <t>Perlin + texture synthesis</t>
        </is>
      </c>
      <c r="H11" s="6" t="inlineStr">
        <is>
          <t>unsupervised</t>
        </is>
      </c>
      <c r="I11" s="6" t="inlineStr">
        <is>
          <t>MPDD</t>
        </is>
      </c>
      <c r="J11" s="6" t="inlineStr">
        <is>
          <t>6 categories; To verify</t>
        </is>
      </c>
      <c r="K11" s="6" t="inlineStr">
        <is>
          <t>N/A</t>
        </is>
      </c>
      <c r="L11" s="6" t="inlineStr">
        <is>
          <t>N/A</t>
        </is>
      </c>
      <c r="M11" s="6" t="inlineStr">
        <is>
          <t>N/A</t>
        </is>
      </c>
      <c r="N11" s="6" t="inlineStr">
        <is>
          <t>N/A</t>
        </is>
      </c>
      <c r="O11" s="6" t="inlineStr">
        <is>
          <t>N/A</t>
        </is>
      </c>
      <c r="P11" s="6" t="inlineStr">
        <is>
          <t>N/A</t>
        </is>
      </c>
      <c r="Q11" s="6" t="inlineStr">
        <is>
          <t>WideResNet101</t>
        </is>
      </c>
      <c r="R11" s="6" t="inlineStr">
        <is>
          <t>CVPR 2023; To verify MPDD numbers</t>
        </is>
      </c>
      <c r="S11" s="7">
        <f>HYPERLINK("https://arxiv.org/abs/2211.11317","Link")</f>
        <v/>
      </c>
      <c r="T11" s="7">
        <f>HYPERLINK("https://github.com/apple/ml-destseg","GitHub")</f>
        <v/>
      </c>
    </row>
  </sheetData>
  <autoFilter ref="A1:T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595959"/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5" customWidth="1" min="3" max="3"/>
    <col width="13" customWidth="1" min="4" max="4"/>
    <col width="10" customWidth="1" min="5" max="5"/>
    <col width="13" customWidth="1" min="6" max="6"/>
    <col width="22" customWidth="1" min="7" max="7"/>
    <col width="22" customWidth="1" min="8" max="8"/>
    <col width="18" customWidth="1" min="9" max="9"/>
    <col width="28" customWidth="1" min="10" max="10"/>
    <col width="10" customWidth="1" min="11" max="11"/>
    <col width="10" customWidth="1" min="12" max="12"/>
    <col width="13" customWidth="1" min="13" max="13"/>
    <col width="11" customWidth="1" min="14" max="14"/>
    <col width="14" customWidth="1" min="15" max="15"/>
    <col width="22" customWidth="1" min="16" max="16"/>
    <col width="22" customWidth="1" min="17" max="17"/>
    <col width="45" customWidth="1" min="18" max="18"/>
    <col width="18" customWidth="1" min="19" max="19"/>
    <col width="18" customWidth="1" min="20" max="20"/>
  </cols>
  <sheetData>
    <row r="1" ht="36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合成類型</t>
        </is>
      </c>
      <c r="H1" s="1" t="inlineStr">
        <is>
          <t>任務設定</t>
        </is>
      </c>
      <c r="I1" s="1" t="inlineStr">
        <is>
          <t>資料集</t>
        </is>
      </c>
      <c r="J1" s="1" t="inlineStr">
        <is>
          <t>Split/Protocol</t>
        </is>
      </c>
      <c r="K1" s="1" t="inlineStr">
        <is>
          <t>I-AUROC</t>
        </is>
      </c>
      <c r="L1" s="1" t="inlineStr">
        <is>
          <t>P-AUROC</t>
        </is>
      </c>
      <c r="M1" s="1" t="inlineStr">
        <is>
          <t>AUPRO/PRO</t>
        </is>
      </c>
      <c r="N1" s="1" t="inlineStr">
        <is>
          <t>AP/AUPRC</t>
        </is>
      </c>
      <c r="O1" s="1" t="inlineStr">
        <is>
          <t>F1/Dice/IoU</t>
        </is>
      </c>
      <c r="P1" s="1" t="inlineStr">
        <is>
          <t>合成品質指標</t>
        </is>
      </c>
      <c r="Q1" s="1" t="inlineStr">
        <is>
          <t>Backbone/Detector</t>
        </is>
      </c>
      <c r="R1" s="1" t="inlineStr">
        <is>
          <t>備註(特色/可比性)</t>
        </is>
      </c>
      <c r="S1" s="1" t="inlineStr">
        <is>
          <t>連結</t>
        </is>
      </c>
      <c r="T1" s="1" t="inlineStr">
        <is>
          <t>GitHub</t>
        </is>
      </c>
    </row>
    <row r="2" ht="60" customHeight="1">
      <c r="A2" s="10" t="inlineStr">
        <is>
          <t>Hand-crafted / Rule-based Anomaly Synthesis</t>
        </is>
      </c>
      <c r="B2" s="10" t="inlineStr">
        <is>
          <t>DRAEM</t>
        </is>
      </c>
      <c r="C2" s="10" t="inlineStr">
        <is>
          <t>Zavrtanik et al.</t>
        </is>
      </c>
      <c r="D2" s="10" t="inlineStr">
        <is>
          <t>ICCV 2021</t>
        </is>
      </c>
      <c r="E2" s="10" t="inlineStr">
        <is>
          <t>2021-08</t>
        </is>
      </c>
      <c r="F2" s="10" t="inlineStr">
        <is>
          <t>Published</t>
        </is>
      </c>
      <c r="G2" s="10" t="inlineStr">
        <is>
          <t>Perlin + DTD texture</t>
        </is>
      </c>
      <c r="H2" s="10" t="inlineStr">
        <is>
          <t>unsupervised</t>
        </is>
      </c>
      <c r="I2" s="10" t="inlineStr">
        <is>
          <t>DAGM</t>
        </is>
      </c>
      <c r="J2" s="10" t="inlineStr">
        <is>
          <t>10 categories; To verify</t>
        </is>
      </c>
      <c r="K2" s="10" t="inlineStr">
        <is>
          <t>N/A</t>
        </is>
      </c>
      <c r="L2" s="10" t="inlineStr">
        <is>
          <t>N/A</t>
        </is>
      </c>
      <c r="M2" s="10" t="inlineStr">
        <is>
          <t>N/A</t>
        </is>
      </c>
      <c r="N2" s="10" t="inlineStr">
        <is>
          <t>N/A</t>
        </is>
      </c>
      <c r="O2" s="10" t="inlineStr">
        <is>
          <t>N/A</t>
        </is>
      </c>
      <c r="P2" s="10" t="inlineStr">
        <is>
          <t>N/A</t>
        </is>
      </c>
      <c r="Q2" s="10" t="inlineStr">
        <is>
          <t>U-Net</t>
        </is>
      </c>
      <c r="R2" s="10" t="inlineStr">
        <is>
          <t>ICCV 2021; To verify DAGM numbers</t>
        </is>
      </c>
      <c r="S2" s="11">
        <f>HYPERLINK("https://arxiv.org/abs/2108.07610","Link")</f>
        <v/>
      </c>
      <c r="T2" s="11">
        <f>HYPERLINK("https://github.com/VitjanZ/DRAEM","GitHub")</f>
        <v/>
      </c>
    </row>
    <row r="3" ht="60" customHeight="1">
      <c r="A3" s="6" t="inlineStr">
        <is>
          <t>Downstream Synthesis-based AD / Segmentation</t>
        </is>
      </c>
      <c r="B3" s="6" t="inlineStr">
        <is>
          <t>PatchCore</t>
        </is>
      </c>
      <c r="C3" s="6" t="inlineStr">
        <is>
          <t>Roth et al.</t>
        </is>
      </c>
      <c r="D3" s="6" t="inlineStr">
        <is>
          <t>CVPR 2022</t>
        </is>
      </c>
      <c r="E3" s="6" t="inlineStr">
        <is>
          <t>2022-00</t>
        </is>
      </c>
      <c r="F3" s="6" t="inlineStr">
        <is>
          <t>Published</t>
        </is>
      </c>
      <c r="G3" s="6" t="inlineStr">
        <is>
          <t>memory bank</t>
        </is>
      </c>
      <c r="H3" s="6" t="inlineStr">
        <is>
          <t>unsupervised</t>
        </is>
      </c>
      <c r="I3" s="6" t="inlineStr">
        <is>
          <t>DAGM</t>
        </is>
      </c>
      <c r="J3" s="6" t="inlineStr">
        <is>
          <t>10 categories; To verify</t>
        </is>
      </c>
      <c r="K3" s="6" t="inlineStr">
        <is>
          <t>N/A</t>
        </is>
      </c>
      <c r="L3" s="6" t="inlineStr">
        <is>
          <t>N/A</t>
        </is>
      </c>
      <c r="M3" s="6" t="inlineStr">
        <is>
          <t>N/A</t>
        </is>
      </c>
      <c r="N3" s="6" t="inlineStr">
        <is>
          <t>N/A</t>
        </is>
      </c>
      <c r="O3" s="6" t="inlineStr">
        <is>
          <t>N/A</t>
        </is>
      </c>
      <c r="P3" s="6" t="inlineStr">
        <is>
          <t>N/A</t>
        </is>
      </c>
      <c r="Q3" s="6" t="inlineStr">
        <is>
          <t>WideResNet50</t>
        </is>
      </c>
      <c r="R3" s="6" t="inlineStr">
        <is>
          <t>CVPR 2022; To verify DAGM numbers</t>
        </is>
      </c>
      <c r="S3" s="7">
        <f>HYPERLINK("https://arxiv.org/abs/2106.08265","Link")</f>
        <v/>
      </c>
      <c r="T3" s="7">
        <f>HYPERLINK("https://github.com/amazon-science/patchcore-inspection","GitHub")</f>
        <v/>
      </c>
    </row>
    <row r="4" ht="60" customHeight="1">
      <c r="A4" s="6" t="inlineStr">
        <is>
          <t>Downstream Synthesis-based AD / Segmentation</t>
        </is>
      </c>
      <c r="B4" s="6" t="inlineStr">
        <is>
          <t>PaDiM</t>
        </is>
      </c>
      <c r="C4" s="6" t="inlineStr">
        <is>
          <t>Defard et al.</t>
        </is>
      </c>
      <c r="D4" s="6" t="inlineStr">
        <is>
          <t>ICPR 2021</t>
        </is>
      </c>
      <c r="E4" s="6" t="inlineStr">
        <is>
          <t>2021-00</t>
        </is>
      </c>
      <c r="F4" s="6" t="inlineStr">
        <is>
          <t>Published</t>
        </is>
      </c>
      <c r="G4" s="6" t="inlineStr">
        <is>
          <t>patch distribution</t>
        </is>
      </c>
      <c r="H4" s="6" t="inlineStr">
        <is>
          <t>unsupervised</t>
        </is>
      </c>
      <c r="I4" s="6" t="inlineStr">
        <is>
          <t>DAGM</t>
        </is>
      </c>
      <c r="J4" s="6" t="inlineStr">
        <is>
          <t>10 categories; To verify</t>
        </is>
      </c>
      <c r="K4" s="6" t="inlineStr">
        <is>
          <t>N/A</t>
        </is>
      </c>
      <c r="L4" s="6" t="inlineStr">
        <is>
          <t>N/A</t>
        </is>
      </c>
      <c r="M4" s="6" t="inlineStr">
        <is>
          <t>N/A</t>
        </is>
      </c>
      <c r="N4" s="6" t="inlineStr">
        <is>
          <t>N/A</t>
        </is>
      </c>
      <c r="O4" s="6" t="inlineStr">
        <is>
          <t>N/A</t>
        </is>
      </c>
      <c r="P4" s="6" t="inlineStr">
        <is>
          <t>N/A</t>
        </is>
      </c>
      <c r="Q4" s="6" t="inlineStr">
        <is>
          <t>WideResNet50</t>
        </is>
      </c>
      <c r="R4" s="6" t="inlineStr">
        <is>
          <t>ICPR 2021; To verify DAGM numbers</t>
        </is>
      </c>
      <c r="S4" s="7">
        <f>HYPERLINK("https://arxiv.org/abs/2011.08785","Link")</f>
        <v/>
      </c>
      <c r="T4" s="6" t="inlineStr">
        <is>
          <t>N/A</t>
        </is>
      </c>
    </row>
    <row r="5" ht="60" customHeight="1">
      <c r="A5" s="8" t="inlineStr">
        <is>
          <t>Distribution-hypothesis / Feature-space Anomaly Synthesis</t>
        </is>
      </c>
      <c r="B5" s="8" t="inlineStr">
        <is>
          <t>SimpleNet</t>
        </is>
      </c>
      <c r="C5" s="8" t="inlineStr">
        <is>
          <t>Liu et al.</t>
        </is>
      </c>
      <c r="D5" s="8" t="inlineStr">
        <is>
          <t>CVPR 2023</t>
        </is>
      </c>
      <c r="E5" s="8" t="inlineStr">
        <is>
          <t>2023-03</t>
        </is>
      </c>
      <c r="F5" s="8" t="inlineStr">
        <is>
          <t>Published</t>
        </is>
      </c>
      <c r="G5" s="8" t="inlineStr">
        <is>
          <t>Gaussian noise feature-space</t>
        </is>
      </c>
      <c r="H5" s="8" t="inlineStr">
        <is>
          <t>unsupervised</t>
        </is>
      </c>
      <c r="I5" s="8" t="inlineStr">
        <is>
          <t>DAGM</t>
        </is>
      </c>
      <c r="J5" s="8" t="inlineStr">
        <is>
          <t>10 categories; To verify</t>
        </is>
      </c>
      <c r="K5" s="8" t="inlineStr">
        <is>
          <t>N/A</t>
        </is>
      </c>
      <c r="L5" s="8" t="inlineStr">
        <is>
          <t>N/A</t>
        </is>
      </c>
      <c r="M5" s="8" t="inlineStr">
        <is>
          <t>N/A</t>
        </is>
      </c>
      <c r="N5" s="8" t="inlineStr">
        <is>
          <t>N/A</t>
        </is>
      </c>
      <c r="O5" s="8" t="inlineStr">
        <is>
          <t>N/A</t>
        </is>
      </c>
      <c r="P5" s="8" t="inlineStr">
        <is>
          <t>N/A</t>
        </is>
      </c>
      <c r="Q5" s="8" t="inlineStr">
        <is>
          <t>WideResNet50</t>
        </is>
      </c>
      <c r="R5" s="8" t="inlineStr">
        <is>
          <t>CVPR 2023; To verify DAGM numbers</t>
        </is>
      </c>
      <c r="S5" s="9">
        <f>HYPERLINK("https://arxiv.org/abs/2303.15140","Link")</f>
        <v/>
      </c>
      <c r="T5" s="9">
        <f>HYPERLINK("https://github.com/DonaldRR/SimpleNet","GitHub")</f>
        <v/>
      </c>
    </row>
    <row r="6" ht="60" customHeight="1">
      <c r="A6" s="4" t="inlineStr">
        <is>
          <t>Generative-model-based Anomaly Synthesis</t>
        </is>
      </c>
      <c r="B6" s="4" t="inlineStr">
        <is>
          <t>RealNet</t>
        </is>
      </c>
      <c r="C6" s="4" t="inlineStr">
        <is>
          <t>Zhang et al.</t>
        </is>
      </c>
      <c r="D6" s="4" t="inlineStr">
        <is>
          <t>CVPR 2024</t>
        </is>
      </c>
      <c r="E6" s="4" t="inlineStr">
        <is>
          <t>2024-03</t>
        </is>
      </c>
      <c r="F6" s="4" t="inlineStr">
        <is>
          <t>Published</t>
        </is>
      </c>
      <c r="G6" s="4" t="inlineStr">
        <is>
          <t>diffusion SDAS</t>
        </is>
      </c>
      <c r="H6" s="4" t="inlineStr">
        <is>
          <t>unsupervised</t>
        </is>
      </c>
      <c r="I6" s="4" t="inlineStr">
        <is>
          <t>DAGM</t>
        </is>
      </c>
      <c r="J6" s="4" t="inlineStr">
        <is>
          <t>10 categories; To verify</t>
        </is>
      </c>
      <c r="K6" s="4" t="inlineStr">
        <is>
          <t>N/A</t>
        </is>
      </c>
      <c r="L6" s="4" t="inlineStr">
        <is>
          <t>N/A</t>
        </is>
      </c>
      <c r="M6" s="4" t="inlineStr">
        <is>
          <t>N/A</t>
        </is>
      </c>
      <c r="N6" s="4" t="inlineStr">
        <is>
          <t>N/A</t>
        </is>
      </c>
      <c r="O6" s="4" t="inlineStr">
        <is>
          <t>N/A</t>
        </is>
      </c>
      <c r="P6" s="4" t="inlineStr">
        <is>
          <t>N/A</t>
        </is>
      </c>
      <c r="Q6" s="4" t="inlineStr">
        <is>
          <t>WideResNet50</t>
        </is>
      </c>
      <c r="R6" s="4" t="inlineStr">
        <is>
          <t>CVPR 2024; To verify DAGM numbers</t>
        </is>
      </c>
      <c r="S6" s="5">
        <f>HYPERLINK("https://arxiv.org/abs/2403.05897","Link")</f>
        <v/>
      </c>
      <c r="T6" s="5">
        <f>HYPERLINK("https://github.com/cnulab/RealNet","GitHub")</f>
        <v/>
      </c>
    </row>
    <row r="7" ht="60" customHeight="1">
      <c r="A7" s="6" t="inlineStr">
        <is>
          <t>Downstream Synthesis-based AD / Segmentation</t>
        </is>
      </c>
      <c r="B7" s="6" t="inlineStr">
        <is>
          <t>EfficientAD</t>
        </is>
      </c>
      <c r="C7" s="6" t="inlineStr">
        <is>
          <t>Batzner et al.</t>
        </is>
      </c>
      <c r="D7" s="6" t="inlineStr">
        <is>
          <t>WACV 2024</t>
        </is>
      </c>
      <c r="E7" s="6" t="inlineStr">
        <is>
          <t>2024-00</t>
        </is>
      </c>
      <c r="F7" s="6" t="inlineStr">
        <is>
          <t>Published</t>
        </is>
      </c>
      <c r="G7" s="6" t="inlineStr">
        <is>
          <t>teacher-student + autoencoder</t>
        </is>
      </c>
      <c r="H7" s="6" t="inlineStr">
        <is>
          <t>unsupervised</t>
        </is>
      </c>
      <c r="I7" s="6" t="inlineStr">
        <is>
          <t>DAGM</t>
        </is>
      </c>
      <c r="J7" s="6" t="inlineStr">
        <is>
          <t>10 categories; To verify</t>
        </is>
      </c>
      <c r="K7" s="6" t="inlineStr">
        <is>
          <t>N/A</t>
        </is>
      </c>
      <c r="L7" s="6" t="inlineStr">
        <is>
          <t>N/A</t>
        </is>
      </c>
      <c r="M7" s="6" t="inlineStr">
        <is>
          <t>N/A</t>
        </is>
      </c>
      <c r="N7" s="6" t="inlineStr">
        <is>
          <t>N/A</t>
        </is>
      </c>
      <c r="O7" s="6" t="inlineStr">
        <is>
          <t>N/A</t>
        </is>
      </c>
      <c r="P7" s="6" t="inlineStr">
        <is>
          <t>N/A</t>
        </is>
      </c>
      <c r="Q7" s="6" t="inlineStr">
        <is>
          <t>PDN + autoencoder</t>
        </is>
      </c>
      <c r="R7" s="6" t="inlineStr">
        <is>
          <t>WACV 2024; To verify DAGM numbers</t>
        </is>
      </c>
      <c r="S7" s="7">
        <f>HYPERLINK("https://arxiv.org/abs/2303.14535","Link")</f>
        <v/>
      </c>
      <c r="T7" s="6" t="inlineStr">
        <is>
          <t>N/A</t>
        </is>
      </c>
    </row>
    <row r="8" ht="60" customHeight="1">
      <c r="A8" s="6" t="inlineStr">
        <is>
          <t>Downstream Synthesis-based AD / Segmentation</t>
        </is>
      </c>
      <c r="B8" s="6" t="inlineStr">
        <is>
          <t>FastFlow</t>
        </is>
      </c>
      <c r="C8" s="6" t="inlineStr">
        <is>
          <t>Yu et al.</t>
        </is>
      </c>
      <c r="D8" s="6" t="inlineStr">
        <is>
          <t>arXiv</t>
        </is>
      </c>
      <c r="E8" s="6" t="inlineStr">
        <is>
          <t>2022-00</t>
        </is>
      </c>
      <c r="F8" s="6" t="inlineStr">
        <is>
          <t>arXiv / Reproduced</t>
        </is>
      </c>
      <c r="G8" s="6" t="inlineStr">
        <is>
          <t>normalizing flow</t>
        </is>
      </c>
      <c r="H8" s="6" t="inlineStr">
        <is>
          <t>unsupervised</t>
        </is>
      </c>
      <c r="I8" s="6" t="inlineStr">
        <is>
          <t>DAGM</t>
        </is>
      </c>
      <c r="J8" s="6" t="inlineStr">
        <is>
          <t>To verify</t>
        </is>
      </c>
      <c r="K8" s="6" t="inlineStr">
        <is>
          <t>N/A</t>
        </is>
      </c>
      <c r="L8" s="6" t="inlineStr">
        <is>
          <t>N/A</t>
        </is>
      </c>
      <c r="M8" s="6" t="inlineStr">
        <is>
          <t>N/A</t>
        </is>
      </c>
      <c r="N8" s="6" t="inlineStr">
        <is>
          <t>N/A</t>
        </is>
      </c>
      <c r="O8" s="6" t="inlineStr">
        <is>
          <t>N/A</t>
        </is>
      </c>
      <c r="P8" s="6" t="inlineStr">
        <is>
          <t>N/A</t>
        </is>
      </c>
      <c r="Q8" s="6" t="inlineStr">
        <is>
          <t>ResNet + 2D NF</t>
        </is>
      </c>
      <c r="R8" s="6" t="inlineStr">
        <is>
          <t>To verify DAGM numbers; Third-party reproduction</t>
        </is>
      </c>
      <c r="S8" s="7">
        <f>HYPERLINK("https://arxiv.org/abs/2111.07677","Link")</f>
        <v/>
      </c>
      <c r="T8" s="6" t="inlineStr">
        <is>
          <t>N/A</t>
        </is>
      </c>
    </row>
    <row r="9" ht="60" customHeight="1">
      <c r="A9" s="8" t="inlineStr">
        <is>
          <t>Distribution-hypothesis / Feature-space Anomaly Synthesis</t>
        </is>
      </c>
      <c r="B9" s="8" t="inlineStr">
        <is>
          <t>GLASS</t>
        </is>
      </c>
      <c r="C9" s="8" t="inlineStr">
        <is>
          <t>Chen et al.</t>
        </is>
      </c>
      <c r="D9" s="8" t="inlineStr">
        <is>
          <t>ECCV 2024</t>
        </is>
      </c>
      <c r="E9" s="8" t="inlineStr">
        <is>
          <t>2024-07</t>
        </is>
      </c>
      <c r="F9" s="8" t="inlineStr">
        <is>
          <t>Published</t>
        </is>
      </c>
      <c r="G9" s="8" t="inlineStr">
        <is>
          <t>gradient-ascent + Perlin</t>
        </is>
      </c>
      <c r="H9" s="8" t="inlineStr">
        <is>
          <t>unsupervised</t>
        </is>
      </c>
      <c r="I9" s="8" t="inlineStr">
        <is>
          <t>DAGM</t>
        </is>
      </c>
      <c r="J9" s="8" t="inlineStr">
        <is>
          <t>10 categories; To verify</t>
        </is>
      </c>
      <c r="K9" s="8" t="inlineStr">
        <is>
          <t>N/A</t>
        </is>
      </c>
      <c r="L9" s="8" t="inlineStr">
        <is>
          <t>N/A</t>
        </is>
      </c>
      <c r="M9" s="8" t="inlineStr">
        <is>
          <t>N/A</t>
        </is>
      </c>
      <c r="N9" s="8" t="inlineStr">
        <is>
          <t>N/A</t>
        </is>
      </c>
      <c r="O9" s="8" t="inlineStr">
        <is>
          <t>N/A</t>
        </is>
      </c>
      <c r="P9" s="8" t="inlineStr">
        <is>
          <t>N/A</t>
        </is>
      </c>
      <c r="Q9" s="8" t="inlineStr">
        <is>
          <t>WideResNet50</t>
        </is>
      </c>
      <c r="R9" s="8" t="inlineStr">
        <is>
          <t>ECCV 2024; To verify DAGM numbers</t>
        </is>
      </c>
      <c r="S9" s="9">
        <f>HYPERLINK("https://arxiv.org/abs/2407.09359","Link")</f>
        <v/>
      </c>
      <c r="T9" s="9">
        <f>HYPERLINK("https://github.com/cqylunlun/GLASS","GitHub")</f>
        <v/>
      </c>
    </row>
    <row r="10" ht="60" customHeight="1">
      <c r="A10" s="6" t="inlineStr">
        <is>
          <t>Downstream Synthesis-based AD / Segmentation</t>
        </is>
      </c>
      <c r="B10" s="6" t="inlineStr">
        <is>
          <t>DeSTSeg</t>
        </is>
      </c>
      <c r="C10" s="6" t="inlineStr">
        <is>
          <t>Zhang et al.</t>
        </is>
      </c>
      <c r="D10" s="6" t="inlineStr">
        <is>
          <t>CVPR 2023</t>
        </is>
      </c>
      <c r="E10" s="6" t="inlineStr">
        <is>
          <t>2023-00</t>
        </is>
      </c>
      <c r="F10" s="6" t="inlineStr">
        <is>
          <t>Published</t>
        </is>
      </c>
      <c r="G10" s="6" t="inlineStr">
        <is>
          <t>Perlin + texture synthesis</t>
        </is>
      </c>
      <c r="H10" s="6" t="inlineStr">
        <is>
          <t>unsupervised</t>
        </is>
      </c>
      <c r="I10" s="6" t="inlineStr">
        <is>
          <t>DAGM</t>
        </is>
      </c>
      <c r="J10" s="6" t="inlineStr">
        <is>
          <t>To verify</t>
        </is>
      </c>
      <c r="K10" s="6" t="inlineStr">
        <is>
          <t>N/A</t>
        </is>
      </c>
      <c r="L10" s="6" t="inlineStr">
        <is>
          <t>N/A</t>
        </is>
      </c>
      <c r="M10" s="6" t="inlineStr">
        <is>
          <t>N/A</t>
        </is>
      </c>
      <c r="N10" s="6" t="inlineStr">
        <is>
          <t>N/A</t>
        </is>
      </c>
      <c r="O10" s="6" t="inlineStr">
        <is>
          <t>N/A</t>
        </is>
      </c>
      <c r="P10" s="6" t="inlineStr">
        <is>
          <t>N/A</t>
        </is>
      </c>
      <c r="Q10" s="6" t="inlineStr">
        <is>
          <t>WideResNet101</t>
        </is>
      </c>
      <c r="R10" s="6" t="inlineStr">
        <is>
          <t>CVPR 2023; To verify DAGM numbers</t>
        </is>
      </c>
      <c r="S10" s="7">
        <f>HYPERLINK("https://arxiv.org/abs/2211.11317","Link")</f>
        <v/>
      </c>
      <c r="T10" s="7">
        <f>HYPERLINK("https://github.com/apple/ml-destseg","GitHub")</f>
        <v/>
      </c>
    </row>
    <row r="11" ht="60" customHeight="1">
      <c r="A11" s="6" t="inlineStr">
        <is>
          <t>Downstream Synthesis-based AD / Segmentation</t>
        </is>
      </c>
      <c r="B11" s="6" t="inlineStr">
        <is>
          <t>UniAD</t>
        </is>
      </c>
      <c r="C11" s="6" t="inlineStr">
        <is>
          <t>You et al.</t>
        </is>
      </c>
      <c r="D11" s="6" t="inlineStr">
        <is>
          <t>NeurIPS 2022</t>
        </is>
      </c>
      <c r="E11" s="6" t="inlineStr">
        <is>
          <t>2022-06</t>
        </is>
      </c>
      <c r="F11" s="6" t="inlineStr">
        <is>
          <t>Published</t>
        </is>
      </c>
      <c r="G11" s="6" t="inlineStr">
        <is>
          <t>multi-class reconstruction</t>
        </is>
      </c>
      <c r="H11" s="6" t="inlineStr">
        <is>
          <t>multi-class</t>
        </is>
      </c>
      <c r="I11" s="6" t="inlineStr">
        <is>
          <t>DAGM</t>
        </is>
      </c>
      <c r="J11" s="6" t="inlineStr">
        <is>
          <t>multi-class; To verify</t>
        </is>
      </c>
      <c r="K11" s="6" t="inlineStr">
        <is>
          <t>N/A</t>
        </is>
      </c>
      <c r="L11" s="6" t="inlineStr">
        <is>
          <t>N/A</t>
        </is>
      </c>
      <c r="M11" s="6" t="inlineStr">
        <is>
          <t>N/A</t>
        </is>
      </c>
      <c r="N11" s="6" t="inlineStr">
        <is>
          <t>N/A</t>
        </is>
      </c>
      <c r="O11" s="6" t="inlineStr">
        <is>
          <t>N/A</t>
        </is>
      </c>
      <c r="P11" s="6" t="inlineStr">
        <is>
          <t>N/A</t>
        </is>
      </c>
      <c r="Q11" s="6" t="inlineStr">
        <is>
          <t>Transformer</t>
        </is>
      </c>
      <c r="R11" s="6" t="inlineStr">
        <is>
          <t>NeurIPS 2022; To verify DAGM numbers</t>
        </is>
      </c>
      <c r="S11" s="7">
        <f>HYPERLINK("https://arxiv.org/abs/2206.03687","Link")</f>
        <v/>
      </c>
      <c r="T11" s="7">
        <f>HYPERLINK("https://github.com/zhiyuanyou/UniAD","GitHub")</f>
        <v/>
      </c>
    </row>
  </sheetData>
  <autoFilter ref="A1:T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595959"/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5" customWidth="1" min="3" max="3"/>
    <col width="13" customWidth="1" min="4" max="4"/>
    <col width="10" customWidth="1" min="5" max="5"/>
    <col width="13" customWidth="1" min="6" max="6"/>
    <col width="22" customWidth="1" min="7" max="7"/>
    <col width="22" customWidth="1" min="8" max="8"/>
    <col width="18" customWidth="1" min="9" max="9"/>
    <col width="28" customWidth="1" min="10" max="10"/>
    <col width="10" customWidth="1" min="11" max="11"/>
    <col width="10" customWidth="1" min="12" max="12"/>
    <col width="13" customWidth="1" min="13" max="13"/>
    <col width="11" customWidth="1" min="14" max="14"/>
    <col width="14" customWidth="1" min="15" max="15"/>
    <col width="22" customWidth="1" min="16" max="16"/>
    <col width="22" customWidth="1" min="17" max="17"/>
    <col width="45" customWidth="1" min="18" max="18"/>
    <col width="18" customWidth="1" min="19" max="19"/>
    <col width="18" customWidth="1" min="20" max="20"/>
  </cols>
  <sheetData>
    <row r="1" ht="36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合成類型</t>
        </is>
      </c>
      <c r="H1" s="1" t="inlineStr">
        <is>
          <t>任務設定</t>
        </is>
      </c>
      <c r="I1" s="1" t="inlineStr">
        <is>
          <t>資料集</t>
        </is>
      </c>
      <c r="J1" s="1" t="inlineStr">
        <is>
          <t>Split/Protocol</t>
        </is>
      </c>
      <c r="K1" s="1" t="inlineStr">
        <is>
          <t>I-AUROC</t>
        </is>
      </c>
      <c r="L1" s="1" t="inlineStr">
        <is>
          <t>P-AUROC</t>
        </is>
      </c>
      <c r="M1" s="1" t="inlineStr">
        <is>
          <t>AUPRO/PRO</t>
        </is>
      </c>
      <c r="N1" s="1" t="inlineStr">
        <is>
          <t>AP/AUPRC</t>
        </is>
      </c>
      <c r="O1" s="1" t="inlineStr">
        <is>
          <t>F1/Dice/IoU</t>
        </is>
      </c>
      <c r="P1" s="1" t="inlineStr">
        <is>
          <t>合成品質指標</t>
        </is>
      </c>
      <c r="Q1" s="1" t="inlineStr">
        <is>
          <t>Backbone/Detector</t>
        </is>
      </c>
      <c r="R1" s="1" t="inlineStr">
        <is>
          <t>備註(特色/可比性)</t>
        </is>
      </c>
      <c r="S1" s="1" t="inlineStr">
        <is>
          <t>連結</t>
        </is>
      </c>
      <c r="T1" s="1" t="inlineStr">
        <is>
          <t>GitHub</t>
        </is>
      </c>
    </row>
    <row r="2" ht="60" customHeight="1">
      <c r="A2" s="6" t="inlineStr">
        <is>
          <t>Downstream Synthesis-based AD / Segmentation</t>
        </is>
      </c>
      <c r="B2" s="6" t="inlineStr">
        <is>
          <t>PatchCore</t>
        </is>
      </c>
      <c r="C2" s="6" t="inlineStr">
        <is>
          <t>Roth et al.</t>
        </is>
      </c>
      <c r="D2" s="6" t="inlineStr">
        <is>
          <t>CVPR 2022</t>
        </is>
      </c>
      <c r="E2" s="6" t="inlineStr">
        <is>
          <t>2022-00</t>
        </is>
      </c>
      <c r="F2" s="6" t="inlineStr">
        <is>
          <t>Published</t>
        </is>
      </c>
      <c r="G2" s="6" t="inlineStr">
        <is>
          <t>memory bank</t>
        </is>
      </c>
      <c r="H2" s="6" t="inlineStr">
        <is>
          <t>unsupervised</t>
        </is>
      </c>
      <c r="I2" s="6" t="inlineStr">
        <is>
          <t>KolektorSDD</t>
        </is>
      </c>
      <c r="J2" s="6" t="inlineStr">
        <is>
          <t>To verify</t>
        </is>
      </c>
      <c r="K2" s="6" t="inlineStr">
        <is>
          <t>N/A</t>
        </is>
      </c>
      <c r="L2" s="6" t="inlineStr">
        <is>
          <t>N/A</t>
        </is>
      </c>
      <c r="M2" s="6" t="inlineStr">
        <is>
          <t>N/A</t>
        </is>
      </c>
      <c r="N2" s="6" t="inlineStr">
        <is>
          <t>N/A</t>
        </is>
      </c>
      <c r="O2" s="6" t="inlineStr">
        <is>
          <t>N/A</t>
        </is>
      </c>
      <c r="P2" s="6" t="inlineStr">
        <is>
          <t>N/A</t>
        </is>
      </c>
      <c r="Q2" s="6" t="inlineStr">
        <is>
          <t>WideResNet50</t>
        </is>
      </c>
      <c r="R2" s="6" t="inlineStr">
        <is>
          <t>To verify KSDD numbers; small dataset</t>
        </is>
      </c>
      <c r="S2" s="7">
        <f>HYPERLINK("https://arxiv.org/abs/2106.08265","Link")</f>
        <v/>
      </c>
      <c r="T2" s="7">
        <f>HYPERLINK("https://github.com/amazon-science/patchcore-inspection","GitHub")</f>
        <v/>
      </c>
    </row>
    <row r="3" ht="60" customHeight="1">
      <c r="A3" s="10" t="inlineStr">
        <is>
          <t>Hand-crafted / Rule-based Anomaly Synthesis</t>
        </is>
      </c>
      <c r="B3" s="10" t="inlineStr">
        <is>
          <t>DRAEM</t>
        </is>
      </c>
      <c r="C3" s="10" t="inlineStr">
        <is>
          <t>Zavrtanik et al.</t>
        </is>
      </c>
      <c r="D3" s="10" t="inlineStr">
        <is>
          <t>ICCV 2021</t>
        </is>
      </c>
      <c r="E3" s="10" t="inlineStr">
        <is>
          <t>2021-08</t>
        </is>
      </c>
      <c r="F3" s="10" t="inlineStr">
        <is>
          <t>Published</t>
        </is>
      </c>
      <c r="G3" s="10" t="inlineStr">
        <is>
          <t>Perlin + DTD texture</t>
        </is>
      </c>
      <c r="H3" s="10" t="inlineStr">
        <is>
          <t>unsupervised</t>
        </is>
      </c>
      <c r="I3" s="10" t="inlineStr">
        <is>
          <t>KolektorSDD</t>
        </is>
      </c>
      <c r="J3" s="10" t="inlineStr">
        <is>
          <t>To verify</t>
        </is>
      </c>
      <c r="K3" s="10" t="inlineStr">
        <is>
          <t>N/A</t>
        </is>
      </c>
      <c r="L3" s="10" t="inlineStr">
        <is>
          <t>N/A</t>
        </is>
      </c>
      <c r="M3" s="10" t="inlineStr">
        <is>
          <t>N/A</t>
        </is>
      </c>
      <c r="N3" s="10" t="inlineStr">
        <is>
          <t>N/A</t>
        </is>
      </c>
      <c r="O3" s="10" t="inlineStr">
        <is>
          <t>N/A</t>
        </is>
      </c>
      <c r="P3" s="10" t="inlineStr">
        <is>
          <t>N/A</t>
        </is>
      </c>
      <c r="Q3" s="10" t="inlineStr">
        <is>
          <t>U-Net</t>
        </is>
      </c>
      <c r="R3" s="10" t="inlineStr">
        <is>
          <t>ICCV 2021; To verify KSDD numbers</t>
        </is>
      </c>
      <c r="S3" s="11">
        <f>HYPERLINK("https://arxiv.org/abs/2108.07610","Link")</f>
        <v/>
      </c>
      <c r="T3" s="11">
        <f>HYPERLINK("https://github.com/VitjanZ/DRAEM","GitHub")</f>
        <v/>
      </c>
    </row>
    <row r="4" ht="60" customHeight="1">
      <c r="A4" s="6" t="inlineStr">
        <is>
          <t>Downstream Synthesis-based AD / Segmentation</t>
        </is>
      </c>
      <c r="B4" s="6" t="inlineStr">
        <is>
          <t>PaDiM</t>
        </is>
      </c>
      <c r="C4" s="6" t="inlineStr">
        <is>
          <t>Defard et al.</t>
        </is>
      </c>
      <c r="D4" s="6" t="inlineStr">
        <is>
          <t>ICPR 2021</t>
        </is>
      </c>
      <c r="E4" s="6" t="inlineStr">
        <is>
          <t>2021-00</t>
        </is>
      </c>
      <c r="F4" s="6" t="inlineStr">
        <is>
          <t>Published</t>
        </is>
      </c>
      <c r="G4" s="6" t="inlineStr">
        <is>
          <t>patch distribution</t>
        </is>
      </c>
      <c r="H4" s="6" t="inlineStr">
        <is>
          <t>unsupervised</t>
        </is>
      </c>
      <c r="I4" s="6" t="inlineStr">
        <is>
          <t>KolektorSDD</t>
        </is>
      </c>
      <c r="J4" s="6" t="inlineStr">
        <is>
          <t>To verify</t>
        </is>
      </c>
      <c r="K4" s="6" t="inlineStr">
        <is>
          <t>N/A</t>
        </is>
      </c>
      <c r="L4" s="6" t="inlineStr">
        <is>
          <t>N/A</t>
        </is>
      </c>
      <c r="M4" s="6" t="inlineStr">
        <is>
          <t>N/A</t>
        </is>
      </c>
      <c r="N4" s="6" t="inlineStr">
        <is>
          <t>N/A</t>
        </is>
      </c>
      <c r="O4" s="6" t="inlineStr">
        <is>
          <t>N/A</t>
        </is>
      </c>
      <c r="P4" s="6" t="inlineStr">
        <is>
          <t>N/A</t>
        </is>
      </c>
      <c r="Q4" s="6" t="inlineStr">
        <is>
          <t>WideResNet50</t>
        </is>
      </c>
      <c r="R4" s="6" t="inlineStr">
        <is>
          <t>ICPR 2021; To verify KSDD numbers</t>
        </is>
      </c>
      <c r="S4" s="7">
        <f>HYPERLINK("https://arxiv.org/abs/2011.08785","Link")</f>
        <v/>
      </c>
      <c r="T4" s="6" t="inlineStr">
        <is>
          <t>N/A</t>
        </is>
      </c>
    </row>
    <row r="5" ht="60" customHeight="1">
      <c r="A5" s="8" t="inlineStr">
        <is>
          <t>Distribution-hypothesis / Feature-space Anomaly Synthesis</t>
        </is>
      </c>
      <c r="B5" s="8" t="inlineStr">
        <is>
          <t>SimpleNet</t>
        </is>
      </c>
      <c r="C5" s="8" t="inlineStr">
        <is>
          <t>Liu et al.</t>
        </is>
      </c>
      <c r="D5" s="8" t="inlineStr">
        <is>
          <t>CVPR 2023</t>
        </is>
      </c>
      <c r="E5" s="8" t="inlineStr">
        <is>
          <t>2023-03</t>
        </is>
      </c>
      <c r="F5" s="8" t="inlineStr">
        <is>
          <t>Published</t>
        </is>
      </c>
      <c r="G5" s="8" t="inlineStr">
        <is>
          <t>Gaussian noise feature-space</t>
        </is>
      </c>
      <c r="H5" s="8" t="inlineStr">
        <is>
          <t>unsupervised</t>
        </is>
      </c>
      <c r="I5" s="8" t="inlineStr">
        <is>
          <t>KolektorSDD</t>
        </is>
      </c>
      <c r="J5" s="8" t="inlineStr">
        <is>
          <t>To verify</t>
        </is>
      </c>
      <c r="K5" s="8" t="inlineStr">
        <is>
          <t>N/A</t>
        </is>
      </c>
      <c r="L5" s="8" t="inlineStr">
        <is>
          <t>N/A</t>
        </is>
      </c>
      <c r="M5" s="8" t="inlineStr">
        <is>
          <t>N/A</t>
        </is>
      </c>
      <c r="N5" s="8" t="inlineStr">
        <is>
          <t>N/A</t>
        </is>
      </c>
      <c r="O5" s="8" t="inlineStr">
        <is>
          <t>N/A</t>
        </is>
      </c>
      <c r="P5" s="8" t="inlineStr">
        <is>
          <t>N/A</t>
        </is>
      </c>
      <c r="Q5" s="8" t="inlineStr">
        <is>
          <t>WideResNet50</t>
        </is>
      </c>
      <c r="R5" s="8" t="inlineStr">
        <is>
          <t>To verify KSDD numbers</t>
        </is>
      </c>
      <c r="S5" s="9">
        <f>HYPERLINK("https://arxiv.org/abs/2303.15140","Link")</f>
        <v/>
      </c>
      <c r="T5" s="9">
        <f>HYPERLINK("https://github.com/DonaldRR/SimpleNet","GitHub")</f>
        <v/>
      </c>
    </row>
    <row r="6" ht="60" customHeight="1">
      <c r="A6" s="4" t="inlineStr">
        <is>
          <t>Generative-model-based Anomaly Synthesis</t>
        </is>
      </c>
      <c r="B6" s="4" t="inlineStr">
        <is>
          <t>RealNet</t>
        </is>
      </c>
      <c r="C6" s="4" t="inlineStr">
        <is>
          <t>Zhang et al.</t>
        </is>
      </c>
      <c r="D6" s="4" t="inlineStr">
        <is>
          <t>CVPR 2024</t>
        </is>
      </c>
      <c r="E6" s="4" t="inlineStr">
        <is>
          <t>2024-03</t>
        </is>
      </c>
      <c r="F6" s="4" t="inlineStr">
        <is>
          <t>Published</t>
        </is>
      </c>
      <c r="G6" s="4" t="inlineStr">
        <is>
          <t>diffusion SDAS</t>
        </is>
      </c>
      <c r="H6" s="4" t="inlineStr">
        <is>
          <t>unsupervised</t>
        </is>
      </c>
      <c r="I6" s="4" t="inlineStr">
        <is>
          <t>KolektorSDD</t>
        </is>
      </c>
      <c r="J6" s="4" t="inlineStr">
        <is>
          <t>To verify</t>
        </is>
      </c>
      <c r="K6" s="4" t="inlineStr">
        <is>
          <t>N/A</t>
        </is>
      </c>
      <c r="L6" s="4" t="inlineStr">
        <is>
          <t>N/A</t>
        </is>
      </c>
      <c r="M6" s="4" t="inlineStr">
        <is>
          <t>N/A</t>
        </is>
      </c>
      <c r="N6" s="4" t="inlineStr">
        <is>
          <t>N/A</t>
        </is>
      </c>
      <c r="O6" s="4" t="inlineStr">
        <is>
          <t>N/A</t>
        </is>
      </c>
      <c r="P6" s="4" t="inlineStr">
        <is>
          <t>N/A</t>
        </is>
      </c>
      <c r="Q6" s="4" t="inlineStr">
        <is>
          <t>WideResNet50</t>
        </is>
      </c>
      <c r="R6" s="4" t="inlineStr">
        <is>
          <t>CVPR 2024; To verify KSDD numbers</t>
        </is>
      </c>
      <c r="S6" s="5">
        <f>HYPERLINK("https://arxiv.org/abs/2403.05897","Link")</f>
        <v/>
      </c>
      <c r="T6" s="5">
        <f>HYPERLINK("https://github.com/cnulab/RealNet","GitHub")</f>
        <v/>
      </c>
    </row>
    <row r="7" ht="60" customHeight="1">
      <c r="A7" s="6" t="inlineStr">
        <is>
          <t>Downstream Synthesis-based AD / Segmentation</t>
        </is>
      </c>
      <c r="B7" s="6" t="inlineStr">
        <is>
          <t>EfficientAD</t>
        </is>
      </c>
      <c r="C7" s="6" t="inlineStr">
        <is>
          <t>Batzner et al.</t>
        </is>
      </c>
      <c r="D7" s="6" t="inlineStr">
        <is>
          <t>WACV 2024</t>
        </is>
      </c>
      <c r="E7" s="6" t="inlineStr">
        <is>
          <t>2024-00</t>
        </is>
      </c>
      <c r="F7" s="6" t="inlineStr">
        <is>
          <t>Published</t>
        </is>
      </c>
      <c r="G7" s="6" t="inlineStr">
        <is>
          <t>teacher-student + autoencoder</t>
        </is>
      </c>
      <c r="H7" s="6" t="inlineStr">
        <is>
          <t>unsupervised</t>
        </is>
      </c>
      <c r="I7" s="6" t="inlineStr">
        <is>
          <t>KolektorSDD</t>
        </is>
      </c>
      <c r="J7" s="6" t="inlineStr">
        <is>
          <t>To verify</t>
        </is>
      </c>
      <c r="K7" s="6" t="inlineStr">
        <is>
          <t>N/A</t>
        </is>
      </c>
      <c r="L7" s="6" t="inlineStr">
        <is>
          <t>N/A</t>
        </is>
      </c>
      <c r="M7" s="6" t="inlineStr">
        <is>
          <t>N/A</t>
        </is>
      </c>
      <c r="N7" s="6" t="inlineStr">
        <is>
          <t>N/A</t>
        </is>
      </c>
      <c r="O7" s="6" t="inlineStr">
        <is>
          <t>N/A</t>
        </is>
      </c>
      <c r="P7" s="6" t="inlineStr">
        <is>
          <t>N/A</t>
        </is>
      </c>
      <c r="Q7" s="6" t="inlineStr">
        <is>
          <t>PDN + autoencoder</t>
        </is>
      </c>
      <c r="R7" s="6" t="inlineStr">
        <is>
          <t>To verify KSDD numbers</t>
        </is>
      </c>
      <c r="S7" s="7">
        <f>HYPERLINK("https://arxiv.org/abs/2303.14535","Link")</f>
        <v/>
      </c>
      <c r="T7" s="6" t="inlineStr">
        <is>
          <t>N/A</t>
        </is>
      </c>
    </row>
    <row r="8" ht="60" customHeight="1">
      <c r="A8" s="8" t="inlineStr">
        <is>
          <t>Distribution-hypothesis / Feature-space Anomaly Synthesis</t>
        </is>
      </c>
      <c r="B8" s="8" t="inlineStr">
        <is>
          <t>GLASS</t>
        </is>
      </c>
      <c r="C8" s="8" t="inlineStr">
        <is>
          <t>Chen et al.</t>
        </is>
      </c>
      <c r="D8" s="8" t="inlineStr">
        <is>
          <t>ECCV 2024</t>
        </is>
      </c>
      <c r="E8" s="8" t="inlineStr">
        <is>
          <t>2024-07</t>
        </is>
      </c>
      <c r="F8" s="8" t="inlineStr">
        <is>
          <t>Published</t>
        </is>
      </c>
      <c r="G8" s="8" t="inlineStr">
        <is>
          <t>gradient-ascent + Perlin</t>
        </is>
      </c>
      <c r="H8" s="8" t="inlineStr">
        <is>
          <t>unsupervised</t>
        </is>
      </c>
      <c r="I8" s="8" t="inlineStr">
        <is>
          <t>KolektorSDD</t>
        </is>
      </c>
      <c r="J8" s="8" t="inlineStr">
        <is>
          <t>To verify</t>
        </is>
      </c>
      <c r="K8" s="8" t="inlineStr">
        <is>
          <t>N/A</t>
        </is>
      </c>
      <c r="L8" s="8" t="inlineStr">
        <is>
          <t>N/A</t>
        </is>
      </c>
      <c r="M8" s="8" t="inlineStr">
        <is>
          <t>N/A</t>
        </is>
      </c>
      <c r="N8" s="8" t="inlineStr">
        <is>
          <t>N/A</t>
        </is>
      </c>
      <c r="O8" s="8" t="inlineStr">
        <is>
          <t>N/A</t>
        </is>
      </c>
      <c r="P8" s="8" t="inlineStr">
        <is>
          <t>N/A</t>
        </is>
      </c>
      <c r="Q8" s="8" t="inlineStr">
        <is>
          <t>WideResNet50</t>
        </is>
      </c>
      <c r="R8" s="8" t="inlineStr">
        <is>
          <t>To verify KSDD numbers</t>
        </is>
      </c>
      <c r="S8" s="9">
        <f>HYPERLINK("https://arxiv.org/abs/2407.09359","Link")</f>
        <v/>
      </c>
      <c r="T8" s="9">
        <f>HYPERLINK("https://github.com/cqylunlun/GLASS","GitHub")</f>
        <v/>
      </c>
    </row>
    <row r="9" ht="60" customHeight="1">
      <c r="A9" s="6" t="inlineStr">
        <is>
          <t>Downstream Synthesis-based AD / Segmentation</t>
        </is>
      </c>
      <c r="B9" s="6" t="inlineStr">
        <is>
          <t>FastFlow</t>
        </is>
      </c>
      <c r="C9" s="6" t="inlineStr">
        <is>
          <t>Yu et al.</t>
        </is>
      </c>
      <c r="D9" s="6" t="inlineStr">
        <is>
          <t>arXiv</t>
        </is>
      </c>
      <c r="E9" s="6" t="inlineStr">
        <is>
          <t>2022-00</t>
        </is>
      </c>
      <c r="F9" s="6" t="inlineStr">
        <is>
          <t>arXiv / Reproduced</t>
        </is>
      </c>
      <c r="G9" s="6" t="inlineStr">
        <is>
          <t>normalizing flow</t>
        </is>
      </c>
      <c r="H9" s="6" t="inlineStr">
        <is>
          <t>unsupervised</t>
        </is>
      </c>
      <c r="I9" s="6" t="inlineStr">
        <is>
          <t>KolektorSDD</t>
        </is>
      </c>
      <c r="J9" s="6" t="inlineStr">
        <is>
          <t>To verify</t>
        </is>
      </c>
      <c r="K9" s="6" t="inlineStr">
        <is>
          <t>N/A</t>
        </is>
      </c>
      <c r="L9" s="6" t="inlineStr">
        <is>
          <t>N/A</t>
        </is>
      </c>
      <c r="M9" s="6" t="inlineStr">
        <is>
          <t>N/A</t>
        </is>
      </c>
      <c r="N9" s="6" t="inlineStr">
        <is>
          <t>N/A</t>
        </is>
      </c>
      <c r="O9" s="6" t="inlineStr">
        <is>
          <t>N/A</t>
        </is>
      </c>
      <c r="P9" s="6" t="inlineStr">
        <is>
          <t>N/A</t>
        </is>
      </c>
      <c r="Q9" s="6" t="inlineStr">
        <is>
          <t>ResNet + 2D NF</t>
        </is>
      </c>
      <c r="R9" s="6" t="inlineStr">
        <is>
          <t>To verify KSDD numbers; Third-party reproduction</t>
        </is>
      </c>
      <c r="S9" s="7">
        <f>HYPERLINK("https://arxiv.org/abs/2111.07677","Link")</f>
        <v/>
      </c>
      <c r="T9" s="6" t="inlineStr">
        <is>
          <t>N/A</t>
        </is>
      </c>
    </row>
    <row r="10" ht="60" customHeight="1">
      <c r="A10" s="6" t="inlineStr">
        <is>
          <t>Downstream Synthesis-based AD / Segmentation</t>
        </is>
      </c>
      <c r="B10" s="6" t="inlineStr">
        <is>
          <t>DeSTSeg</t>
        </is>
      </c>
      <c r="C10" s="6" t="inlineStr">
        <is>
          <t>Zhang et al.</t>
        </is>
      </c>
      <c r="D10" s="6" t="inlineStr">
        <is>
          <t>CVPR 2023</t>
        </is>
      </c>
      <c r="E10" s="6" t="inlineStr">
        <is>
          <t>2023-00</t>
        </is>
      </c>
      <c r="F10" s="6" t="inlineStr">
        <is>
          <t>Published</t>
        </is>
      </c>
      <c r="G10" s="6" t="inlineStr">
        <is>
          <t>Perlin + texture synthesis</t>
        </is>
      </c>
      <c r="H10" s="6" t="inlineStr">
        <is>
          <t>unsupervised</t>
        </is>
      </c>
      <c r="I10" s="6" t="inlineStr">
        <is>
          <t>KolektorSDD</t>
        </is>
      </c>
      <c r="J10" s="6" t="inlineStr">
        <is>
          <t>To verify</t>
        </is>
      </c>
      <c r="K10" s="6" t="inlineStr">
        <is>
          <t>N/A</t>
        </is>
      </c>
      <c r="L10" s="6" t="inlineStr">
        <is>
          <t>N/A</t>
        </is>
      </c>
      <c r="M10" s="6" t="inlineStr">
        <is>
          <t>N/A</t>
        </is>
      </c>
      <c r="N10" s="6" t="inlineStr">
        <is>
          <t>N/A</t>
        </is>
      </c>
      <c r="O10" s="6" t="inlineStr">
        <is>
          <t>N/A</t>
        </is>
      </c>
      <c r="P10" s="6" t="inlineStr">
        <is>
          <t>N/A</t>
        </is>
      </c>
      <c r="Q10" s="6" t="inlineStr">
        <is>
          <t>WideResNet101</t>
        </is>
      </c>
      <c r="R10" s="6" t="inlineStr">
        <is>
          <t>To verify KSDD numbers</t>
        </is>
      </c>
      <c r="S10" s="7">
        <f>HYPERLINK("https://arxiv.org/abs/2211.11317","Link")</f>
        <v/>
      </c>
      <c r="T10" s="7">
        <f>HYPERLINK("https://github.com/apple/ml-destseg","GitHub")</f>
        <v/>
      </c>
    </row>
    <row r="11" ht="60" customHeight="1">
      <c r="A11" s="6" t="inlineStr">
        <is>
          <t>Downstream Synthesis-based AD / Segmentation</t>
        </is>
      </c>
      <c r="B11" s="6" t="inlineStr">
        <is>
          <t>UniAD</t>
        </is>
      </c>
      <c r="C11" s="6" t="inlineStr">
        <is>
          <t>You et al.</t>
        </is>
      </c>
      <c r="D11" s="6" t="inlineStr">
        <is>
          <t>NeurIPS 2022</t>
        </is>
      </c>
      <c r="E11" s="6" t="inlineStr">
        <is>
          <t>2022-06</t>
        </is>
      </c>
      <c r="F11" s="6" t="inlineStr">
        <is>
          <t>Published</t>
        </is>
      </c>
      <c r="G11" s="6" t="inlineStr">
        <is>
          <t>multi-class reconstruction</t>
        </is>
      </c>
      <c r="H11" s="6" t="inlineStr">
        <is>
          <t>multi-class</t>
        </is>
      </c>
      <c r="I11" s="6" t="inlineStr">
        <is>
          <t>KolektorSDD</t>
        </is>
      </c>
      <c r="J11" s="6" t="inlineStr">
        <is>
          <t>To verify</t>
        </is>
      </c>
      <c r="K11" s="6" t="inlineStr">
        <is>
          <t>N/A</t>
        </is>
      </c>
      <c r="L11" s="6" t="inlineStr">
        <is>
          <t>N/A</t>
        </is>
      </c>
      <c r="M11" s="6" t="inlineStr">
        <is>
          <t>N/A</t>
        </is>
      </c>
      <c r="N11" s="6" t="inlineStr">
        <is>
          <t>N/A</t>
        </is>
      </c>
      <c r="O11" s="6" t="inlineStr">
        <is>
          <t>N/A</t>
        </is>
      </c>
      <c r="P11" s="6" t="inlineStr">
        <is>
          <t>N/A</t>
        </is>
      </c>
      <c r="Q11" s="6" t="inlineStr">
        <is>
          <t>Transformer</t>
        </is>
      </c>
      <c r="R11" s="6" t="inlineStr">
        <is>
          <t>To verify KSDD numbers</t>
        </is>
      </c>
      <c r="S11" s="7">
        <f>HYPERLINK("https://arxiv.org/abs/2206.03687","Link")</f>
        <v/>
      </c>
      <c r="T11" s="7">
        <f>HYPERLINK("https://github.com/zhiyuanyou/UniAD","GitHub")</f>
        <v/>
      </c>
    </row>
  </sheetData>
  <autoFilter ref="A1:T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595959"/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5" customWidth="1" min="3" max="3"/>
    <col width="13" customWidth="1" min="4" max="4"/>
    <col width="10" customWidth="1" min="5" max="5"/>
    <col width="13" customWidth="1" min="6" max="6"/>
    <col width="22" customWidth="1" min="7" max="7"/>
    <col width="22" customWidth="1" min="8" max="8"/>
    <col width="18" customWidth="1" min="9" max="9"/>
    <col width="28" customWidth="1" min="10" max="10"/>
    <col width="10" customWidth="1" min="11" max="11"/>
    <col width="10" customWidth="1" min="12" max="12"/>
    <col width="13" customWidth="1" min="13" max="13"/>
    <col width="11" customWidth="1" min="14" max="14"/>
    <col width="14" customWidth="1" min="15" max="15"/>
    <col width="22" customWidth="1" min="16" max="16"/>
    <col width="22" customWidth="1" min="17" max="17"/>
    <col width="45" customWidth="1" min="18" max="18"/>
    <col width="18" customWidth="1" min="19" max="19"/>
    <col width="18" customWidth="1" min="20" max="20"/>
  </cols>
  <sheetData>
    <row r="1" ht="36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合成類型</t>
        </is>
      </c>
      <c r="H1" s="1" t="inlineStr">
        <is>
          <t>任務設定</t>
        </is>
      </c>
      <c r="I1" s="1" t="inlineStr">
        <is>
          <t>資料集</t>
        </is>
      </c>
      <c r="J1" s="1" t="inlineStr">
        <is>
          <t>Split/Protocol</t>
        </is>
      </c>
      <c r="K1" s="1" t="inlineStr">
        <is>
          <t>I-AUROC</t>
        </is>
      </c>
      <c r="L1" s="1" t="inlineStr">
        <is>
          <t>P-AUROC</t>
        </is>
      </c>
      <c r="M1" s="1" t="inlineStr">
        <is>
          <t>AUPRO/PRO</t>
        </is>
      </c>
      <c r="N1" s="1" t="inlineStr">
        <is>
          <t>AP/AUPRC</t>
        </is>
      </c>
      <c r="O1" s="1" t="inlineStr">
        <is>
          <t>F1/Dice/IoU</t>
        </is>
      </c>
      <c r="P1" s="1" t="inlineStr">
        <is>
          <t>合成品質指標</t>
        </is>
      </c>
      <c r="Q1" s="1" t="inlineStr">
        <is>
          <t>Backbone/Detector</t>
        </is>
      </c>
      <c r="R1" s="1" t="inlineStr">
        <is>
          <t>備註(特色/可比性)</t>
        </is>
      </c>
      <c r="S1" s="1" t="inlineStr">
        <is>
          <t>連結</t>
        </is>
      </c>
      <c r="T1" s="1" t="inlineStr">
        <is>
          <t>GitHub</t>
        </is>
      </c>
    </row>
    <row r="2" ht="60" customHeight="1">
      <c r="A2" s="8" t="inlineStr">
        <is>
          <t>Distribution-hypothesis / Feature-space Anomaly Synthesis</t>
        </is>
      </c>
      <c r="B2" s="8" t="inlineStr">
        <is>
          <t>GLASS</t>
        </is>
      </c>
      <c r="C2" s="8" t="inlineStr">
        <is>
          <t>Chen et al.</t>
        </is>
      </c>
      <c r="D2" s="8" t="inlineStr">
        <is>
          <t>ECCV 2024</t>
        </is>
      </c>
      <c r="E2" s="8" t="inlineStr">
        <is>
          <t>2024-07</t>
        </is>
      </c>
      <c r="F2" s="8" t="inlineStr">
        <is>
          <t>Published</t>
        </is>
      </c>
      <c r="G2" s="8" t="inlineStr">
        <is>
          <t>gradient-ascent + Perlin</t>
        </is>
      </c>
      <c r="H2" s="8" t="inlineStr">
        <is>
          <t>unsupervised</t>
        </is>
      </c>
      <c r="I2" s="8" t="inlineStr">
        <is>
          <t>KSDD2</t>
        </is>
      </c>
      <c r="J2" s="8" t="inlineStr">
        <is>
          <t>To verify AUPRO</t>
        </is>
      </c>
      <c r="K2" s="8" t="inlineStr">
        <is>
          <t>N/A</t>
        </is>
      </c>
      <c r="L2" s="8" t="inlineStr">
        <is>
          <t>N/A</t>
        </is>
      </c>
      <c r="M2" s="8" t="inlineStr">
        <is>
          <t>N/A</t>
        </is>
      </c>
      <c r="N2" s="8" t="inlineStr">
        <is>
          <t>N/A</t>
        </is>
      </c>
      <c r="O2" s="8" t="inlineStr">
        <is>
          <t>N/A</t>
        </is>
      </c>
      <c r="P2" s="8" t="inlineStr">
        <is>
          <t>N/A</t>
        </is>
      </c>
      <c r="Q2" s="8" t="inlineStr">
        <is>
          <t>WideResNet50</t>
        </is>
      </c>
      <c r="R2" s="8" t="inlineStr">
        <is>
          <t>ECCV 2024; To verify KSDD2 numbers</t>
        </is>
      </c>
      <c r="S2" s="9">
        <f>HYPERLINK("https://arxiv.org/abs/2407.09359","Link")</f>
        <v/>
      </c>
      <c r="T2" s="9">
        <f>HYPERLINK("https://github.com/cqylunlun/GLASS","GitHub")</f>
        <v/>
      </c>
    </row>
    <row r="3" ht="60" customHeight="1">
      <c r="A3" s="6" t="inlineStr">
        <is>
          <t>Downstream Synthesis-based AD / Segmentation</t>
        </is>
      </c>
      <c r="B3" s="6" t="inlineStr">
        <is>
          <t>PatchCore</t>
        </is>
      </c>
      <c r="C3" s="6" t="inlineStr">
        <is>
          <t>Roth et al.</t>
        </is>
      </c>
      <c r="D3" s="6" t="inlineStr">
        <is>
          <t>CVPR 2022</t>
        </is>
      </c>
      <c r="E3" s="6" t="inlineStr">
        <is>
          <t>2022-00</t>
        </is>
      </c>
      <c r="F3" s="6" t="inlineStr">
        <is>
          <t>Published</t>
        </is>
      </c>
      <c r="G3" s="6" t="inlineStr">
        <is>
          <t>memory bank</t>
        </is>
      </c>
      <c r="H3" s="6" t="inlineStr">
        <is>
          <t>unsupervised</t>
        </is>
      </c>
      <c r="I3" s="6" t="inlineStr">
        <is>
          <t>KSDD2</t>
        </is>
      </c>
      <c r="J3" s="6" t="inlineStr">
        <is>
          <t>To verify</t>
        </is>
      </c>
      <c r="K3" s="6" t="inlineStr">
        <is>
          <t>N/A</t>
        </is>
      </c>
      <c r="L3" s="6" t="inlineStr">
        <is>
          <t>N/A</t>
        </is>
      </c>
      <c r="M3" s="6" t="inlineStr">
        <is>
          <t>N/A</t>
        </is>
      </c>
      <c r="N3" s="6" t="inlineStr">
        <is>
          <t>N/A</t>
        </is>
      </c>
      <c r="O3" s="6" t="inlineStr">
        <is>
          <t>N/A</t>
        </is>
      </c>
      <c r="P3" s="6" t="inlineStr">
        <is>
          <t>N/A</t>
        </is>
      </c>
      <c r="Q3" s="6" t="inlineStr">
        <is>
          <t>WideResNet50</t>
        </is>
      </c>
      <c r="R3" s="6" t="inlineStr">
        <is>
          <t>To verify KSDD2 numbers</t>
        </is>
      </c>
      <c r="S3" s="7">
        <f>HYPERLINK("https://arxiv.org/abs/2106.08265","Link")</f>
        <v/>
      </c>
      <c r="T3" s="7">
        <f>HYPERLINK("https://github.com/amazon-science/patchcore-inspection","GitHub")</f>
        <v/>
      </c>
    </row>
    <row r="4" ht="60" customHeight="1">
      <c r="A4" s="10" t="inlineStr">
        <is>
          <t>Hand-crafted / Rule-based Anomaly Synthesis</t>
        </is>
      </c>
      <c r="B4" s="10" t="inlineStr">
        <is>
          <t>DRAEM</t>
        </is>
      </c>
      <c r="C4" s="10" t="inlineStr">
        <is>
          <t>Zavrtanik et al.</t>
        </is>
      </c>
      <c r="D4" s="10" t="inlineStr">
        <is>
          <t>ICCV 2021</t>
        </is>
      </c>
      <c r="E4" s="10" t="inlineStr">
        <is>
          <t>2021-08</t>
        </is>
      </c>
      <c r="F4" s="10" t="inlineStr">
        <is>
          <t>Published</t>
        </is>
      </c>
      <c r="G4" s="10" t="inlineStr">
        <is>
          <t>Perlin + DTD texture</t>
        </is>
      </c>
      <c r="H4" s="10" t="inlineStr">
        <is>
          <t>unsupervised</t>
        </is>
      </c>
      <c r="I4" s="10" t="inlineStr">
        <is>
          <t>KSDD2</t>
        </is>
      </c>
      <c r="J4" s="10" t="inlineStr">
        <is>
          <t>To verify</t>
        </is>
      </c>
      <c r="K4" s="10" t="inlineStr">
        <is>
          <t>N/A</t>
        </is>
      </c>
      <c r="L4" s="10" t="inlineStr">
        <is>
          <t>N/A</t>
        </is>
      </c>
      <c r="M4" s="10" t="inlineStr">
        <is>
          <t>N/A</t>
        </is>
      </c>
      <c r="N4" s="10" t="inlineStr">
        <is>
          <t>N/A</t>
        </is>
      </c>
      <c r="O4" s="10" t="inlineStr">
        <is>
          <t>N/A</t>
        </is>
      </c>
      <c r="P4" s="10" t="inlineStr">
        <is>
          <t>N/A</t>
        </is>
      </c>
      <c r="Q4" s="10" t="inlineStr">
        <is>
          <t>U-Net</t>
        </is>
      </c>
      <c r="R4" s="10" t="inlineStr">
        <is>
          <t>To verify KSDD2 numbers</t>
        </is>
      </c>
      <c r="S4" s="11">
        <f>HYPERLINK("https://arxiv.org/abs/2108.07610","Link")</f>
        <v/>
      </c>
      <c r="T4" s="11">
        <f>HYPERLINK("https://github.com/VitjanZ/DRAEM","GitHub")</f>
        <v/>
      </c>
    </row>
    <row r="5" ht="60" customHeight="1">
      <c r="A5" s="6" t="inlineStr">
        <is>
          <t>Downstream Synthesis-based AD / Segmentation</t>
        </is>
      </c>
      <c r="B5" s="6" t="inlineStr">
        <is>
          <t>PaDiM</t>
        </is>
      </c>
      <c r="C5" s="6" t="inlineStr">
        <is>
          <t>Defard et al.</t>
        </is>
      </c>
      <c r="D5" s="6" t="inlineStr">
        <is>
          <t>ICPR 2021</t>
        </is>
      </c>
      <c r="E5" s="6" t="inlineStr">
        <is>
          <t>2021-00</t>
        </is>
      </c>
      <c r="F5" s="6" t="inlineStr">
        <is>
          <t>Published</t>
        </is>
      </c>
      <c r="G5" s="6" t="inlineStr">
        <is>
          <t>patch distribution</t>
        </is>
      </c>
      <c r="H5" s="6" t="inlineStr">
        <is>
          <t>unsupervised</t>
        </is>
      </c>
      <c r="I5" s="6" t="inlineStr">
        <is>
          <t>KSDD2</t>
        </is>
      </c>
      <c r="J5" s="6" t="inlineStr">
        <is>
          <t>To verify</t>
        </is>
      </c>
      <c r="K5" s="6" t="inlineStr">
        <is>
          <t>N/A</t>
        </is>
      </c>
      <c r="L5" s="6" t="inlineStr">
        <is>
          <t>N/A</t>
        </is>
      </c>
      <c r="M5" s="6" t="inlineStr">
        <is>
          <t>N/A</t>
        </is>
      </c>
      <c r="N5" s="6" t="inlineStr">
        <is>
          <t>N/A</t>
        </is>
      </c>
      <c r="O5" s="6" t="inlineStr">
        <is>
          <t>N/A</t>
        </is>
      </c>
      <c r="P5" s="6" t="inlineStr">
        <is>
          <t>N/A</t>
        </is>
      </c>
      <c r="Q5" s="6" t="inlineStr">
        <is>
          <t>WideResNet50</t>
        </is>
      </c>
      <c r="R5" s="6" t="inlineStr">
        <is>
          <t>To verify KSDD2 numbers</t>
        </is>
      </c>
      <c r="S5" s="7">
        <f>HYPERLINK("https://arxiv.org/abs/2011.08785","Link")</f>
        <v/>
      </c>
      <c r="T5" s="6" t="inlineStr">
        <is>
          <t>N/A</t>
        </is>
      </c>
    </row>
    <row r="6" ht="60" customHeight="1">
      <c r="A6" s="8" t="inlineStr">
        <is>
          <t>Distribution-hypothesis / Feature-space Anomaly Synthesis</t>
        </is>
      </c>
      <c r="B6" s="8" t="inlineStr">
        <is>
          <t>SimpleNet</t>
        </is>
      </c>
      <c r="C6" s="8" t="inlineStr">
        <is>
          <t>Liu et al.</t>
        </is>
      </c>
      <c r="D6" s="8" t="inlineStr">
        <is>
          <t>CVPR 2023</t>
        </is>
      </c>
      <c r="E6" s="8" t="inlineStr">
        <is>
          <t>2023-03</t>
        </is>
      </c>
      <c r="F6" s="8" t="inlineStr">
        <is>
          <t>Published</t>
        </is>
      </c>
      <c r="G6" s="8" t="inlineStr">
        <is>
          <t>Gaussian noise feature-space</t>
        </is>
      </c>
      <c r="H6" s="8" t="inlineStr">
        <is>
          <t>unsupervised</t>
        </is>
      </c>
      <c r="I6" s="8" t="inlineStr">
        <is>
          <t>KSDD2</t>
        </is>
      </c>
      <c r="J6" s="8" t="inlineStr">
        <is>
          <t>To verify</t>
        </is>
      </c>
      <c r="K6" s="8" t="inlineStr">
        <is>
          <t>N/A</t>
        </is>
      </c>
      <c r="L6" s="8" t="inlineStr">
        <is>
          <t>N/A</t>
        </is>
      </c>
      <c r="M6" s="8" t="inlineStr">
        <is>
          <t>N/A</t>
        </is>
      </c>
      <c r="N6" s="8" t="inlineStr">
        <is>
          <t>N/A</t>
        </is>
      </c>
      <c r="O6" s="8" t="inlineStr">
        <is>
          <t>N/A</t>
        </is>
      </c>
      <c r="P6" s="8" t="inlineStr">
        <is>
          <t>N/A</t>
        </is>
      </c>
      <c r="Q6" s="8" t="inlineStr">
        <is>
          <t>WideResNet50</t>
        </is>
      </c>
      <c r="R6" s="8" t="inlineStr">
        <is>
          <t>To verify KSDD2 numbers</t>
        </is>
      </c>
      <c r="S6" s="9">
        <f>HYPERLINK("https://arxiv.org/abs/2303.15140","Link")</f>
        <v/>
      </c>
      <c r="T6" s="9">
        <f>HYPERLINK("https://github.com/DonaldRR/SimpleNet","GitHub")</f>
        <v/>
      </c>
    </row>
    <row r="7" ht="60" customHeight="1">
      <c r="A7" s="4" t="inlineStr">
        <is>
          <t>Generative-model-based Anomaly Synthesis</t>
        </is>
      </c>
      <c r="B7" s="4" t="inlineStr">
        <is>
          <t>RealNet</t>
        </is>
      </c>
      <c r="C7" s="4" t="inlineStr">
        <is>
          <t>Zhang et al.</t>
        </is>
      </c>
      <c r="D7" s="4" t="inlineStr">
        <is>
          <t>CVPR 2024</t>
        </is>
      </c>
      <c r="E7" s="4" t="inlineStr">
        <is>
          <t>2024-03</t>
        </is>
      </c>
      <c r="F7" s="4" t="inlineStr">
        <is>
          <t>Published</t>
        </is>
      </c>
      <c r="G7" s="4" t="inlineStr">
        <is>
          <t>diffusion SDAS</t>
        </is>
      </c>
      <c r="H7" s="4" t="inlineStr">
        <is>
          <t>unsupervised</t>
        </is>
      </c>
      <c r="I7" s="4" t="inlineStr">
        <is>
          <t>KSDD2</t>
        </is>
      </c>
      <c r="J7" s="4" t="inlineStr">
        <is>
          <t>To verify</t>
        </is>
      </c>
      <c r="K7" s="4" t="inlineStr">
        <is>
          <t>N/A</t>
        </is>
      </c>
      <c r="L7" s="4" t="inlineStr">
        <is>
          <t>N/A</t>
        </is>
      </c>
      <c r="M7" s="4" t="inlineStr">
        <is>
          <t>N/A</t>
        </is>
      </c>
      <c r="N7" s="4" t="inlineStr">
        <is>
          <t>N/A</t>
        </is>
      </c>
      <c r="O7" s="4" t="inlineStr">
        <is>
          <t>N/A</t>
        </is>
      </c>
      <c r="P7" s="4" t="inlineStr">
        <is>
          <t>N/A</t>
        </is>
      </c>
      <c r="Q7" s="4" t="inlineStr">
        <is>
          <t>WideResNet50</t>
        </is>
      </c>
      <c r="R7" s="4" t="inlineStr">
        <is>
          <t>To verify KSDD2 numbers</t>
        </is>
      </c>
      <c r="S7" s="5">
        <f>HYPERLINK("https://arxiv.org/abs/2403.05897","Link")</f>
        <v/>
      </c>
      <c r="T7" s="5">
        <f>HYPERLINK("https://github.com/cnulab/RealNet","GitHub")</f>
        <v/>
      </c>
    </row>
    <row r="8" ht="60" customHeight="1">
      <c r="A8" s="6" t="inlineStr">
        <is>
          <t>Downstream Synthesis-based AD / Segmentation</t>
        </is>
      </c>
      <c r="B8" s="6" t="inlineStr">
        <is>
          <t>EfficientAD</t>
        </is>
      </c>
      <c r="C8" s="6" t="inlineStr">
        <is>
          <t>Batzner et al.</t>
        </is>
      </c>
      <c r="D8" s="6" t="inlineStr">
        <is>
          <t>WACV 2024</t>
        </is>
      </c>
      <c r="E8" s="6" t="inlineStr">
        <is>
          <t>2024-00</t>
        </is>
      </c>
      <c r="F8" s="6" t="inlineStr">
        <is>
          <t>Published</t>
        </is>
      </c>
      <c r="G8" s="6" t="inlineStr">
        <is>
          <t>teacher-student + autoencoder</t>
        </is>
      </c>
      <c r="H8" s="6" t="inlineStr">
        <is>
          <t>unsupervised</t>
        </is>
      </c>
      <c r="I8" s="6" t="inlineStr">
        <is>
          <t>KSDD2</t>
        </is>
      </c>
      <c r="J8" s="6" t="inlineStr">
        <is>
          <t>To verify</t>
        </is>
      </c>
      <c r="K8" s="6" t="inlineStr">
        <is>
          <t>N/A</t>
        </is>
      </c>
      <c r="L8" s="6" t="inlineStr">
        <is>
          <t>N/A</t>
        </is>
      </c>
      <c r="M8" s="6" t="inlineStr">
        <is>
          <t>N/A</t>
        </is>
      </c>
      <c r="N8" s="6" t="inlineStr">
        <is>
          <t>N/A</t>
        </is>
      </c>
      <c r="O8" s="6" t="inlineStr">
        <is>
          <t>N/A</t>
        </is>
      </c>
      <c r="P8" s="6" t="inlineStr">
        <is>
          <t>N/A</t>
        </is>
      </c>
      <c r="Q8" s="6" t="inlineStr">
        <is>
          <t>PDN + autoencoder</t>
        </is>
      </c>
      <c r="R8" s="6" t="inlineStr">
        <is>
          <t>To verify KSDD2 numbers</t>
        </is>
      </c>
      <c r="S8" s="7">
        <f>HYPERLINK("https://arxiv.org/abs/2303.14535","Link")</f>
        <v/>
      </c>
      <c r="T8" s="6" t="inlineStr">
        <is>
          <t>N/A</t>
        </is>
      </c>
    </row>
    <row r="9" ht="60" customHeight="1">
      <c r="A9" s="6" t="inlineStr">
        <is>
          <t>Downstream Synthesis-based AD / Segmentation</t>
        </is>
      </c>
      <c r="B9" s="6" t="inlineStr">
        <is>
          <t>FastFlow</t>
        </is>
      </c>
      <c r="C9" s="6" t="inlineStr">
        <is>
          <t>Yu et al.</t>
        </is>
      </c>
      <c r="D9" s="6" t="inlineStr">
        <is>
          <t>arXiv</t>
        </is>
      </c>
      <c r="E9" s="6" t="inlineStr">
        <is>
          <t>2022-00</t>
        </is>
      </c>
      <c r="F9" s="6" t="inlineStr">
        <is>
          <t>arXiv / Reproduced</t>
        </is>
      </c>
      <c r="G9" s="6" t="inlineStr">
        <is>
          <t>normalizing flow</t>
        </is>
      </c>
      <c r="H9" s="6" t="inlineStr">
        <is>
          <t>unsupervised</t>
        </is>
      </c>
      <c r="I9" s="6" t="inlineStr">
        <is>
          <t>KSDD2</t>
        </is>
      </c>
      <c r="J9" s="6" t="inlineStr">
        <is>
          <t>To verify</t>
        </is>
      </c>
      <c r="K9" s="6" t="inlineStr">
        <is>
          <t>N/A</t>
        </is>
      </c>
      <c r="L9" s="6" t="inlineStr">
        <is>
          <t>N/A</t>
        </is>
      </c>
      <c r="M9" s="6" t="inlineStr">
        <is>
          <t>N/A</t>
        </is>
      </c>
      <c r="N9" s="6" t="inlineStr">
        <is>
          <t>N/A</t>
        </is>
      </c>
      <c r="O9" s="6" t="inlineStr">
        <is>
          <t>N/A</t>
        </is>
      </c>
      <c r="P9" s="6" t="inlineStr">
        <is>
          <t>N/A</t>
        </is>
      </c>
      <c r="Q9" s="6" t="inlineStr">
        <is>
          <t>ResNet + 2D NF</t>
        </is>
      </c>
      <c r="R9" s="6" t="inlineStr">
        <is>
          <t>To verify KSDD2 numbers; Third-party reproduction</t>
        </is>
      </c>
      <c r="S9" s="7">
        <f>HYPERLINK("https://arxiv.org/abs/2111.07677","Link")</f>
        <v/>
      </c>
      <c r="T9" s="6" t="inlineStr">
        <is>
          <t>N/A</t>
        </is>
      </c>
    </row>
    <row r="10" ht="60" customHeight="1">
      <c r="A10" s="6" t="inlineStr">
        <is>
          <t>Downstream Synthesis-based AD / Segmentation</t>
        </is>
      </c>
      <c r="B10" s="6" t="inlineStr">
        <is>
          <t>DeSTSeg</t>
        </is>
      </c>
      <c r="C10" s="6" t="inlineStr">
        <is>
          <t>Zhang et al.</t>
        </is>
      </c>
      <c r="D10" s="6" t="inlineStr">
        <is>
          <t>CVPR 2023</t>
        </is>
      </c>
      <c r="E10" s="6" t="inlineStr">
        <is>
          <t>2023-00</t>
        </is>
      </c>
      <c r="F10" s="6" t="inlineStr">
        <is>
          <t>Published</t>
        </is>
      </c>
      <c r="G10" s="6" t="inlineStr">
        <is>
          <t>Perlin + texture synthesis</t>
        </is>
      </c>
      <c r="H10" s="6" t="inlineStr">
        <is>
          <t>unsupervised</t>
        </is>
      </c>
      <c r="I10" s="6" t="inlineStr">
        <is>
          <t>KSDD2</t>
        </is>
      </c>
      <c r="J10" s="6" t="inlineStr">
        <is>
          <t>To verify</t>
        </is>
      </c>
      <c r="K10" s="6" t="inlineStr">
        <is>
          <t>N/A</t>
        </is>
      </c>
      <c r="L10" s="6" t="inlineStr">
        <is>
          <t>N/A</t>
        </is>
      </c>
      <c r="M10" s="6" t="inlineStr">
        <is>
          <t>N/A</t>
        </is>
      </c>
      <c r="N10" s="6" t="inlineStr">
        <is>
          <t>N/A</t>
        </is>
      </c>
      <c r="O10" s="6" t="inlineStr">
        <is>
          <t>N/A</t>
        </is>
      </c>
      <c r="P10" s="6" t="inlineStr">
        <is>
          <t>N/A</t>
        </is>
      </c>
      <c r="Q10" s="6" t="inlineStr">
        <is>
          <t>WideResNet101</t>
        </is>
      </c>
      <c r="R10" s="6" t="inlineStr">
        <is>
          <t>To verify KSDD2 numbers</t>
        </is>
      </c>
      <c r="S10" s="7">
        <f>HYPERLINK("https://arxiv.org/abs/2211.11317","Link")</f>
        <v/>
      </c>
      <c r="T10" s="7">
        <f>HYPERLINK("https://github.com/apple/ml-destseg","GitHub")</f>
        <v/>
      </c>
    </row>
    <row r="11" ht="60" customHeight="1">
      <c r="A11" s="6" t="inlineStr">
        <is>
          <t>Downstream Synthesis-based AD / Segmentation</t>
        </is>
      </c>
      <c r="B11" s="6" t="inlineStr">
        <is>
          <t>UniAD</t>
        </is>
      </c>
      <c r="C11" s="6" t="inlineStr">
        <is>
          <t>You et al.</t>
        </is>
      </c>
      <c r="D11" s="6" t="inlineStr">
        <is>
          <t>NeurIPS 2022</t>
        </is>
      </c>
      <c r="E11" s="6" t="inlineStr">
        <is>
          <t>2022-06</t>
        </is>
      </c>
      <c r="F11" s="6" t="inlineStr">
        <is>
          <t>Published</t>
        </is>
      </c>
      <c r="G11" s="6" t="inlineStr">
        <is>
          <t>multi-class reconstruction</t>
        </is>
      </c>
      <c r="H11" s="6" t="inlineStr">
        <is>
          <t>multi-class</t>
        </is>
      </c>
      <c r="I11" s="6" t="inlineStr">
        <is>
          <t>KSDD2</t>
        </is>
      </c>
      <c r="J11" s="6" t="inlineStr">
        <is>
          <t>To verify</t>
        </is>
      </c>
      <c r="K11" s="6" t="inlineStr">
        <is>
          <t>N/A</t>
        </is>
      </c>
      <c r="L11" s="6" t="inlineStr">
        <is>
          <t>N/A</t>
        </is>
      </c>
      <c r="M11" s="6" t="inlineStr">
        <is>
          <t>N/A</t>
        </is>
      </c>
      <c r="N11" s="6" t="inlineStr">
        <is>
          <t>N/A</t>
        </is>
      </c>
      <c r="O11" s="6" t="inlineStr">
        <is>
          <t>N/A</t>
        </is>
      </c>
      <c r="P11" s="6" t="inlineStr">
        <is>
          <t>N/A</t>
        </is>
      </c>
      <c r="Q11" s="6" t="inlineStr">
        <is>
          <t>Transformer</t>
        </is>
      </c>
      <c r="R11" s="6" t="inlineStr">
        <is>
          <t>To verify KSDD2 numbers</t>
        </is>
      </c>
      <c r="S11" s="7">
        <f>HYPERLINK("https://arxiv.org/abs/2206.03687","Link")</f>
        <v/>
      </c>
      <c r="T11" s="7">
        <f>HYPERLINK("https://github.com/zhiyuanyou/UniAD","GitHub")</f>
        <v/>
      </c>
    </row>
  </sheetData>
  <autoFilter ref="A1:T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595959"/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5" customWidth="1" min="3" max="3"/>
    <col width="13" customWidth="1" min="4" max="4"/>
    <col width="10" customWidth="1" min="5" max="5"/>
    <col width="13" customWidth="1" min="6" max="6"/>
    <col width="22" customWidth="1" min="7" max="7"/>
    <col width="22" customWidth="1" min="8" max="8"/>
    <col width="18" customWidth="1" min="9" max="9"/>
    <col width="28" customWidth="1" min="10" max="10"/>
    <col width="10" customWidth="1" min="11" max="11"/>
    <col width="10" customWidth="1" min="12" max="12"/>
    <col width="13" customWidth="1" min="13" max="13"/>
    <col width="11" customWidth="1" min="14" max="14"/>
    <col width="14" customWidth="1" min="15" max="15"/>
    <col width="22" customWidth="1" min="16" max="16"/>
    <col width="22" customWidth="1" min="17" max="17"/>
    <col width="45" customWidth="1" min="18" max="18"/>
    <col width="18" customWidth="1" min="19" max="19"/>
    <col width="18" customWidth="1" min="20" max="20"/>
  </cols>
  <sheetData>
    <row r="1" ht="36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合成類型</t>
        </is>
      </c>
      <c r="H1" s="1" t="inlineStr">
        <is>
          <t>任務設定</t>
        </is>
      </c>
      <c r="I1" s="1" t="inlineStr">
        <is>
          <t>資料集</t>
        </is>
      </c>
      <c r="J1" s="1" t="inlineStr">
        <is>
          <t>Split/Protocol</t>
        </is>
      </c>
      <c r="K1" s="1" t="inlineStr">
        <is>
          <t>I-AUROC</t>
        </is>
      </c>
      <c r="L1" s="1" t="inlineStr">
        <is>
          <t>P-AUROC</t>
        </is>
      </c>
      <c r="M1" s="1" t="inlineStr">
        <is>
          <t>AUPRO/PRO</t>
        </is>
      </c>
      <c r="N1" s="1" t="inlineStr">
        <is>
          <t>AP/AUPRC</t>
        </is>
      </c>
      <c r="O1" s="1" t="inlineStr">
        <is>
          <t>F1/Dice/IoU</t>
        </is>
      </c>
      <c r="P1" s="1" t="inlineStr">
        <is>
          <t>合成品質指標</t>
        </is>
      </c>
      <c r="Q1" s="1" t="inlineStr">
        <is>
          <t>Backbone/Detector</t>
        </is>
      </c>
      <c r="R1" s="1" t="inlineStr">
        <is>
          <t>備註(特色/可比性)</t>
        </is>
      </c>
      <c r="S1" s="1" t="inlineStr">
        <is>
          <t>連結</t>
        </is>
      </c>
      <c r="T1" s="1" t="inlineStr">
        <is>
          <t>GitHub</t>
        </is>
      </c>
    </row>
    <row r="2" ht="60" customHeight="1">
      <c r="A2" s="6" t="inlineStr">
        <is>
          <t>Downstream Synthesis-based AD / Segmentation</t>
        </is>
      </c>
      <c r="B2" s="6" t="inlineStr">
        <is>
          <t>PatchCore</t>
        </is>
      </c>
      <c r="C2" s="6" t="inlineStr">
        <is>
          <t>Roth et al.</t>
        </is>
      </c>
      <c r="D2" s="6" t="inlineStr">
        <is>
          <t>CVPR 2022</t>
        </is>
      </c>
      <c r="E2" s="6" t="inlineStr">
        <is>
          <t>2022-00</t>
        </is>
      </c>
      <c r="F2" s="6" t="inlineStr">
        <is>
          <t>Published</t>
        </is>
      </c>
      <c r="G2" s="6" t="inlineStr">
        <is>
          <t>memory bank</t>
        </is>
      </c>
      <c r="H2" s="6" t="inlineStr">
        <is>
          <t>unsupervised</t>
        </is>
      </c>
      <c r="I2" s="6" t="inlineStr">
        <is>
          <t>Magnetic Tile Defects</t>
        </is>
      </c>
      <c r="J2" s="6" t="inlineStr">
        <is>
          <t>6 categories; To verify</t>
        </is>
      </c>
      <c r="K2" s="6" t="inlineStr">
        <is>
          <t>N/A</t>
        </is>
      </c>
      <c r="L2" s="6" t="inlineStr">
        <is>
          <t>N/A</t>
        </is>
      </c>
      <c r="M2" s="6" t="inlineStr">
        <is>
          <t>N/A</t>
        </is>
      </c>
      <c r="N2" s="6" t="inlineStr">
        <is>
          <t>N/A</t>
        </is>
      </c>
      <c r="O2" s="6" t="inlineStr">
        <is>
          <t>N/A</t>
        </is>
      </c>
      <c r="P2" s="6" t="inlineStr">
        <is>
          <t>N/A</t>
        </is>
      </c>
      <c r="Q2" s="6" t="inlineStr">
        <is>
          <t>WideResNet50</t>
        </is>
      </c>
      <c r="R2" s="6" t="inlineStr">
        <is>
          <t>To verify MTD numbers; small specialized dataset</t>
        </is>
      </c>
      <c r="S2" s="7">
        <f>HYPERLINK("https://arxiv.org/abs/2106.08265","Link")</f>
        <v/>
      </c>
      <c r="T2" s="7">
        <f>HYPERLINK("https://github.com/amazon-science/patchcore-inspection","GitHub")</f>
        <v/>
      </c>
    </row>
    <row r="3" ht="60" customHeight="1">
      <c r="A3" s="10" t="inlineStr">
        <is>
          <t>Hand-crafted / Rule-based Anomaly Synthesis</t>
        </is>
      </c>
      <c r="B3" s="10" t="inlineStr">
        <is>
          <t>DRAEM</t>
        </is>
      </c>
      <c r="C3" s="10" t="inlineStr">
        <is>
          <t>Zavrtanik et al.</t>
        </is>
      </c>
      <c r="D3" s="10" t="inlineStr">
        <is>
          <t>ICCV 2021</t>
        </is>
      </c>
      <c r="E3" s="10" t="inlineStr">
        <is>
          <t>2021-08</t>
        </is>
      </c>
      <c r="F3" s="10" t="inlineStr">
        <is>
          <t>Published</t>
        </is>
      </c>
      <c r="G3" s="10" t="inlineStr">
        <is>
          <t>Perlin + DTD texture</t>
        </is>
      </c>
      <c r="H3" s="10" t="inlineStr">
        <is>
          <t>unsupervised</t>
        </is>
      </c>
      <c r="I3" s="10" t="inlineStr">
        <is>
          <t>Magnetic Tile Defects</t>
        </is>
      </c>
      <c r="J3" s="10" t="inlineStr">
        <is>
          <t>To verify</t>
        </is>
      </c>
      <c r="K3" s="10" t="inlineStr">
        <is>
          <t>N/A</t>
        </is>
      </c>
      <c r="L3" s="10" t="inlineStr">
        <is>
          <t>N/A</t>
        </is>
      </c>
      <c r="M3" s="10" t="inlineStr">
        <is>
          <t>N/A</t>
        </is>
      </c>
      <c r="N3" s="10" t="inlineStr">
        <is>
          <t>N/A</t>
        </is>
      </c>
      <c r="O3" s="10" t="inlineStr">
        <is>
          <t>N/A</t>
        </is>
      </c>
      <c r="P3" s="10" t="inlineStr">
        <is>
          <t>N/A</t>
        </is>
      </c>
      <c r="Q3" s="10" t="inlineStr">
        <is>
          <t>U-Net</t>
        </is>
      </c>
      <c r="R3" s="10" t="inlineStr">
        <is>
          <t>To verify MTD numbers</t>
        </is>
      </c>
      <c r="S3" s="11">
        <f>HYPERLINK("https://arxiv.org/abs/2108.07610","Link")</f>
        <v/>
      </c>
      <c r="T3" s="11">
        <f>HYPERLINK("https://github.com/VitjanZ/DRAEM","GitHub")</f>
        <v/>
      </c>
    </row>
    <row r="4" ht="60" customHeight="1">
      <c r="A4" s="6" t="inlineStr">
        <is>
          <t>Downstream Synthesis-based AD / Segmentation</t>
        </is>
      </c>
      <c r="B4" s="6" t="inlineStr">
        <is>
          <t>PaDiM</t>
        </is>
      </c>
      <c r="C4" s="6" t="inlineStr">
        <is>
          <t>Defard et al.</t>
        </is>
      </c>
      <c r="D4" s="6" t="inlineStr">
        <is>
          <t>ICPR 2021</t>
        </is>
      </c>
      <c r="E4" s="6" t="inlineStr">
        <is>
          <t>2021-00</t>
        </is>
      </c>
      <c r="F4" s="6" t="inlineStr">
        <is>
          <t>Published</t>
        </is>
      </c>
      <c r="G4" s="6" t="inlineStr">
        <is>
          <t>patch distribution</t>
        </is>
      </c>
      <c r="H4" s="6" t="inlineStr">
        <is>
          <t>unsupervised</t>
        </is>
      </c>
      <c r="I4" s="6" t="inlineStr">
        <is>
          <t>Magnetic Tile Defects</t>
        </is>
      </c>
      <c r="J4" s="6" t="inlineStr">
        <is>
          <t>To verify</t>
        </is>
      </c>
      <c r="K4" s="6" t="inlineStr">
        <is>
          <t>N/A</t>
        </is>
      </c>
      <c r="L4" s="6" t="inlineStr">
        <is>
          <t>N/A</t>
        </is>
      </c>
      <c r="M4" s="6" t="inlineStr">
        <is>
          <t>N/A</t>
        </is>
      </c>
      <c r="N4" s="6" t="inlineStr">
        <is>
          <t>N/A</t>
        </is>
      </c>
      <c r="O4" s="6" t="inlineStr">
        <is>
          <t>N/A</t>
        </is>
      </c>
      <c r="P4" s="6" t="inlineStr">
        <is>
          <t>N/A</t>
        </is>
      </c>
      <c r="Q4" s="6" t="inlineStr">
        <is>
          <t>WideResNet50</t>
        </is>
      </c>
      <c r="R4" s="6" t="inlineStr">
        <is>
          <t>To verify MTD numbers</t>
        </is>
      </c>
      <c r="S4" s="7">
        <f>HYPERLINK("https://arxiv.org/abs/2011.08785","Link")</f>
        <v/>
      </c>
      <c r="T4" s="6" t="inlineStr">
        <is>
          <t>N/A</t>
        </is>
      </c>
    </row>
    <row r="5" ht="60" customHeight="1">
      <c r="A5" s="8" t="inlineStr">
        <is>
          <t>Distribution-hypothesis / Feature-space Anomaly Synthesis</t>
        </is>
      </c>
      <c r="B5" s="8" t="inlineStr">
        <is>
          <t>SimpleNet</t>
        </is>
      </c>
      <c r="C5" s="8" t="inlineStr">
        <is>
          <t>Liu et al.</t>
        </is>
      </c>
      <c r="D5" s="8" t="inlineStr">
        <is>
          <t>CVPR 2023</t>
        </is>
      </c>
      <c r="E5" s="8" t="inlineStr">
        <is>
          <t>2023-03</t>
        </is>
      </c>
      <c r="F5" s="8" t="inlineStr">
        <is>
          <t>Published</t>
        </is>
      </c>
      <c r="G5" s="8" t="inlineStr">
        <is>
          <t>Gaussian noise feature-space</t>
        </is>
      </c>
      <c r="H5" s="8" t="inlineStr">
        <is>
          <t>unsupervised</t>
        </is>
      </c>
      <c r="I5" s="8" t="inlineStr">
        <is>
          <t>Magnetic Tile Defects</t>
        </is>
      </c>
      <c r="J5" s="8" t="inlineStr">
        <is>
          <t>To verify</t>
        </is>
      </c>
      <c r="K5" s="8" t="inlineStr">
        <is>
          <t>N/A</t>
        </is>
      </c>
      <c r="L5" s="8" t="inlineStr">
        <is>
          <t>N/A</t>
        </is>
      </c>
      <c r="M5" s="8" t="inlineStr">
        <is>
          <t>N/A</t>
        </is>
      </c>
      <c r="N5" s="8" t="inlineStr">
        <is>
          <t>N/A</t>
        </is>
      </c>
      <c r="O5" s="8" t="inlineStr">
        <is>
          <t>N/A</t>
        </is>
      </c>
      <c r="P5" s="8" t="inlineStr">
        <is>
          <t>N/A</t>
        </is>
      </c>
      <c r="Q5" s="8" t="inlineStr">
        <is>
          <t>WideResNet50</t>
        </is>
      </c>
      <c r="R5" s="8" t="inlineStr">
        <is>
          <t>To verify MTD numbers</t>
        </is>
      </c>
      <c r="S5" s="9">
        <f>HYPERLINK("https://arxiv.org/abs/2303.15140","Link")</f>
        <v/>
      </c>
      <c r="T5" s="9">
        <f>HYPERLINK("https://github.com/DonaldRR/SimpleNet","GitHub")</f>
        <v/>
      </c>
    </row>
    <row r="6" ht="60" customHeight="1">
      <c r="A6" s="4" t="inlineStr">
        <is>
          <t>Generative-model-based Anomaly Synthesis</t>
        </is>
      </c>
      <c r="B6" s="4" t="inlineStr">
        <is>
          <t>RealNet</t>
        </is>
      </c>
      <c r="C6" s="4" t="inlineStr">
        <is>
          <t>Zhang et al.</t>
        </is>
      </c>
      <c r="D6" s="4" t="inlineStr">
        <is>
          <t>CVPR 2024</t>
        </is>
      </c>
      <c r="E6" s="4" t="inlineStr">
        <is>
          <t>2024-03</t>
        </is>
      </c>
      <c r="F6" s="4" t="inlineStr">
        <is>
          <t>Published</t>
        </is>
      </c>
      <c r="G6" s="4" t="inlineStr">
        <is>
          <t>diffusion SDAS</t>
        </is>
      </c>
      <c r="H6" s="4" t="inlineStr">
        <is>
          <t>unsupervised</t>
        </is>
      </c>
      <c r="I6" s="4" t="inlineStr">
        <is>
          <t>Magnetic Tile Defects</t>
        </is>
      </c>
      <c r="J6" s="4" t="inlineStr">
        <is>
          <t>To verify</t>
        </is>
      </c>
      <c r="K6" s="4" t="inlineStr">
        <is>
          <t>N/A</t>
        </is>
      </c>
      <c r="L6" s="4" t="inlineStr">
        <is>
          <t>N/A</t>
        </is>
      </c>
      <c r="M6" s="4" t="inlineStr">
        <is>
          <t>N/A</t>
        </is>
      </c>
      <c r="N6" s="4" t="inlineStr">
        <is>
          <t>N/A</t>
        </is>
      </c>
      <c r="O6" s="4" t="inlineStr">
        <is>
          <t>N/A</t>
        </is>
      </c>
      <c r="P6" s="4" t="inlineStr">
        <is>
          <t>N/A</t>
        </is>
      </c>
      <c r="Q6" s="4" t="inlineStr">
        <is>
          <t>WideResNet50</t>
        </is>
      </c>
      <c r="R6" s="4" t="inlineStr">
        <is>
          <t>To verify MTD numbers</t>
        </is>
      </c>
      <c r="S6" s="5">
        <f>HYPERLINK("https://arxiv.org/abs/2403.05897","Link")</f>
        <v/>
      </c>
      <c r="T6" s="5">
        <f>HYPERLINK("https://github.com/cnulab/RealNet","GitHub")</f>
        <v/>
      </c>
    </row>
    <row r="7" ht="60" customHeight="1">
      <c r="A7" s="6" t="inlineStr">
        <is>
          <t>Downstream Synthesis-based AD / Segmentation</t>
        </is>
      </c>
      <c r="B7" s="6" t="inlineStr">
        <is>
          <t>EfficientAD</t>
        </is>
      </c>
      <c r="C7" s="6" t="inlineStr">
        <is>
          <t>Batzner et al.</t>
        </is>
      </c>
      <c r="D7" s="6" t="inlineStr">
        <is>
          <t>WACV 2024</t>
        </is>
      </c>
      <c r="E7" s="6" t="inlineStr">
        <is>
          <t>2024-00</t>
        </is>
      </c>
      <c r="F7" s="6" t="inlineStr">
        <is>
          <t>Published</t>
        </is>
      </c>
      <c r="G7" s="6" t="inlineStr">
        <is>
          <t>teacher-student + autoencoder</t>
        </is>
      </c>
      <c r="H7" s="6" t="inlineStr">
        <is>
          <t>unsupervised</t>
        </is>
      </c>
      <c r="I7" s="6" t="inlineStr">
        <is>
          <t>Magnetic Tile Defects</t>
        </is>
      </c>
      <c r="J7" s="6" t="inlineStr">
        <is>
          <t>To verify</t>
        </is>
      </c>
      <c r="K7" s="6" t="inlineStr">
        <is>
          <t>N/A</t>
        </is>
      </c>
      <c r="L7" s="6" t="inlineStr">
        <is>
          <t>N/A</t>
        </is>
      </c>
      <c r="M7" s="6" t="inlineStr">
        <is>
          <t>N/A</t>
        </is>
      </c>
      <c r="N7" s="6" t="inlineStr">
        <is>
          <t>N/A</t>
        </is>
      </c>
      <c r="O7" s="6" t="inlineStr">
        <is>
          <t>N/A</t>
        </is>
      </c>
      <c r="P7" s="6" t="inlineStr">
        <is>
          <t>N/A</t>
        </is>
      </c>
      <c r="Q7" s="6" t="inlineStr">
        <is>
          <t>PDN + autoencoder</t>
        </is>
      </c>
      <c r="R7" s="6" t="inlineStr">
        <is>
          <t>To verify MTD numbers</t>
        </is>
      </c>
      <c r="S7" s="7">
        <f>HYPERLINK("https://arxiv.org/abs/2303.14535","Link")</f>
        <v/>
      </c>
      <c r="T7" s="6" t="inlineStr">
        <is>
          <t>N/A</t>
        </is>
      </c>
    </row>
    <row r="8" ht="60" customHeight="1">
      <c r="A8" s="8" t="inlineStr">
        <is>
          <t>Distribution-hypothesis / Feature-space Anomaly Synthesis</t>
        </is>
      </c>
      <c r="B8" s="8" t="inlineStr">
        <is>
          <t>GLASS</t>
        </is>
      </c>
      <c r="C8" s="8" t="inlineStr">
        <is>
          <t>Chen et al.</t>
        </is>
      </c>
      <c r="D8" s="8" t="inlineStr">
        <is>
          <t>ECCV 2024</t>
        </is>
      </c>
      <c r="E8" s="8" t="inlineStr">
        <is>
          <t>2024-07</t>
        </is>
      </c>
      <c r="F8" s="8" t="inlineStr">
        <is>
          <t>Published</t>
        </is>
      </c>
      <c r="G8" s="8" t="inlineStr">
        <is>
          <t>gradient-ascent + Perlin</t>
        </is>
      </c>
      <c r="H8" s="8" t="inlineStr">
        <is>
          <t>unsupervised</t>
        </is>
      </c>
      <c r="I8" s="8" t="inlineStr">
        <is>
          <t>Magnetic Tile Defects</t>
        </is>
      </c>
      <c r="J8" s="8" t="inlineStr">
        <is>
          <t>To verify</t>
        </is>
      </c>
      <c r="K8" s="8" t="inlineStr">
        <is>
          <t>N/A</t>
        </is>
      </c>
      <c r="L8" s="8" t="inlineStr">
        <is>
          <t>N/A</t>
        </is>
      </c>
      <c r="M8" s="8" t="inlineStr">
        <is>
          <t>N/A</t>
        </is>
      </c>
      <c r="N8" s="8" t="inlineStr">
        <is>
          <t>N/A</t>
        </is>
      </c>
      <c r="O8" s="8" t="inlineStr">
        <is>
          <t>N/A</t>
        </is>
      </c>
      <c r="P8" s="8" t="inlineStr">
        <is>
          <t>N/A</t>
        </is>
      </c>
      <c r="Q8" s="8" t="inlineStr">
        <is>
          <t>WideResNet50</t>
        </is>
      </c>
      <c r="R8" s="8" t="inlineStr">
        <is>
          <t>ECCV 2024; To verify MTD numbers</t>
        </is>
      </c>
      <c r="S8" s="9">
        <f>HYPERLINK("https://arxiv.org/abs/2407.09359","Link")</f>
        <v/>
      </c>
      <c r="T8" s="9">
        <f>HYPERLINK("https://github.com/cqylunlun/GLASS","GitHub")</f>
        <v/>
      </c>
    </row>
    <row r="9" ht="60" customHeight="1">
      <c r="A9" s="6" t="inlineStr">
        <is>
          <t>Downstream Synthesis-based AD / Segmentation</t>
        </is>
      </c>
      <c r="B9" s="6" t="inlineStr">
        <is>
          <t>FastFlow</t>
        </is>
      </c>
      <c r="C9" s="6" t="inlineStr">
        <is>
          <t>Yu et al.</t>
        </is>
      </c>
      <c r="D9" s="6" t="inlineStr">
        <is>
          <t>arXiv</t>
        </is>
      </c>
      <c r="E9" s="6" t="inlineStr">
        <is>
          <t>2022-00</t>
        </is>
      </c>
      <c r="F9" s="6" t="inlineStr">
        <is>
          <t>arXiv / Reproduced</t>
        </is>
      </c>
      <c r="G9" s="6" t="inlineStr">
        <is>
          <t>normalizing flow</t>
        </is>
      </c>
      <c r="H9" s="6" t="inlineStr">
        <is>
          <t>unsupervised</t>
        </is>
      </c>
      <c r="I9" s="6" t="inlineStr">
        <is>
          <t>Magnetic Tile Defects</t>
        </is>
      </c>
      <c r="J9" s="6" t="inlineStr">
        <is>
          <t>To verify</t>
        </is>
      </c>
      <c r="K9" s="6" t="inlineStr">
        <is>
          <t>N/A</t>
        </is>
      </c>
      <c r="L9" s="6" t="inlineStr">
        <is>
          <t>N/A</t>
        </is>
      </c>
      <c r="M9" s="6" t="inlineStr">
        <is>
          <t>N/A</t>
        </is>
      </c>
      <c r="N9" s="6" t="inlineStr">
        <is>
          <t>N/A</t>
        </is>
      </c>
      <c r="O9" s="6" t="inlineStr">
        <is>
          <t>N/A</t>
        </is>
      </c>
      <c r="P9" s="6" t="inlineStr">
        <is>
          <t>N/A</t>
        </is>
      </c>
      <c r="Q9" s="6" t="inlineStr">
        <is>
          <t>ResNet + 2D NF</t>
        </is>
      </c>
      <c r="R9" s="6" t="inlineStr">
        <is>
          <t>To verify MTD numbers; Third-party reproduction</t>
        </is>
      </c>
      <c r="S9" s="7">
        <f>HYPERLINK("https://arxiv.org/abs/2111.07677","Link")</f>
        <v/>
      </c>
      <c r="T9" s="6" t="inlineStr">
        <is>
          <t>N/A</t>
        </is>
      </c>
    </row>
    <row r="10" ht="60" customHeight="1">
      <c r="A10" s="6" t="inlineStr">
        <is>
          <t>Downstream Synthesis-based AD / Segmentation</t>
        </is>
      </c>
      <c r="B10" s="6" t="inlineStr">
        <is>
          <t>UniAD</t>
        </is>
      </c>
      <c r="C10" s="6" t="inlineStr">
        <is>
          <t>You et al.</t>
        </is>
      </c>
      <c r="D10" s="6" t="inlineStr">
        <is>
          <t>NeurIPS 2022</t>
        </is>
      </c>
      <c r="E10" s="6" t="inlineStr">
        <is>
          <t>2022-06</t>
        </is>
      </c>
      <c r="F10" s="6" t="inlineStr">
        <is>
          <t>Published</t>
        </is>
      </c>
      <c r="G10" s="6" t="inlineStr">
        <is>
          <t>multi-class reconstruction</t>
        </is>
      </c>
      <c r="H10" s="6" t="inlineStr">
        <is>
          <t>multi-class</t>
        </is>
      </c>
      <c r="I10" s="6" t="inlineStr">
        <is>
          <t>Magnetic Tile Defects</t>
        </is>
      </c>
      <c r="J10" s="6" t="inlineStr">
        <is>
          <t>To verify</t>
        </is>
      </c>
      <c r="K10" s="6" t="inlineStr">
        <is>
          <t>N/A</t>
        </is>
      </c>
      <c r="L10" s="6" t="inlineStr">
        <is>
          <t>N/A</t>
        </is>
      </c>
      <c r="M10" s="6" t="inlineStr">
        <is>
          <t>N/A</t>
        </is>
      </c>
      <c r="N10" s="6" t="inlineStr">
        <is>
          <t>N/A</t>
        </is>
      </c>
      <c r="O10" s="6" t="inlineStr">
        <is>
          <t>N/A</t>
        </is>
      </c>
      <c r="P10" s="6" t="inlineStr">
        <is>
          <t>N/A</t>
        </is>
      </c>
      <c r="Q10" s="6" t="inlineStr">
        <is>
          <t>Transformer</t>
        </is>
      </c>
      <c r="R10" s="6" t="inlineStr">
        <is>
          <t>To verify MTD numbers</t>
        </is>
      </c>
      <c r="S10" s="7">
        <f>HYPERLINK("https://arxiv.org/abs/2206.03687","Link")</f>
        <v/>
      </c>
      <c r="T10" s="7">
        <f>HYPERLINK("https://github.com/zhiyuanyou/UniAD","GitHub")</f>
        <v/>
      </c>
    </row>
    <row r="11" ht="60" customHeight="1">
      <c r="A11" s="6" t="inlineStr">
        <is>
          <t>Downstream Synthesis-based AD / Segmentation</t>
        </is>
      </c>
      <c r="B11" s="6" t="inlineStr">
        <is>
          <t>DeSTSeg</t>
        </is>
      </c>
      <c r="C11" s="6" t="inlineStr">
        <is>
          <t>Zhang et al.</t>
        </is>
      </c>
      <c r="D11" s="6" t="inlineStr">
        <is>
          <t>CVPR 2023</t>
        </is>
      </c>
      <c r="E11" s="6" t="inlineStr">
        <is>
          <t>2023-00</t>
        </is>
      </c>
      <c r="F11" s="6" t="inlineStr">
        <is>
          <t>Published</t>
        </is>
      </c>
      <c r="G11" s="6" t="inlineStr">
        <is>
          <t>Perlin + texture synthesis</t>
        </is>
      </c>
      <c r="H11" s="6" t="inlineStr">
        <is>
          <t>unsupervised</t>
        </is>
      </c>
      <c r="I11" s="6" t="inlineStr">
        <is>
          <t>Magnetic Tile Defects</t>
        </is>
      </c>
      <c r="J11" s="6" t="inlineStr">
        <is>
          <t>To verify</t>
        </is>
      </c>
      <c r="K11" s="6" t="inlineStr">
        <is>
          <t>N/A</t>
        </is>
      </c>
      <c r="L11" s="6" t="inlineStr">
        <is>
          <t>N/A</t>
        </is>
      </c>
      <c r="M11" s="6" t="inlineStr">
        <is>
          <t>N/A</t>
        </is>
      </c>
      <c r="N11" s="6" t="inlineStr">
        <is>
          <t>N/A</t>
        </is>
      </c>
      <c r="O11" s="6" t="inlineStr">
        <is>
          <t>N/A</t>
        </is>
      </c>
      <c r="P11" s="6" t="inlineStr">
        <is>
          <t>N/A</t>
        </is>
      </c>
      <c r="Q11" s="6" t="inlineStr">
        <is>
          <t>WideResNet101</t>
        </is>
      </c>
      <c r="R11" s="6" t="inlineStr">
        <is>
          <t>To verify MTD numbers</t>
        </is>
      </c>
      <c r="S11" s="7">
        <f>HYPERLINK("https://arxiv.org/abs/2211.11317","Link")</f>
        <v/>
      </c>
      <c r="T11" s="7">
        <f>HYPERLINK("https://github.com/apple/ml-destseg","GitHub")</f>
        <v/>
      </c>
    </row>
  </sheetData>
  <autoFilter ref="A1:T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595959"/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5" customWidth="1" min="3" max="3"/>
    <col width="13" customWidth="1" min="4" max="4"/>
    <col width="10" customWidth="1" min="5" max="5"/>
    <col width="13" customWidth="1" min="6" max="6"/>
    <col width="22" customWidth="1" min="7" max="7"/>
    <col width="22" customWidth="1" min="8" max="8"/>
    <col width="18" customWidth="1" min="9" max="9"/>
    <col width="28" customWidth="1" min="10" max="10"/>
    <col width="10" customWidth="1" min="11" max="11"/>
    <col width="10" customWidth="1" min="12" max="12"/>
    <col width="13" customWidth="1" min="13" max="13"/>
    <col width="11" customWidth="1" min="14" max="14"/>
    <col width="14" customWidth="1" min="15" max="15"/>
    <col width="22" customWidth="1" min="16" max="16"/>
    <col width="22" customWidth="1" min="17" max="17"/>
    <col width="45" customWidth="1" min="18" max="18"/>
    <col width="18" customWidth="1" min="19" max="19"/>
    <col width="18" customWidth="1" min="20" max="20"/>
  </cols>
  <sheetData>
    <row r="1" ht="36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合成類型</t>
        </is>
      </c>
      <c r="H1" s="1" t="inlineStr">
        <is>
          <t>任務設定</t>
        </is>
      </c>
      <c r="I1" s="1" t="inlineStr">
        <is>
          <t>資料集</t>
        </is>
      </c>
      <c r="J1" s="1" t="inlineStr">
        <is>
          <t>Split/Protocol</t>
        </is>
      </c>
      <c r="K1" s="1" t="inlineStr">
        <is>
          <t>I-AUROC</t>
        </is>
      </c>
      <c r="L1" s="1" t="inlineStr">
        <is>
          <t>P-AUROC</t>
        </is>
      </c>
      <c r="M1" s="1" t="inlineStr">
        <is>
          <t>AUPRO/PRO</t>
        </is>
      </c>
      <c r="N1" s="1" t="inlineStr">
        <is>
          <t>AP/AUPRC</t>
        </is>
      </c>
      <c r="O1" s="1" t="inlineStr">
        <is>
          <t>F1/Dice/IoU</t>
        </is>
      </c>
      <c r="P1" s="1" t="inlineStr">
        <is>
          <t>合成品質指標</t>
        </is>
      </c>
      <c r="Q1" s="1" t="inlineStr">
        <is>
          <t>Backbone/Detector</t>
        </is>
      </c>
      <c r="R1" s="1" t="inlineStr">
        <is>
          <t>備註(特色/可比性)</t>
        </is>
      </c>
      <c r="S1" s="1" t="inlineStr">
        <is>
          <t>連結</t>
        </is>
      </c>
      <c r="T1" s="1" t="inlineStr">
        <is>
          <t>GitHub</t>
        </is>
      </c>
    </row>
    <row r="2" ht="60" customHeight="1">
      <c r="A2" s="6" t="inlineStr">
        <is>
          <t>Downstream Synthesis-based AD / Segmentation</t>
        </is>
      </c>
      <c r="B2" s="6" t="inlineStr">
        <is>
          <t>PatchCore</t>
        </is>
      </c>
      <c r="C2" s="6" t="inlineStr">
        <is>
          <t>Roth et al.</t>
        </is>
      </c>
      <c r="D2" s="6" t="inlineStr">
        <is>
          <t>CVPR 2022</t>
        </is>
      </c>
      <c r="E2" s="6" t="inlineStr">
        <is>
          <t>2022-00</t>
        </is>
      </c>
      <c r="F2" s="6" t="inlineStr">
        <is>
          <t>Published</t>
        </is>
      </c>
      <c r="G2" s="6" t="inlineStr">
        <is>
          <t>memory bank</t>
        </is>
      </c>
      <c r="H2" s="6" t="inlineStr">
        <is>
          <t>unsupervised</t>
        </is>
      </c>
      <c r="I2" s="6" t="inlineStr">
        <is>
          <t>BTech</t>
        </is>
      </c>
      <c r="J2" s="6" t="inlineStr">
        <is>
          <t>3 categories; class-separated; To verify</t>
        </is>
      </c>
      <c r="K2" s="6" t="inlineStr">
        <is>
          <t>N/A</t>
        </is>
      </c>
      <c r="L2" s="6" t="inlineStr">
        <is>
          <t>N/A</t>
        </is>
      </c>
      <c r="M2" s="6" t="inlineStr">
        <is>
          <t>N/A</t>
        </is>
      </c>
      <c r="N2" s="6" t="inlineStr">
        <is>
          <t>N/A</t>
        </is>
      </c>
      <c r="O2" s="6" t="inlineStr">
        <is>
          <t>N/A</t>
        </is>
      </c>
      <c r="P2" s="6" t="inlineStr">
        <is>
          <t>N/A</t>
        </is>
      </c>
      <c r="Q2" s="6" t="inlineStr">
        <is>
          <t>WideResNet50</t>
        </is>
      </c>
      <c r="R2" s="6" t="inlineStr">
        <is>
          <t>To verify BTech numbers</t>
        </is>
      </c>
      <c r="S2" s="7">
        <f>HYPERLINK("https://arxiv.org/abs/2106.08265","Link")</f>
        <v/>
      </c>
      <c r="T2" s="7">
        <f>HYPERLINK("https://github.com/amazon-science/patchcore-inspection","GitHub")</f>
        <v/>
      </c>
    </row>
    <row r="3" ht="60" customHeight="1">
      <c r="A3" s="10" t="inlineStr">
        <is>
          <t>Hand-crafted / Rule-based Anomaly Synthesis</t>
        </is>
      </c>
      <c r="B3" s="10" t="inlineStr">
        <is>
          <t>DRAEM</t>
        </is>
      </c>
      <c r="C3" s="10" t="inlineStr">
        <is>
          <t>Zavrtanik et al.</t>
        </is>
      </c>
      <c r="D3" s="10" t="inlineStr">
        <is>
          <t>ICCV 2021</t>
        </is>
      </c>
      <c r="E3" s="10" t="inlineStr">
        <is>
          <t>2021-08</t>
        </is>
      </c>
      <c r="F3" s="10" t="inlineStr">
        <is>
          <t>Published</t>
        </is>
      </c>
      <c r="G3" s="10" t="inlineStr">
        <is>
          <t>Perlin + DTD texture</t>
        </is>
      </c>
      <c r="H3" s="10" t="inlineStr">
        <is>
          <t>unsupervised</t>
        </is>
      </c>
      <c r="I3" s="10" t="inlineStr">
        <is>
          <t>BTech</t>
        </is>
      </c>
      <c r="J3" s="10" t="inlineStr">
        <is>
          <t>3 categories; To verify</t>
        </is>
      </c>
      <c r="K3" s="10" t="inlineStr">
        <is>
          <t>N/A</t>
        </is>
      </c>
      <c r="L3" s="10" t="inlineStr">
        <is>
          <t>N/A</t>
        </is>
      </c>
      <c r="M3" s="10" t="inlineStr">
        <is>
          <t>N/A</t>
        </is>
      </c>
      <c r="N3" s="10" t="inlineStr">
        <is>
          <t>N/A</t>
        </is>
      </c>
      <c r="O3" s="10" t="inlineStr">
        <is>
          <t>N/A</t>
        </is>
      </c>
      <c r="P3" s="10" t="inlineStr">
        <is>
          <t>N/A</t>
        </is>
      </c>
      <c r="Q3" s="10" t="inlineStr">
        <is>
          <t>U-Net</t>
        </is>
      </c>
      <c r="R3" s="10" t="inlineStr">
        <is>
          <t>To verify BTech numbers</t>
        </is>
      </c>
      <c r="S3" s="11">
        <f>HYPERLINK("https://arxiv.org/abs/2108.07610","Link")</f>
        <v/>
      </c>
      <c r="T3" s="11">
        <f>HYPERLINK("https://github.com/VitjanZ/DRAEM","GitHub")</f>
        <v/>
      </c>
    </row>
    <row r="4" ht="60" customHeight="1">
      <c r="A4" s="6" t="inlineStr">
        <is>
          <t>Downstream Synthesis-based AD / Segmentation</t>
        </is>
      </c>
      <c r="B4" s="6" t="inlineStr">
        <is>
          <t>PaDiM</t>
        </is>
      </c>
      <c r="C4" s="6" t="inlineStr">
        <is>
          <t>Defard et al.</t>
        </is>
      </c>
      <c r="D4" s="6" t="inlineStr">
        <is>
          <t>ICPR 2021</t>
        </is>
      </c>
      <c r="E4" s="6" t="inlineStr">
        <is>
          <t>2021-00</t>
        </is>
      </c>
      <c r="F4" s="6" t="inlineStr">
        <is>
          <t>Published</t>
        </is>
      </c>
      <c r="G4" s="6" t="inlineStr">
        <is>
          <t>patch distribution</t>
        </is>
      </c>
      <c r="H4" s="6" t="inlineStr">
        <is>
          <t>unsupervised</t>
        </is>
      </c>
      <c r="I4" s="6" t="inlineStr">
        <is>
          <t>BTech</t>
        </is>
      </c>
      <c r="J4" s="6" t="inlineStr">
        <is>
          <t>3 categories; To verify</t>
        </is>
      </c>
      <c r="K4" s="6" t="inlineStr">
        <is>
          <t>N/A</t>
        </is>
      </c>
      <c r="L4" s="6" t="inlineStr">
        <is>
          <t>N/A</t>
        </is>
      </c>
      <c r="M4" s="6" t="inlineStr">
        <is>
          <t>N/A</t>
        </is>
      </c>
      <c r="N4" s="6" t="inlineStr">
        <is>
          <t>N/A</t>
        </is>
      </c>
      <c r="O4" s="6" t="inlineStr">
        <is>
          <t>N/A</t>
        </is>
      </c>
      <c r="P4" s="6" t="inlineStr">
        <is>
          <t>N/A</t>
        </is>
      </c>
      <c r="Q4" s="6" t="inlineStr">
        <is>
          <t>WideResNet50</t>
        </is>
      </c>
      <c r="R4" s="6" t="inlineStr">
        <is>
          <t>To verify BTech numbers</t>
        </is>
      </c>
      <c r="S4" s="7">
        <f>HYPERLINK("https://arxiv.org/abs/2011.08785","Link")</f>
        <v/>
      </c>
      <c r="T4" s="6" t="inlineStr">
        <is>
          <t>N/A</t>
        </is>
      </c>
    </row>
    <row r="5" ht="60" customHeight="1">
      <c r="A5" s="8" t="inlineStr">
        <is>
          <t>Distribution-hypothesis / Feature-space Anomaly Synthesis</t>
        </is>
      </c>
      <c r="B5" s="8" t="inlineStr">
        <is>
          <t>SimpleNet</t>
        </is>
      </c>
      <c r="C5" s="8" t="inlineStr">
        <is>
          <t>Liu et al.</t>
        </is>
      </c>
      <c r="D5" s="8" t="inlineStr">
        <is>
          <t>CVPR 2023</t>
        </is>
      </c>
      <c r="E5" s="8" t="inlineStr">
        <is>
          <t>2023-03</t>
        </is>
      </c>
      <c r="F5" s="8" t="inlineStr">
        <is>
          <t>Published</t>
        </is>
      </c>
      <c r="G5" s="8" t="inlineStr">
        <is>
          <t>Gaussian noise feature-space</t>
        </is>
      </c>
      <c r="H5" s="8" t="inlineStr">
        <is>
          <t>unsupervised</t>
        </is>
      </c>
      <c r="I5" s="8" t="inlineStr">
        <is>
          <t>BTech</t>
        </is>
      </c>
      <c r="J5" s="8" t="inlineStr">
        <is>
          <t>3 categories; To verify</t>
        </is>
      </c>
      <c r="K5" s="8" t="inlineStr">
        <is>
          <t>N/A</t>
        </is>
      </c>
      <c r="L5" s="8" t="inlineStr">
        <is>
          <t>N/A</t>
        </is>
      </c>
      <c r="M5" s="8" t="inlineStr">
        <is>
          <t>N/A</t>
        </is>
      </c>
      <c r="N5" s="8" t="inlineStr">
        <is>
          <t>N/A</t>
        </is>
      </c>
      <c r="O5" s="8" t="inlineStr">
        <is>
          <t>N/A</t>
        </is>
      </c>
      <c r="P5" s="8" t="inlineStr">
        <is>
          <t>N/A</t>
        </is>
      </c>
      <c r="Q5" s="8" t="inlineStr">
        <is>
          <t>WideResNet50</t>
        </is>
      </c>
      <c r="R5" s="8" t="inlineStr">
        <is>
          <t>To verify BTech numbers</t>
        </is>
      </c>
      <c r="S5" s="9">
        <f>HYPERLINK("https://arxiv.org/abs/2303.15140","Link")</f>
        <v/>
      </c>
      <c r="T5" s="9">
        <f>HYPERLINK("https://github.com/DonaldRR/SimpleNet","GitHub")</f>
        <v/>
      </c>
    </row>
    <row r="6" ht="60" customHeight="1">
      <c r="A6" s="4" t="inlineStr">
        <is>
          <t>Generative-model-based Anomaly Synthesis</t>
        </is>
      </c>
      <c r="B6" s="4" t="inlineStr">
        <is>
          <t>RealNet</t>
        </is>
      </c>
      <c r="C6" s="4" t="inlineStr">
        <is>
          <t>Zhang et al.</t>
        </is>
      </c>
      <c r="D6" s="4" t="inlineStr">
        <is>
          <t>CVPR 2024</t>
        </is>
      </c>
      <c r="E6" s="4" t="inlineStr">
        <is>
          <t>2024-03</t>
        </is>
      </c>
      <c r="F6" s="4" t="inlineStr">
        <is>
          <t>Published</t>
        </is>
      </c>
      <c r="G6" s="4" t="inlineStr">
        <is>
          <t>diffusion SDAS</t>
        </is>
      </c>
      <c r="H6" s="4" t="inlineStr">
        <is>
          <t>unsupervised</t>
        </is>
      </c>
      <c r="I6" s="4" t="inlineStr">
        <is>
          <t>BTech</t>
        </is>
      </c>
      <c r="J6" s="4" t="inlineStr">
        <is>
          <t>3 categories; To verify</t>
        </is>
      </c>
      <c r="K6" s="4" t="inlineStr">
        <is>
          <t>N/A</t>
        </is>
      </c>
      <c r="L6" s="4" t="inlineStr">
        <is>
          <t>N/A</t>
        </is>
      </c>
      <c r="M6" s="4" t="inlineStr">
        <is>
          <t>N/A</t>
        </is>
      </c>
      <c r="N6" s="4" t="inlineStr">
        <is>
          <t>N/A</t>
        </is>
      </c>
      <c r="O6" s="4" t="inlineStr">
        <is>
          <t>N/A</t>
        </is>
      </c>
      <c r="P6" s="4" t="inlineStr">
        <is>
          <t>N/A</t>
        </is>
      </c>
      <c r="Q6" s="4" t="inlineStr">
        <is>
          <t>WideResNet50</t>
        </is>
      </c>
      <c r="R6" s="4" t="inlineStr">
        <is>
          <t>CVPR 2024; To verify BTech numbers</t>
        </is>
      </c>
      <c r="S6" s="5">
        <f>HYPERLINK("https://arxiv.org/abs/2403.05897","Link")</f>
        <v/>
      </c>
      <c r="T6" s="5">
        <f>HYPERLINK("https://github.com/cnulab/RealNet","GitHub")</f>
        <v/>
      </c>
    </row>
    <row r="7" ht="60" customHeight="1">
      <c r="A7" s="6" t="inlineStr">
        <is>
          <t>Downstream Synthesis-based AD / Segmentation</t>
        </is>
      </c>
      <c r="B7" s="6" t="inlineStr">
        <is>
          <t>EfficientAD</t>
        </is>
      </c>
      <c r="C7" s="6" t="inlineStr">
        <is>
          <t>Batzner et al.</t>
        </is>
      </c>
      <c r="D7" s="6" t="inlineStr">
        <is>
          <t>WACV 2024</t>
        </is>
      </c>
      <c r="E7" s="6" t="inlineStr">
        <is>
          <t>2024-00</t>
        </is>
      </c>
      <c r="F7" s="6" t="inlineStr">
        <is>
          <t>Published</t>
        </is>
      </c>
      <c r="G7" s="6" t="inlineStr">
        <is>
          <t>teacher-student + autoencoder</t>
        </is>
      </c>
      <c r="H7" s="6" t="inlineStr">
        <is>
          <t>unsupervised</t>
        </is>
      </c>
      <c r="I7" s="6" t="inlineStr">
        <is>
          <t>BTech</t>
        </is>
      </c>
      <c r="J7" s="6" t="inlineStr">
        <is>
          <t>3 categories; To verify</t>
        </is>
      </c>
      <c r="K7" s="6" t="inlineStr">
        <is>
          <t>N/A</t>
        </is>
      </c>
      <c r="L7" s="6" t="inlineStr">
        <is>
          <t>N/A</t>
        </is>
      </c>
      <c r="M7" s="6" t="inlineStr">
        <is>
          <t>N/A</t>
        </is>
      </c>
      <c r="N7" s="6" t="inlineStr">
        <is>
          <t>N/A</t>
        </is>
      </c>
      <c r="O7" s="6" t="inlineStr">
        <is>
          <t>N/A</t>
        </is>
      </c>
      <c r="P7" s="6" t="inlineStr">
        <is>
          <t>N/A</t>
        </is>
      </c>
      <c r="Q7" s="6" t="inlineStr">
        <is>
          <t>PDN + autoencoder</t>
        </is>
      </c>
      <c r="R7" s="6" t="inlineStr">
        <is>
          <t>To verify BTech numbers</t>
        </is>
      </c>
      <c r="S7" s="7">
        <f>HYPERLINK("https://arxiv.org/abs/2303.14535","Link")</f>
        <v/>
      </c>
      <c r="T7" s="6" t="inlineStr">
        <is>
          <t>N/A</t>
        </is>
      </c>
    </row>
    <row r="8" ht="60" customHeight="1">
      <c r="A8" s="8" t="inlineStr">
        <is>
          <t>Distribution-hypothesis / Feature-space Anomaly Synthesis</t>
        </is>
      </c>
      <c r="B8" s="8" t="inlineStr">
        <is>
          <t>GLASS</t>
        </is>
      </c>
      <c r="C8" s="8" t="inlineStr">
        <is>
          <t>Chen et al.</t>
        </is>
      </c>
      <c r="D8" s="8" t="inlineStr">
        <is>
          <t>ECCV 2024</t>
        </is>
      </c>
      <c r="E8" s="8" t="inlineStr">
        <is>
          <t>2024-07</t>
        </is>
      </c>
      <c r="F8" s="8" t="inlineStr">
        <is>
          <t>Published</t>
        </is>
      </c>
      <c r="G8" s="8" t="inlineStr">
        <is>
          <t>gradient-ascent + Perlin</t>
        </is>
      </c>
      <c r="H8" s="8" t="inlineStr">
        <is>
          <t>unsupervised</t>
        </is>
      </c>
      <c r="I8" s="8" t="inlineStr">
        <is>
          <t>BTech</t>
        </is>
      </c>
      <c r="J8" s="8" t="inlineStr">
        <is>
          <t>3 categories; To verify</t>
        </is>
      </c>
      <c r="K8" s="8" t="inlineStr">
        <is>
          <t>N/A</t>
        </is>
      </c>
      <c r="L8" s="8" t="inlineStr">
        <is>
          <t>N/A</t>
        </is>
      </c>
      <c r="M8" s="8" t="inlineStr">
        <is>
          <t>N/A</t>
        </is>
      </c>
      <c r="N8" s="8" t="inlineStr">
        <is>
          <t>N/A</t>
        </is>
      </c>
      <c r="O8" s="8" t="inlineStr">
        <is>
          <t>N/A</t>
        </is>
      </c>
      <c r="P8" s="8" t="inlineStr">
        <is>
          <t>N/A</t>
        </is>
      </c>
      <c r="Q8" s="8" t="inlineStr">
        <is>
          <t>WideResNet50</t>
        </is>
      </c>
      <c r="R8" s="8" t="inlineStr">
        <is>
          <t>ECCV 2024; To verify BTech numbers</t>
        </is>
      </c>
      <c r="S8" s="9">
        <f>HYPERLINK("https://arxiv.org/abs/2407.09359","Link")</f>
        <v/>
      </c>
      <c r="T8" s="9">
        <f>HYPERLINK("https://github.com/cqylunlun/GLASS","GitHub")</f>
        <v/>
      </c>
    </row>
    <row r="9" ht="60" customHeight="1">
      <c r="A9" s="6" t="inlineStr">
        <is>
          <t>Downstream Synthesis-based AD / Segmentation</t>
        </is>
      </c>
      <c r="B9" s="6" t="inlineStr">
        <is>
          <t>FastFlow</t>
        </is>
      </c>
      <c r="C9" s="6" t="inlineStr">
        <is>
          <t>Yu et al.</t>
        </is>
      </c>
      <c r="D9" s="6" t="inlineStr">
        <is>
          <t>arXiv</t>
        </is>
      </c>
      <c r="E9" s="6" t="inlineStr">
        <is>
          <t>2022-00</t>
        </is>
      </c>
      <c r="F9" s="6" t="inlineStr">
        <is>
          <t>arXiv / Reproduced</t>
        </is>
      </c>
      <c r="G9" s="6" t="inlineStr">
        <is>
          <t>normalizing flow</t>
        </is>
      </c>
      <c r="H9" s="6" t="inlineStr">
        <is>
          <t>unsupervised</t>
        </is>
      </c>
      <c r="I9" s="6" t="inlineStr">
        <is>
          <t>BTech</t>
        </is>
      </c>
      <c r="J9" s="6" t="inlineStr">
        <is>
          <t>3 categories; To verify</t>
        </is>
      </c>
      <c r="K9" s="6" t="inlineStr">
        <is>
          <t>N/A</t>
        </is>
      </c>
      <c r="L9" s="6" t="inlineStr">
        <is>
          <t>N/A</t>
        </is>
      </c>
      <c r="M9" s="6" t="inlineStr">
        <is>
          <t>N/A</t>
        </is>
      </c>
      <c r="N9" s="6" t="inlineStr">
        <is>
          <t>N/A</t>
        </is>
      </c>
      <c r="O9" s="6" t="inlineStr">
        <is>
          <t>N/A</t>
        </is>
      </c>
      <c r="P9" s="6" t="inlineStr">
        <is>
          <t>N/A</t>
        </is>
      </c>
      <c r="Q9" s="6" t="inlineStr">
        <is>
          <t>ResNet + 2D NF</t>
        </is>
      </c>
      <c r="R9" s="6" t="inlineStr">
        <is>
          <t>To verify BTech numbers; Third-party reproduction</t>
        </is>
      </c>
      <c r="S9" s="7">
        <f>HYPERLINK("https://arxiv.org/abs/2111.07677","Link")</f>
        <v/>
      </c>
      <c r="T9" s="6" t="inlineStr">
        <is>
          <t>N/A</t>
        </is>
      </c>
    </row>
    <row r="10" ht="60" customHeight="1">
      <c r="A10" s="6" t="inlineStr">
        <is>
          <t>Downstream Synthesis-based AD / Segmentation</t>
        </is>
      </c>
      <c r="B10" s="6" t="inlineStr">
        <is>
          <t>UniAD</t>
        </is>
      </c>
      <c r="C10" s="6" t="inlineStr">
        <is>
          <t>You et al.</t>
        </is>
      </c>
      <c r="D10" s="6" t="inlineStr">
        <is>
          <t>NeurIPS 2022</t>
        </is>
      </c>
      <c r="E10" s="6" t="inlineStr">
        <is>
          <t>2022-06</t>
        </is>
      </c>
      <c r="F10" s="6" t="inlineStr">
        <is>
          <t>Published</t>
        </is>
      </c>
      <c r="G10" s="6" t="inlineStr">
        <is>
          <t>multi-class reconstruction</t>
        </is>
      </c>
      <c r="H10" s="6" t="inlineStr">
        <is>
          <t>multi-class</t>
        </is>
      </c>
      <c r="I10" s="6" t="inlineStr">
        <is>
          <t>BTech</t>
        </is>
      </c>
      <c r="J10" s="6" t="inlineStr">
        <is>
          <t>multi-class; To verify</t>
        </is>
      </c>
      <c r="K10" s="6" t="inlineStr">
        <is>
          <t>N/A</t>
        </is>
      </c>
      <c r="L10" s="6" t="inlineStr">
        <is>
          <t>N/A</t>
        </is>
      </c>
      <c r="M10" s="6" t="inlineStr">
        <is>
          <t>N/A</t>
        </is>
      </c>
      <c r="N10" s="6" t="inlineStr">
        <is>
          <t>N/A</t>
        </is>
      </c>
      <c r="O10" s="6" t="inlineStr">
        <is>
          <t>N/A</t>
        </is>
      </c>
      <c r="P10" s="6" t="inlineStr">
        <is>
          <t>N/A</t>
        </is>
      </c>
      <c r="Q10" s="6" t="inlineStr">
        <is>
          <t>Transformer</t>
        </is>
      </c>
      <c r="R10" s="6" t="inlineStr">
        <is>
          <t>To verify BTech numbers</t>
        </is>
      </c>
      <c r="S10" s="7">
        <f>HYPERLINK("https://arxiv.org/abs/2206.03687","Link")</f>
        <v/>
      </c>
      <c r="T10" s="7">
        <f>HYPERLINK("https://github.com/zhiyuanyou/UniAD","GitHub")</f>
        <v/>
      </c>
    </row>
    <row r="11" ht="60" customHeight="1">
      <c r="A11" s="6" t="inlineStr">
        <is>
          <t>Downstream Synthesis-based AD / Segmentation</t>
        </is>
      </c>
      <c r="B11" s="6" t="inlineStr">
        <is>
          <t>DeSTSeg</t>
        </is>
      </c>
      <c r="C11" s="6" t="inlineStr">
        <is>
          <t>Zhang et al.</t>
        </is>
      </c>
      <c r="D11" s="6" t="inlineStr">
        <is>
          <t>CVPR 2023</t>
        </is>
      </c>
      <c r="E11" s="6" t="inlineStr">
        <is>
          <t>2023-00</t>
        </is>
      </c>
      <c r="F11" s="6" t="inlineStr">
        <is>
          <t>Published</t>
        </is>
      </c>
      <c r="G11" s="6" t="inlineStr">
        <is>
          <t>Perlin + texture synthesis</t>
        </is>
      </c>
      <c r="H11" s="6" t="inlineStr">
        <is>
          <t>unsupervised</t>
        </is>
      </c>
      <c r="I11" s="6" t="inlineStr">
        <is>
          <t>BTech</t>
        </is>
      </c>
      <c r="J11" s="6" t="inlineStr">
        <is>
          <t>3 categories; To verify</t>
        </is>
      </c>
      <c r="K11" s="6" t="inlineStr">
        <is>
          <t>N/A</t>
        </is>
      </c>
      <c r="L11" s="6" t="inlineStr">
        <is>
          <t>N/A</t>
        </is>
      </c>
      <c r="M11" s="6" t="inlineStr">
        <is>
          <t>N/A</t>
        </is>
      </c>
      <c r="N11" s="6" t="inlineStr">
        <is>
          <t>N/A</t>
        </is>
      </c>
      <c r="O11" s="6" t="inlineStr">
        <is>
          <t>N/A</t>
        </is>
      </c>
      <c r="P11" s="6" t="inlineStr">
        <is>
          <t>N/A</t>
        </is>
      </c>
      <c r="Q11" s="6" t="inlineStr">
        <is>
          <t>WideResNet101</t>
        </is>
      </c>
      <c r="R11" s="6" t="inlineStr">
        <is>
          <t>To verify BTech numbers</t>
        </is>
      </c>
      <c r="S11" s="7">
        <f>HYPERLINK("https://arxiv.org/abs/2211.11317","Link")</f>
        <v/>
      </c>
      <c r="T11" s="7">
        <f>HYPERLINK("https://github.com/apple/ml-destseg","GitHub")</f>
        <v/>
      </c>
    </row>
  </sheetData>
  <autoFilter ref="A1:T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0070C0"/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5" customWidth="1" min="3" max="3"/>
    <col width="13" customWidth="1" min="4" max="4"/>
    <col width="10" customWidth="1" min="5" max="5"/>
    <col width="13" customWidth="1" min="6" max="6"/>
    <col width="22" customWidth="1" min="7" max="7"/>
    <col width="22" customWidth="1" min="8" max="8"/>
    <col width="18" customWidth="1" min="9" max="9"/>
    <col width="28" customWidth="1" min="10" max="10"/>
    <col width="10" customWidth="1" min="11" max="11"/>
    <col width="10" customWidth="1" min="12" max="12"/>
    <col width="13" customWidth="1" min="13" max="13"/>
    <col width="11" customWidth="1" min="14" max="14"/>
    <col width="14" customWidth="1" min="15" max="15"/>
    <col width="22" customWidth="1" min="16" max="16"/>
    <col width="22" customWidth="1" min="17" max="17"/>
    <col width="45" customWidth="1" min="18" max="18"/>
    <col width="18" customWidth="1" min="19" max="19"/>
    <col width="18" customWidth="1" min="20" max="20"/>
  </cols>
  <sheetData>
    <row r="1" ht="36" customHeight="1">
      <c r="A1" s="1" t="inlineStr">
        <is>
          <t>類別</t>
        </is>
      </c>
      <c r="B1" s="1" t="inlineStr">
        <is>
          <t>方法</t>
        </is>
      </c>
      <c r="C1" s="1" t="inlineStr">
        <is>
          <t>作者</t>
        </is>
      </c>
      <c r="D1" s="1" t="inlineStr">
        <is>
          <t>發表</t>
        </is>
      </c>
      <c r="E1" s="1" t="inlineStr">
        <is>
          <t>年月</t>
        </is>
      </c>
      <c r="F1" s="1" t="inlineStr">
        <is>
          <t>狀態</t>
        </is>
      </c>
      <c r="G1" s="1" t="inlineStr">
        <is>
          <t>合成類型</t>
        </is>
      </c>
      <c r="H1" s="1" t="inlineStr">
        <is>
          <t>任務設定</t>
        </is>
      </c>
      <c r="I1" s="1" t="inlineStr">
        <is>
          <t>資料集</t>
        </is>
      </c>
      <c r="J1" s="1" t="inlineStr">
        <is>
          <t>Split/Protocol</t>
        </is>
      </c>
      <c r="K1" s="1" t="inlineStr">
        <is>
          <t>I-AUROC</t>
        </is>
      </c>
      <c r="L1" s="1" t="inlineStr">
        <is>
          <t>P-AUROC</t>
        </is>
      </c>
      <c r="M1" s="1" t="inlineStr">
        <is>
          <t>AUPRO/PRO</t>
        </is>
      </c>
      <c r="N1" s="1" t="inlineStr">
        <is>
          <t>AP/AUPRC</t>
        </is>
      </c>
      <c r="O1" s="1" t="inlineStr">
        <is>
          <t>F1/Dice/IoU</t>
        </is>
      </c>
      <c r="P1" s="1" t="inlineStr">
        <is>
          <t>合成品質指標</t>
        </is>
      </c>
      <c r="Q1" s="1" t="inlineStr">
        <is>
          <t>Backbone/Detector</t>
        </is>
      </c>
      <c r="R1" s="1" t="inlineStr">
        <is>
          <t>備註(特色/可比性)</t>
        </is>
      </c>
      <c r="S1" s="1" t="inlineStr">
        <is>
          <t>連結</t>
        </is>
      </c>
      <c r="T1" s="1" t="inlineStr">
        <is>
          <t>GitHub</t>
        </is>
      </c>
    </row>
    <row r="2" ht="60" customHeight="1">
      <c r="A2" s="4" t="inlineStr">
        <is>
          <t>Generative-model-based Anomaly Synthesis</t>
        </is>
      </c>
      <c r="B2" s="4" t="inlineStr">
        <is>
          <t>AnomalyDiffusion</t>
        </is>
      </c>
      <c r="C2" s="4" t="inlineStr">
        <is>
          <t>Hu et al.</t>
        </is>
      </c>
      <c r="D2" s="4" t="inlineStr">
        <is>
          <t>AAAI 2024</t>
        </is>
      </c>
      <c r="E2" s="4" t="inlineStr">
        <is>
          <t>2023-12</t>
        </is>
      </c>
      <c r="F2" s="4" t="inlineStr">
        <is>
          <t>Published</t>
        </is>
      </c>
      <c r="G2" s="4" t="inlineStr">
        <is>
          <t>diffusion LDM few-shot</t>
        </is>
      </c>
      <c r="H2" s="4" t="inlineStr">
        <is>
          <t>few-shot (uses real anomalies)</t>
        </is>
      </c>
      <c r="I2" s="4" t="inlineStr">
        <is>
          <t>MVTec AD</t>
        </is>
      </c>
      <c r="J2" s="4" t="inlineStr">
        <is>
          <t>class-separated; few-shot; downstream P-AUROC</t>
        </is>
      </c>
      <c r="K2" s="4" t="inlineStr">
        <is>
          <t>N/A</t>
        </is>
      </c>
      <c r="L2" s="4" t="inlineStr">
        <is>
          <t>99.1</t>
        </is>
      </c>
      <c r="M2" s="4" t="inlineStr">
        <is>
          <t>N/A</t>
        </is>
      </c>
      <c r="N2" s="4" t="inlineStr">
        <is>
          <t>81.4 (P-AP)</t>
        </is>
      </c>
      <c r="O2" s="4" t="inlineStr">
        <is>
          <t>N/A</t>
        </is>
      </c>
      <c r="P2" s="4" t="inlineStr">
        <is>
          <t>FID ↓; LPIPS diversity ↑</t>
        </is>
      </c>
      <c r="Q2" s="4" t="inlineStr">
        <is>
          <t>LDM</t>
        </is>
      </c>
      <c r="R2" s="4" t="inlineStr">
        <is>
          <t>Synthesis quality metrics reported; uses real anomalies — Data leakage risk; Paper-reported result</t>
        </is>
      </c>
      <c r="S2" s="5">
        <f>HYPERLINK("https://arxiv.org/abs/2312.05767","Link")</f>
        <v/>
      </c>
      <c r="T2" s="4" t="inlineStr">
        <is>
          <t>N/A</t>
        </is>
      </c>
    </row>
    <row r="3" ht="60" customHeight="1">
      <c r="A3" s="4" t="inlineStr">
        <is>
          <t>Generative-model-based Anomaly Synthesis</t>
        </is>
      </c>
      <c r="B3" s="4" t="inlineStr">
        <is>
          <t>DFMGAN</t>
        </is>
      </c>
      <c r="C3" s="4" t="inlineStr">
        <is>
          <t>Duan et al.</t>
        </is>
      </c>
      <c r="D3" s="4" t="inlineStr">
        <is>
          <t>AAAI 2023</t>
        </is>
      </c>
      <c r="E3" s="4" t="inlineStr">
        <is>
          <t>2023-00</t>
        </is>
      </c>
      <c r="F3" s="4" t="inlineStr">
        <is>
          <t>Published</t>
        </is>
      </c>
      <c r="G3" s="4" t="inlineStr">
        <is>
          <t>GAN defect-aware</t>
        </is>
      </c>
      <c r="H3" s="4" t="inlineStr">
        <is>
          <t>few-shot (uses real anomalies)</t>
        </is>
      </c>
      <c r="I3" s="4" t="inlineStr">
        <is>
          <t>MVTec AD</t>
        </is>
      </c>
      <c r="J3" s="4" t="inlineStr">
        <is>
          <t>class-separated; few-shot</t>
        </is>
      </c>
      <c r="K3" s="4" t="inlineStr">
        <is>
          <t>N/A</t>
        </is>
      </c>
      <c r="L3" s="4" t="inlineStr">
        <is>
          <t>N/A</t>
        </is>
      </c>
      <c r="M3" s="4" t="inlineStr">
        <is>
          <t>N/A</t>
        </is>
      </c>
      <c r="N3" s="4" t="inlineStr">
        <is>
          <t>N/A</t>
        </is>
      </c>
      <c r="O3" s="4" t="inlineStr">
        <is>
          <t>N/A</t>
        </is>
      </c>
      <c r="P3" s="4" t="inlineStr">
        <is>
          <t>FID ↓; I-AUROC improvement downstream</t>
        </is>
      </c>
      <c r="Q3" s="4" t="inlineStr">
        <is>
          <t>StyleGAN2</t>
        </is>
      </c>
      <c r="R3" s="4" t="inlineStr">
        <is>
          <t>FID and downstream I-AUROC improvement reported; uses real anomalies — Data leakage risk; Paper-reported result</t>
        </is>
      </c>
      <c r="S3" s="5">
        <f>HYPERLINK("https://arxiv.org/abs/2303.02389","Link")</f>
        <v/>
      </c>
      <c r="T3" s="5">
        <f>HYPERLINK("https://github.com/Ldhlwh/DFMGAN","GitHub")</f>
        <v/>
      </c>
    </row>
    <row r="4" ht="60" customHeight="1">
      <c r="A4" s="4" t="inlineStr">
        <is>
          <t>Generative-model-based Anomaly Synthesis</t>
        </is>
      </c>
      <c r="B4" s="4" t="inlineStr">
        <is>
          <t>DualAnoDiff</t>
        </is>
      </c>
      <c r="C4" s="4" t="inlineStr">
        <is>
          <t>Jin et al.</t>
        </is>
      </c>
      <c r="D4" s="4" t="inlineStr">
        <is>
          <t>CVPR 2025</t>
        </is>
      </c>
      <c r="E4" s="4" t="inlineStr">
        <is>
          <t>2025-00</t>
        </is>
      </c>
      <c r="F4" s="4" t="inlineStr">
        <is>
          <t>Published</t>
        </is>
      </c>
      <c r="G4" s="4" t="inlineStr">
        <is>
          <t>diffusion dual-interrelated</t>
        </is>
      </c>
      <c r="H4" s="4" t="inlineStr">
        <is>
          <t>few-shot (uses real anomalies)</t>
        </is>
      </c>
      <c r="I4" s="4" t="inlineStr">
        <is>
          <t>MVTec AD / VisA</t>
        </is>
      </c>
      <c r="J4" s="4" t="inlineStr">
        <is>
          <t>class-separated; few-shot; mask generation</t>
        </is>
      </c>
      <c r="K4" s="4" t="inlineStr">
        <is>
          <t>N/A</t>
        </is>
      </c>
      <c r="L4" s="4" t="inlineStr">
        <is>
          <t>N/A</t>
        </is>
      </c>
      <c r="M4" s="4" t="inlineStr">
        <is>
          <t>N/A</t>
        </is>
      </c>
      <c r="N4" s="4" t="inlineStr">
        <is>
          <t>N/A</t>
        </is>
      </c>
      <c r="O4" s="4" t="inlineStr">
        <is>
          <t>N/A</t>
        </is>
      </c>
      <c r="P4" s="4" t="inlineStr">
        <is>
          <t>FID ↓; LPIPS ↑; mask Dice ↑; downstream I-AUROC/P-AUROC improvement</t>
        </is>
      </c>
      <c r="Q4" s="4" t="inlineStr">
        <is>
          <t>Dual LDM</t>
        </is>
      </c>
      <c r="R4" s="4" t="inlineStr">
        <is>
          <t>CVPR 2025; FID, LPIPS, mask Dice metrics; uses real anomalies — Data leakage risk; Paper-reported result</t>
        </is>
      </c>
      <c r="S4" s="5">
        <f>HYPERLINK("https://openaccess.thecvf.com/content/CVPR2025/papers/Jin_Dual-Interrelated_Diffusion_Model_for_Few-Shot_Anomaly_Image_Generation_CVPR_2025_paper.pdf","Link")</f>
        <v/>
      </c>
      <c r="T4" s="5">
        <f>HYPERLINK("https://github.com/yinyjin/DualAnoDiff","GitHub")</f>
        <v/>
      </c>
    </row>
    <row r="5" ht="60" customHeight="1">
      <c r="A5" s="4" t="inlineStr">
        <is>
          <t>Generative-model-based Anomaly Synthesis</t>
        </is>
      </c>
      <c r="B5" s="4" t="inlineStr">
        <is>
          <t>RealNet</t>
        </is>
      </c>
      <c r="C5" s="4" t="inlineStr">
        <is>
          <t>Zhang et al.</t>
        </is>
      </c>
      <c r="D5" s="4" t="inlineStr">
        <is>
          <t>CVPR 2024</t>
        </is>
      </c>
      <c r="E5" s="4" t="inlineStr">
        <is>
          <t>2024-03</t>
        </is>
      </c>
      <c r="F5" s="4" t="inlineStr">
        <is>
          <t>Published</t>
        </is>
      </c>
      <c r="G5" s="4" t="inlineStr">
        <is>
          <t>diffusion SDAS</t>
        </is>
      </c>
      <c r="H5" s="4" t="inlineStr">
        <is>
          <t>unsupervised (no real anomalies)</t>
        </is>
      </c>
      <c r="I5" s="4" t="inlineStr">
        <is>
          <t>MVTec AD</t>
        </is>
      </c>
      <c r="J5" s="4" t="inlineStr">
        <is>
          <t>class-separated; downstream I-AUROC/P-AUROC/PRO</t>
        </is>
      </c>
      <c r="K5" s="4" t="inlineStr">
        <is>
          <t>99.65</t>
        </is>
      </c>
      <c r="L5" s="4" t="inlineStr">
        <is>
          <t>99.03</t>
        </is>
      </c>
      <c r="M5" s="4" t="inlineStr">
        <is>
          <t>93.07</t>
        </is>
      </c>
      <c r="N5" s="4" t="inlineStr">
        <is>
          <t>N/A</t>
        </is>
      </c>
      <c r="O5" s="4" t="inlineStr">
        <is>
          <t>N/A</t>
        </is>
      </c>
      <c r="P5" s="4" t="inlineStr">
        <is>
          <t>strength-controllable synthesis; downstream metric improvement</t>
        </is>
      </c>
      <c r="Q5" s="4" t="inlineStr">
        <is>
          <t>WideResNet50</t>
        </is>
      </c>
      <c r="R5" s="4" t="inlineStr">
        <is>
          <t>CVPR 2024; controllable anomaly strength; does NOT require real anomalies; Paper-reported result</t>
        </is>
      </c>
      <c r="S5" s="5">
        <f>HYPERLINK("https://arxiv.org/abs/2403.05897","Link")</f>
        <v/>
      </c>
      <c r="T5" s="5">
        <f>HYPERLINK("https://github.com/cnulab/RealNet","GitHub")</f>
        <v/>
      </c>
    </row>
    <row r="6" ht="60" customHeight="1">
      <c r="A6" s="4" t="inlineStr">
        <is>
          <t>Generative-model-based Anomaly Synthesis</t>
        </is>
      </c>
      <c r="B6" s="4" t="inlineStr">
        <is>
          <t>MIRAGE</t>
        </is>
      </c>
      <c r="C6" s="4" t="inlineStr">
        <is>
          <t>Ye et al.</t>
        </is>
      </c>
      <c r="D6" s="4" t="inlineStr">
        <is>
          <t>arXiv</t>
        </is>
      </c>
      <c r="E6" s="4" t="inlineStr">
        <is>
          <t>2026-03</t>
        </is>
      </c>
      <c r="F6" s="4" t="inlineStr">
        <is>
          <t>arXiv</t>
        </is>
      </c>
      <c r="G6" s="4" t="inlineStr">
        <is>
          <t>diffusion VLM-prompted</t>
        </is>
      </c>
      <c r="H6" s="4" t="inlineStr">
        <is>
          <t>zero-shot</t>
        </is>
      </c>
      <c r="I6" s="4" t="inlineStr">
        <is>
          <t>MVTec AD / VisA</t>
        </is>
      </c>
      <c r="J6" s="4" t="inlineStr">
        <is>
          <t>class-separated; zero-shot</t>
        </is>
      </c>
      <c r="K6" s="4" t="inlineStr">
        <is>
          <t>N/A</t>
        </is>
      </c>
      <c r="L6" s="4" t="inlineStr">
        <is>
          <t>N/A</t>
        </is>
      </c>
      <c r="M6" s="4" t="inlineStr">
        <is>
          <t>N/A</t>
        </is>
      </c>
      <c r="N6" s="4" t="inlineStr">
        <is>
          <t>N/A</t>
        </is>
      </c>
      <c r="O6" s="4" t="inlineStr">
        <is>
          <t>N/A</t>
        </is>
      </c>
      <c r="P6" s="4" t="inlineStr">
        <is>
          <t>CLIP quality filter; FID; downstream improvement; To verify</t>
        </is>
      </c>
      <c r="Q6" s="4" t="inlineStr">
        <is>
          <t>Stable Diffusion + CLIP + VLM API</t>
        </is>
      </c>
      <c r="R6" s="4" t="inlineStr">
        <is>
          <t>plug-and-play model-agnostic pipeline; Unverified arXiv claim; To verify FID and downstream numbers</t>
        </is>
      </c>
      <c r="S6" s="5">
        <f>HYPERLINK("https://arxiv.org/abs/2603.13507","Link")</f>
        <v/>
      </c>
      <c r="T6" s="4" t="inlineStr">
        <is>
          <t>N/A</t>
        </is>
      </c>
    </row>
    <row r="7" ht="60" customHeight="1">
      <c r="A7" s="10" t="inlineStr">
        <is>
          <t>Hand-crafted / Rule-based Anomaly Synthesis</t>
        </is>
      </c>
      <c r="B7" s="10" t="inlineStr">
        <is>
          <t>DRAEM</t>
        </is>
      </c>
      <c r="C7" s="10" t="inlineStr">
        <is>
          <t>Zavrtanik et al.</t>
        </is>
      </c>
      <c r="D7" s="10" t="inlineStr">
        <is>
          <t>ICCV 2021</t>
        </is>
      </c>
      <c r="E7" s="10" t="inlineStr">
        <is>
          <t>2021-08</t>
        </is>
      </c>
      <c r="F7" s="10" t="inlineStr">
        <is>
          <t>Published</t>
        </is>
      </c>
      <c r="G7" s="10" t="inlineStr">
        <is>
          <t>Perlin + DTD texture</t>
        </is>
      </c>
      <c r="H7" s="10" t="inlineStr">
        <is>
          <t>unsupervised</t>
        </is>
      </c>
      <c r="I7" s="10" t="inlineStr">
        <is>
          <t>MVTec AD</t>
        </is>
      </c>
      <c r="J7" s="10" t="inlineStr">
        <is>
          <t>class-separated; downstream I-AUROC/P-AUROC/P-AP</t>
        </is>
      </c>
      <c r="K7" s="10" t="inlineStr">
        <is>
          <t>98.0</t>
        </is>
      </c>
      <c r="L7" s="10" t="inlineStr">
        <is>
          <t>97.3</t>
        </is>
      </c>
      <c r="M7" s="10" t="inlineStr">
        <is>
          <t>N/A</t>
        </is>
      </c>
      <c r="N7" s="10" t="inlineStr">
        <is>
          <t>68.9 (P-AP)</t>
        </is>
      </c>
      <c r="O7" s="10" t="inlineStr">
        <is>
          <t>N/A</t>
        </is>
      </c>
      <c r="P7" s="10" t="inlineStr">
        <is>
          <t>no FID; qualitative diversity of Perlin masks</t>
        </is>
      </c>
      <c r="Q7" s="10" t="inlineStr">
        <is>
          <t>U-Net</t>
        </is>
      </c>
      <c r="R7" s="10" t="inlineStr">
        <is>
          <t>ICCV 2021; synthesis quality evaluated only through downstream detection; no explicit FID/FID metrics; Paper-reported result</t>
        </is>
      </c>
      <c r="S7" s="11">
        <f>HYPERLINK("https://arxiv.org/abs/2108.07610","Link")</f>
        <v/>
      </c>
      <c r="T7" s="11">
        <f>HYPERLINK("https://github.com/VitjanZ/DRAEM","GitHub")</f>
        <v/>
      </c>
    </row>
    <row r="8" ht="60" customHeight="1">
      <c r="A8" s="2" t="inlineStr">
        <is>
          <t>Vision-language / Foundation-model-based Anomaly Synthesis</t>
        </is>
      </c>
      <c r="B8" s="2" t="inlineStr">
        <is>
          <t>AnomalyXFusion</t>
        </is>
      </c>
      <c r="C8" s="2" t="inlineStr">
        <is>
          <t>Hu et al.</t>
        </is>
      </c>
      <c r="D8" s="2" t="inlineStr">
        <is>
          <t>arXiv</t>
        </is>
      </c>
      <c r="E8" s="2" t="inlineStr">
        <is>
          <t>2024-04</t>
        </is>
      </c>
      <c r="F8" s="2" t="inlineStr">
        <is>
          <t>arXiv</t>
        </is>
      </c>
      <c r="G8" s="2" t="inlineStr">
        <is>
          <t>diffusion multi-modal</t>
        </is>
      </c>
      <c r="H8" s="2" t="inlineStr">
        <is>
          <t>few-shot (uses real anomalies)</t>
        </is>
      </c>
      <c r="I8" s="2" t="inlineStr">
        <is>
          <t>MVTec AD / LOCO</t>
        </is>
      </c>
      <c r="J8" s="2" t="inlineStr">
        <is>
          <t>class-separated; few-shot; logical anomalies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N/A</t>
        </is>
      </c>
      <c r="N8" s="2" t="inlineStr">
        <is>
          <t>N/A</t>
        </is>
      </c>
      <c r="O8" s="2" t="inlineStr">
        <is>
          <t>N/A</t>
        </is>
      </c>
      <c r="P8" s="2" t="inlineStr">
        <is>
          <t>FID; diversity (LPIPS); logical anomaly realism; To verify</t>
        </is>
      </c>
      <c r="Q8" s="2" t="inlineStr">
        <is>
          <t>LDM + Multi-modal Fusion</t>
        </is>
      </c>
      <c r="R8" s="2" t="inlineStr">
        <is>
          <t>Multi-modal synthesis quality; logical anomaly focus; uses real anomalies — Data leakage risk; Unverified arXiv claim</t>
        </is>
      </c>
      <c r="S8" s="3">
        <f>HYPERLINK("https://arxiv.org/abs/2404.19444","Link")</f>
        <v/>
      </c>
      <c r="T8" s="2" t="inlineStr">
        <is>
          <t>N/A</t>
        </is>
      </c>
    </row>
    <row r="9" ht="60" customHeight="1">
      <c r="A9" s="4" t="inlineStr">
        <is>
          <t>Generative-model-based Anomaly Synthesis</t>
        </is>
      </c>
      <c r="B9" s="4" t="inlineStr">
        <is>
          <t>GroundingAnomaly</t>
        </is>
      </c>
      <c r="C9" s="4" t="inlineStr">
        <is>
          <t>Guo et al.</t>
        </is>
      </c>
      <c r="D9" s="4" t="inlineStr">
        <is>
          <t>arXiv</t>
        </is>
      </c>
      <c r="E9" s="4" t="inlineStr">
        <is>
          <t>2026-04</t>
        </is>
      </c>
      <c r="F9" s="4" t="inlineStr">
        <is>
          <t>arXiv</t>
        </is>
      </c>
      <c r="G9" s="4" t="inlineStr">
        <is>
          <t>diffusion spatially-grounded</t>
        </is>
      </c>
      <c r="H9" s="4" t="inlineStr">
        <is>
          <t>few-shot</t>
        </is>
      </c>
      <c r="I9" s="4" t="inlineStr">
        <is>
          <t>MVTec AD / VisA</t>
        </is>
      </c>
      <c r="J9" s="4" t="inlineStr">
        <is>
          <t>class-separated; few-shot; spatial control</t>
        </is>
      </c>
      <c r="K9" s="4" t="inlineStr">
        <is>
          <t>N/A</t>
        </is>
      </c>
      <c r="L9" s="4" t="inlineStr">
        <is>
          <t>N/A</t>
        </is>
      </c>
      <c r="M9" s="4" t="inlineStr">
        <is>
          <t>N/A</t>
        </is>
      </c>
      <c r="N9" s="4" t="inlineStr">
        <is>
          <t>N/A</t>
        </is>
      </c>
      <c r="O9" s="4" t="inlineStr">
        <is>
          <t>N/A</t>
        </is>
      </c>
      <c r="P9" s="4" t="inlineStr">
        <is>
          <t>spatial control quality; downstream SOTA; To verify</t>
        </is>
      </c>
      <c r="Q9" s="4" t="inlineStr">
        <is>
          <t>SD + Gated Self-Attention</t>
        </is>
      </c>
      <c r="R9" s="4" t="inlineStr">
        <is>
          <t>SOTA downstream on MVTec AD &amp; VisA; spatial conditioning via per-pixel semantic maps; To verify FID and downstream numbers</t>
        </is>
      </c>
      <c r="S9" s="5">
        <f>HYPERLINK("https://arxiv.org/abs/2604.08301","Link")</f>
        <v/>
      </c>
      <c r="T9" s="4" t="inlineStr">
        <is>
          <t>N/A</t>
        </is>
      </c>
    </row>
  </sheetData>
  <autoFilter ref="A1:T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2026-04-29T01:41:12Z</dcterms:created>
  <dcterms:modified xmlns:dcterms="http://purl.org/dc/terms/" xmlns:xsi="http://www.w3.org/2001/XMLSchema-instance" xsi:type="dcterms:W3CDTF">2026-04-29T01:41:12Z</dcterms:modified>
</cp:coreProperties>
</file>