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30912" windowHeight="16752" tabRatio="923" firstSheet="0" activeTab="1" autoFilterDateGrouping="1"/>
  </bookViews>
  <sheets>
    <sheet xmlns:r="http://schemas.openxmlformats.org/officeDocument/2006/relationships" name="OD all papers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COCO test-dev" sheetId="3" state="visible" r:id="rId3"/>
    <sheet xmlns:r="http://schemas.openxmlformats.org/officeDocument/2006/relationships" name="COCO minival" sheetId="4" state="visible" r:id="rId4"/>
    <sheet xmlns:r="http://schemas.openxmlformats.org/officeDocument/2006/relationships" name="COCO 2017 val" sheetId="5" state="visible" r:id="rId5"/>
    <sheet xmlns:r="http://schemas.openxmlformats.org/officeDocument/2006/relationships" name="COCO 2017" sheetId="6" state="visible" r:id="rId6"/>
    <sheet xmlns:r="http://schemas.openxmlformats.org/officeDocument/2006/relationships" name="COCO-O" sheetId="7" state="visible" r:id="rId7"/>
    <sheet xmlns:r="http://schemas.openxmlformats.org/officeDocument/2006/relationships" name="PASCAL VOC 2007" sheetId="8" state="visible" r:id="rId8"/>
    <sheet xmlns:r="http://schemas.openxmlformats.org/officeDocument/2006/relationships" name="CrowdHuman" sheetId="9" state="visible" r:id="rId9"/>
    <sheet xmlns:r="http://schemas.openxmlformats.org/officeDocument/2006/relationships" name="GraZPEDWRI-DX" sheetId="10" state="visible" r:id="rId10"/>
    <sheet xmlns:r="http://schemas.openxmlformats.org/officeDocument/2006/relationships" name="CPPE-5" sheetId="11" state="visible" r:id="rId11"/>
    <sheet xmlns:r="http://schemas.openxmlformats.org/officeDocument/2006/relationships" name="Waymo 2D" sheetId="12" state="visible" r:id="rId12"/>
    <sheet xmlns:r="http://schemas.openxmlformats.org/officeDocument/2006/relationships" name="Argoverse-HD FS Val" sheetId="13" state="visible" r:id="rId13"/>
    <sheet xmlns:r="http://schemas.openxmlformats.org/officeDocument/2006/relationships" name="Argoverse-HD DO Val" sheetId="14" state="visible" r:id="rId14"/>
    <sheet xmlns:r="http://schemas.openxmlformats.org/officeDocument/2006/relationships" name="Argoverse-HD DO Test" sheetId="15" state="visible" r:id="rId15"/>
    <sheet xmlns:r="http://schemas.openxmlformats.org/officeDocument/2006/relationships" name="Argoverse-HD FS Test" sheetId="16" state="visible" r:id="rId16"/>
    <sheet xmlns:r="http://schemas.openxmlformats.org/officeDocument/2006/relationships" name="DUTS-TE" sheetId="17" state="visible" r:id="rId17"/>
    <sheet xmlns:r="http://schemas.openxmlformats.org/officeDocument/2006/relationships" name="DUT-OMRON" sheetId="18" state="visible" r:id="rId18"/>
    <sheet xmlns:r="http://schemas.openxmlformats.org/officeDocument/2006/relationships" name="ECSSD" sheetId="19" state="visible" r:id="rId19"/>
    <sheet xmlns:r="http://schemas.openxmlformats.org/officeDocument/2006/relationships" name="HKU-IS" sheetId="20" state="visible" r:id="rId20"/>
    <sheet xmlns:r="http://schemas.openxmlformats.org/officeDocument/2006/relationships" name="PASCAL-S" sheetId="21" state="visible" r:id="rId21"/>
    <sheet xmlns:r="http://schemas.openxmlformats.org/officeDocument/2006/relationships" name="HRSOD" sheetId="22" state="visible" r:id="rId22"/>
    <sheet xmlns:r="http://schemas.openxmlformats.org/officeDocument/2006/relationships" name="DAVIS-S" sheetId="23" state="visible" r:id="rId23"/>
    <sheet xmlns:r="http://schemas.openxmlformats.org/officeDocument/2006/relationships" name="UHRSD" sheetId="24" state="visible" r:id="rId24"/>
    <sheet xmlns:r="http://schemas.openxmlformats.org/officeDocument/2006/relationships" name="SBU-Refine" sheetId="25" state="visible" r:id="rId25"/>
    <sheet xmlns:r="http://schemas.openxmlformats.org/officeDocument/2006/relationships" name="ISTD" sheetId="26" state="visible" r:id="rId26"/>
    <sheet xmlns:r="http://schemas.openxmlformats.org/officeDocument/2006/relationships" name="CAMO-FS" sheetId="27" state="visible" r:id="rId27"/>
    <sheet xmlns:r="http://schemas.openxmlformats.org/officeDocument/2006/relationships" name="PASCAL VOC 2007 15+5" sheetId="28" state="visible" r:id="rId28"/>
    <sheet xmlns:r="http://schemas.openxmlformats.org/officeDocument/2006/relationships" name="MS-COCO 1-shot" sheetId="29" state="visible" r:id="rId29"/>
    <sheet xmlns:r="http://schemas.openxmlformats.org/officeDocument/2006/relationships" name="MS-COCO 5-shot" sheetId="30" state="visible" r:id="rId30"/>
    <sheet xmlns:r="http://schemas.openxmlformats.org/officeDocument/2006/relationships" name="MS-COCO 10-shot" sheetId="31" state="visible" r:id="rId31"/>
    <sheet xmlns:r="http://schemas.openxmlformats.org/officeDocument/2006/relationships" name="MS-COCO 30-shot" sheetId="32" state="visible" r:id="rId32"/>
    <sheet xmlns:r="http://schemas.openxmlformats.org/officeDocument/2006/relationships" name="COCO 2017 FSOD" sheetId="33" state="visible" r:id="rId33"/>
    <sheet xmlns:r="http://schemas.openxmlformats.org/officeDocument/2006/relationships" name="LVIS v1.0 val" sheetId="34" state="visible" r:id="rId34"/>
    <sheet xmlns:r="http://schemas.openxmlformats.org/officeDocument/2006/relationships" name="LVIS v1.0 test-dev" sheetId="35" state="visible" r:id="rId35"/>
    <sheet xmlns:r="http://schemas.openxmlformats.org/officeDocument/2006/relationships" name="ODinW-13" sheetId="36" state="visible" r:id="rId36"/>
    <sheet xmlns:r="http://schemas.openxmlformats.org/officeDocument/2006/relationships" name="ODinW-35" sheetId="37" state="visible" r:id="rId37"/>
  </sheets>
  <definedNames>
    <definedName name="_xlnm._FilterDatabase" localSheetId="0" hidden="1">'OD all papers'!$A$1:$H$84</definedName>
    <definedName name="_xlnm._FilterDatabase" localSheetId="1" hidden="1">'Index'!$A$1:$E$36</definedName>
    <definedName name="_xlnm._FilterDatabase" localSheetId="2" hidden="1">'COCO test-dev'!$A$1:$M$13</definedName>
    <definedName name="_xlnm._FilterDatabase" localSheetId="3" hidden="1">'COCO minival'!$A$1:$M$12</definedName>
    <definedName name="_xlnm._FilterDatabase" localSheetId="4" hidden="1">'COCO 2017 val'!$A$1:$M$13</definedName>
    <definedName name="_xlnm._FilterDatabase" localSheetId="5" hidden="1">'COCO 2017'!$A$1:$M$13</definedName>
    <definedName name="_xlnm._FilterDatabase" localSheetId="6" hidden="1">'COCO-O'!$A$1:$M$12</definedName>
    <definedName name="_xlnm._FilterDatabase" localSheetId="7" hidden="1">'PASCAL VOC 2007'!$A$1:$M$12</definedName>
    <definedName name="_xlnm._FilterDatabase" localSheetId="8" hidden="1">'CrowdHuman'!$A$1:$M$12</definedName>
    <definedName name="_xlnm._FilterDatabase" localSheetId="9" hidden="1">'GraZPEDWRI-DX'!$A$1:$M$12</definedName>
    <definedName name="_xlnm._FilterDatabase" localSheetId="10" hidden="1">'CPPE-5'!$A$1:$M$12</definedName>
    <definedName name="_xlnm._FilterDatabase" localSheetId="11" hidden="1">'Waymo 2D'!$A$1:$M$12</definedName>
    <definedName name="_xlnm._FilterDatabase" localSheetId="12" hidden="1">'Argoverse-HD FS Val'!$A$1:$M$12</definedName>
    <definedName name="_xlnm._FilterDatabase" localSheetId="13" hidden="1">'Argoverse-HD DO Val'!$A$1:$M$12</definedName>
    <definedName name="_xlnm._FilterDatabase" localSheetId="14" hidden="1">'Argoverse-HD DO Test'!$A$1:$M$12</definedName>
    <definedName name="_xlnm._FilterDatabase" localSheetId="15" hidden="1">'Argoverse-HD FS Test'!$A$1:$M$12</definedName>
    <definedName name="_xlnm._FilterDatabase" localSheetId="16" hidden="1">'DUTS-TE'!$A$1:$M$13</definedName>
    <definedName name="_xlnm._FilterDatabase" localSheetId="17" hidden="1">'DUT-OMRON'!$A$1:$M$13</definedName>
    <definedName name="_xlnm._FilterDatabase" localSheetId="18" hidden="1">'ECSSD'!$A$1:$M$13</definedName>
    <definedName name="_xlnm._FilterDatabase" localSheetId="19" hidden="1">'HKU-IS'!$A$1:$M$13</definedName>
    <definedName name="_xlnm._FilterDatabase" localSheetId="20" hidden="1">'PASCAL-S'!$A$1:$M$13</definedName>
    <definedName name="_xlnm._FilterDatabase" localSheetId="21" hidden="1">'HRSOD'!$A$1:$M$13</definedName>
    <definedName name="_xlnm._FilterDatabase" localSheetId="22" hidden="1">'DAVIS-S'!$A$1:$M$13</definedName>
    <definedName name="_xlnm._FilterDatabase" localSheetId="23" hidden="1">'UHRSD'!$A$1:$M$13</definedName>
    <definedName name="_xlnm._FilterDatabase" localSheetId="24" hidden="1">'SBU-Refine'!$A$1:$M$13</definedName>
    <definedName name="_xlnm._FilterDatabase" localSheetId="25" hidden="1">'ISTD'!$A$1:$M$13</definedName>
    <definedName name="_xlnm._FilterDatabase" localSheetId="26" hidden="1">'CAMO-FS'!$A$1:$M$12</definedName>
    <definedName name="_xlnm._FilterDatabase" localSheetId="27" hidden="1">'PASCAL VOC 2007 15+5'!$A$1:$M$12</definedName>
    <definedName name="_xlnm._FilterDatabase" localSheetId="28" hidden="1">'MS-COCO 1-shot'!$A$1:$M$12</definedName>
    <definedName name="_xlnm._FilterDatabase" localSheetId="29" hidden="1">'MS-COCO 5-shot'!$A$1:$M$12</definedName>
    <definedName name="_xlnm._FilterDatabase" localSheetId="30" hidden="1">'MS-COCO 10-shot'!$A$1:$M$12</definedName>
    <definedName name="_xlnm._FilterDatabase" localSheetId="31" hidden="1">'MS-COCO 30-shot'!$A$1:$M$12</definedName>
    <definedName name="_xlnm._FilterDatabase" localSheetId="32" hidden="1">'COCO 2017 FSOD'!$A$1:$M$12</definedName>
    <definedName name="_xlnm._FilterDatabase" localSheetId="33" hidden="1">'LVIS v1.0 val'!$A$1:$M$12</definedName>
    <definedName name="_xlnm._FilterDatabase" localSheetId="34" hidden="1">'LVIS v1.0 test-dev'!$A$1:$M$12</definedName>
    <definedName name="_xlnm._FilterDatabase" localSheetId="35" hidden="1">'ODinW-13'!$A$1:$M$12</definedName>
    <definedName name="_xlnm._FilterDatabase" localSheetId="36" hidden="1">'ODinW-35'!$A$1:$M$12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color rgb="FF0563C1"/>
      <sz val="10"/>
      <u val="single"/>
    </font>
    <font>
      <name val="新細明體"/>
      <charset val="136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CF8"/>
        <bgColor rgb="FFEADC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11.09554" TargetMode="External" Id="rId1"/><Relationship Type="http://schemas.openxmlformats.org/officeDocument/2006/relationships/hyperlink" Target="https://github.com/roboflow/rf-detr" TargetMode="External" Id="rId2"/><Relationship Type="http://schemas.openxmlformats.org/officeDocument/2006/relationships/hyperlink" Target="https://arxiv.org/abs/2511.09554" TargetMode="External" Id="rId3"/><Relationship Type="http://schemas.openxmlformats.org/officeDocument/2006/relationships/hyperlink" Target="https://github.com/roboflow/rf-detr" TargetMode="External" Id="rId4"/><Relationship Type="http://schemas.openxmlformats.org/officeDocument/2006/relationships/hyperlink" Target="https://docs.ultralytics.com/models/yolo26/" TargetMode="External" Id="rId5"/><Relationship Type="http://schemas.openxmlformats.org/officeDocument/2006/relationships/hyperlink" Target="https://github.com/ultralytics/ultralytics" TargetMode="External" Id="rId6"/><Relationship Type="http://schemas.openxmlformats.org/officeDocument/2006/relationships/hyperlink" Target="https://docs.ultralytics.com/models/yolo26/" TargetMode="External" Id="rId7"/><Relationship Type="http://schemas.openxmlformats.org/officeDocument/2006/relationships/hyperlink" Target="https://github.com/ultralytics/ultralytics" TargetMode="External" Id="rId8"/><Relationship Type="http://schemas.openxmlformats.org/officeDocument/2006/relationships/hyperlink" Target="https://arxiv.org/abs/2510.25257" TargetMode="External" Id="rId9"/><Relationship Type="http://schemas.openxmlformats.org/officeDocument/2006/relationships/hyperlink" Target="https://github.com/RT-DETRs/RT-DETRv4" TargetMode="External" Id="rId10"/><Relationship Type="http://schemas.openxmlformats.org/officeDocument/2006/relationships/hyperlink" Target="https://arxiv.org/abs/2510.21605" TargetMode="External" Id="rId11"/><Relationship Type="http://schemas.openxmlformats.org/officeDocument/2006/relationships/hyperlink" Target="https://github.com/" TargetMode="External" Id="rId12"/><Relationship Type="http://schemas.openxmlformats.org/officeDocument/2006/relationships/hyperlink" Target="https://arxiv.org/abs/2509.20787" TargetMode="External" Id="rId13"/><Relationship Type="http://schemas.openxmlformats.org/officeDocument/2006/relationships/hyperlink" Target="https://github.com/Intellindust-AI-Lab/DEIMv2" TargetMode="External" Id="rId14"/><Relationship Type="http://schemas.openxmlformats.org/officeDocument/2006/relationships/hyperlink" Target="https://github.com/topics/yolo-master" TargetMode="External" Id="rId15"/><Relationship Type="http://schemas.openxmlformats.org/officeDocument/2006/relationships/hyperlink" Target="https://github.com/topics/yolo-master" TargetMode="External" Id="rId16"/><Relationship Type="http://schemas.openxmlformats.org/officeDocument/2006/relationships/hyperlink" Target="https://arxiv.org/abs/2412.04234" TargetMode="External" Id="rId17"/><Relationship Type="http://schemas.openxmlformats.org/officeDocument/2006/relationships/hyperlink" Target="https://github.com/Intellindust-AI-Lab/DEIM" TargetMode="External" Id="rId18"/><Relationship Type="http://schemas.openxmlformats.org/officeDocument/2006/relationships/hyperlink" Target="https://arxiv.org/abs/2506.17733" TargetMode="External" Id="rId19"/><Relationship Type="http://schemas.openxmlformats.org/officeDocument/2006/relationships/hyperlink" Target="https://github.com/iMoonLab/yolov13" TargetMode="External" Id="rId20"/><Relationship Type="http://schemas.openxmlformats.org/officeDocument/2006/relationships/hyperlink" Target="https://arxiv.org/abs/2412.04234" TargetMode="External" Id="rId21"/><Relationship Type="http://schemas.openxmlformats.org/officeDocument/2006/relationships/hyperlink" Target="https://github.com/Intellindust-AI-Lab/DEIM" TargetMode="External" Id="rId22"/><Relationship Type="http://schemas.openxmlformats.org/officeDocument/2006/relationships/hyperlink" Target="https://arxiv.org/abs/2504.10685" TargetMode="External" Id="rId23"/><Relationship Type="http://schemas.openxmlformats.org/officeDocument/2006/relationships/hyperlink" Target="https://github.com/lovelyqian/NTIRE2025_CDFSOD" TargetMode="External" Id="rId24"/><Relationship Type="http://schemas.openxmlformats.org/officeDocument/2006/relationships/hyperlink" Target="https://arxiv.org/abs/2410.13842" TargetMode="External" Id="rId25"/><Relationship Type="http://schemas.openxmlformats.org/officeDocument/2006/relationships/hyperlink" Target="https://github.com/Peterande/D-FINE" TargetMode="External" Id="rId26"/><Relationship Type="http://schemas.openxmlformats.org/officeDocument/2006/relationships/hyperlink" Target="https://arxiv.org/abs/2410.13842" TargetMode="External" Id="rId27"/><Relationship Type="http://schemas.openxmlformats.org/officeDocument/2006/relationships/hyperlink" Target="https://github.com/Peterande/D-FINE" TargetMode="External" Id="rId28"/><Relationship Type="http://schemas.openxmlformats.org/officeDocument/2006/relationships/hyperlink" Target="https://arxiv.org/abs/2502.12524" TargetMode="External" Id="rId29"/><Relationship Type="http://schemas.openxmlformats.org/officeDocument/2006/relationships/hyperlink" Target="https://github.com/sunsmarterjie/yolov12" TargetMode="External" Id="rId30"/><Relationship Type="http://schemas.openxmlformats.org/officeDocument/2006/relationships/hyperlink" Target="https://arxiv.org/abs/2409.08475" TargetMode="External" Id="rId31"/><Relationship Type="http://schemas.openxmlformats.org/officeDocument/2006/relationships/hyperlink" Target="https://github.com/clxia12/RT-DETRv3" TargetMode="External" Id="rId32"/><Relationship Type="http://schemas.openxmlformats.org/officeDocument/2006/relationships/hyperlink" Target="https://github.com/I2-Multimedia-Lab/UGRAN" TargetMode="External" Id="rId33"/><Relationship Type="http://schemas.openxmlformats.org/officeDocument/2006/relationships/hyperlink" Target="https://github.com/I2-Multimedia-Lab/UGRAN" TargetMode="External" Id="rId34"/><Relationship Type="http://schemas.openxmlformats.org/officeDocument/2006/relationships/hyperlink" Target="https://www.sciencedirect.com/science/article/abs/pii/S1566253525007900" TargetMode="External" Id="rId35"/><Relationship Type="http://schemas.openxmlformats.org/officeDocument/2006/relationships/hyperlink" Target="https://github.com/" TargetMode="External" Id="rId36"/><Relationship Type="http://schemas.openxmlformats.org/officeDocument/2006/relationships/hyperlink" Target="https://arxiv.org/abs/2405.14458" TargetMode="External" Id="rId37"/><Relationship Type="http://schemas.openxmlformats.org/officeDocument/2006/relationships/hyperlink" Target="https://github.com/THU-MIG/yolov10" TargetMode="External" Id="rId38"/><Relationship Type="http://schemas.openxmlformats.org/officeDocument/2006/relationships/hyperlink" Target="https://arxiv.org/abs/2411.14347" TargetMode="External" Id="rId39"/><Relationship Type="http://schemas.openxmlformats.org/officeDocument/2006/relationships/hyperlink" Target="https://github.com/IDEA-Research/DINO-X-API" TargetMode="External" Id="rId40"/><Relationship Type="http://schemas.openxmlformats.org/officeDocument/2006/relationships/hyperlink" Target="https://arxiv.org/abs/2303.05499" TargetMode="External" Id="rId41"/><Relationship Type="http://schemas.openxmlformats.org/officeDocument/2006/relationships/hyperlink" Target="https://github.com/IDEA-Research/GroundingDINO" TargetMode="External" Id="rId42"/><Relationship Type="http://schemas.openxmlformats.org/officeDocument/2006/relationships/hyperlink" Target="https://arxiv.org/abs/2402.03094" TargetMode="External" Id="rId43"/><Relationship Type="http://schemas.openxmlformats.org/officeDocument/2006/relationships/hyperlink" Target="https://github.com/lovelyqian/CDFSOD-benchmark" TargetMode="External" Id="rId44"/><Relationship Type="http://schemas.openxmlformats.org/officeDocument/2006/relationships/hyperlink" Target="https://arxiv.org/abs/2407.11699" TargetMode="External" Id="rId45"/><Relationship Type="http://schemas.openxmlformats.org/officeDocument/2006/relationships/hyperlink" Target="https://github.com/xiuqhou/Relation-DETR" TargetMode="External" Id="rId46"/><Relationship Type="http://schemas.openxmlformats.org/officeDocument/2006/relationships/hyperlink" Target="https://arxiv.org/abs/2402.13616" TargetMode="External" Id="rId47"/><Relationship Type="http://schemas.openxmlformats.org/officeDocument/2006/relationships/hyperlink" Target="https://github.com/WongKinYiu/yolov9" TargetMode="External" Id="rId48"/><Relationship Type="http://schemas.openxmlformats.org/officeDocument/2006/relationships/hyperlink" Target="https://docs.ultralytics.com/models/yolo11/" TargetMode="External" Id="rId49"/><Relationship Type="http://schemas.openxmlformats.org/officeDocument/2006/relationships/hyperlink" Target="https://github.com/ultralytics/ultralytics" TargetMode="External" Id="rId50"/><Relationship Type="http://schemas.openxmlformats.org/officeDocument/2006/relationships/hyperlink" Target="https://arxiv.org/abs/2407.17140" TargetMode="External" Id="rId51"/><Relationship Type="http://schemas.openxmlformats.org/officeDocument/2006/relationships/hyperlink" Target="https://github.com/lyuwenyu/RT-DETR" TargetMode="External" Id="rId52"/><Relationship Type="http://schemas.openxmlformats.org/officeDocument/2006/relationships/hyperlink" Target="https://arxiv.org/abs/2304.08069" TargetMode="External" Id="rId53"/><Relationship Type="http://schemas.openxmlformats.org/officeDocument/2006/relationships/hyperlink" Target="https://github.com/lyuwenyu/RT-DETR" TargetMode="External" Id="rId54"/><Relationship Type="http://schemas.openxmlformats.org/officeDocument/2006/relationships/hyperlink" Target="https://arxiv.org/abs/2404.07445" TargetMode="External" Id="rId55"/><Relationship Type="http://schemas.openxmlformats.org/officeDocument/2006/relationships/hyperlink" Target="https://github.com/qianyu-dlut/MVANet" TargetMode="External" Id="rId56"/><Relationship Type="http://schemas.openxmlformats.org/officeDocument/2006/relationships/hyperlink" Target="https://arxiv.org/abs/2311.15011" TargetMode="External" Id="rId57"/><Relationship Type="http://schemas.openxmlformats.org/officeDocument/2006/relationships/hyperlink" Target="https://github.com/Sssssuperior/VSCode" TargetMode="External" Id="rId58"/><Relationship Type="http://schemas.openxmlformats.org/officeDocument/2006/relationships/hyperlink" Target="https://arxiv.org/abs/2402.10433" TargetMode="External" Id="rId59"/><Relationship Type="http://schemas.openxmlformats.org/officeDocument/2006/relationships/hyperlink" Target="https://github.com/han-tianyu/FM-FSOD" TargetMode="External" Id="rId60"/><Relationship Type="http://schemas.openxmlformats.org/officeDocument/2006/relationships/hyperlink" Target="https://arxiv.org/abs/2405.10300" TargetMode="External" Id="rId61"/><Relationship Type="http://schemas.openxmlformats.org/officeDocument/2006/relationships/hyperlink" Target="https://github.com/IDEA-Research/Grounding-DINO-1.5-API" TargetMode="External" Id="rId62"/><Relationship Type="http://schemas.openxmlformats.org/officeDocument/2006/relationships/hyperlink" Target="https://arxiv.org/abs/2405.10300" TargetMode="External" Id="rId63"/><Relationship Type="http://schemas.openxmlformats.org/officeDocument/2006/relationships/hyperlink" Target="https://github.com/IDEA-Research/Grounding-DINO-1.5-API" TargetMode="External" Id="rId64"/><Relationship Type="http://schemas.openxmlformats.org/officeDocument/2006/relationships/hyperlink" Target="https://arxiv.org/abs/2401.03407" TargetMode="External" Id="rId65"/><Relationship Type="http://schemas.openxmlformats.org/officeDocument/2006/relationships/hyperlink" Target="https://github.com/ZhengPeng7/BiRefNet" TargetMode="External" Id="rId66"/><Relationship Type="http://schemas.openxmlformats.org/officeDocument/2006/relationships/hyperlink" Target="https://arxiv.org/abs/2404.00700" TargetMode="External" Id="rId67"/><Relationship Type="http://schemas.openxmlformats.org/officeDocument/2006/relationships/hyperlink" Target="https://github.com/" TargetMode="External" Id="rId68"/><Relationship Type="http://schemas.openxmlformats.org/officeDocument/2006/relationships/hyperlink" Target="https://arxiv.org/abs/2211.12860" TargetMode="External" Id="rId69"/><Relationship Type="http://schemas.openxmlformats.org/officeDocument/2006/relationships/hyperlink" Target="https://github.com/Sense-X/Co-DETR" TargetMode="External" Id="rId70"/><Relationship Type="http://schemas.openxmlformats.org/officeDocument/2006/relationships/hyperlink" Target="https://arxiv.org/abs/2303.11331" TargetMode="External" Id="rId71"/><Relationship Type="http://schemas.openxmlformats.org/officeDocument/2006/relationships/hyperlink" Target="https://github.com/baaivision/EVA" TargetMode="External" Id="rId72"/><Relationship Type="http://schemas.openxmlformats.org/officeDocument/2006/relationships/hyperlink" Target="https://arxiv.org/abs/2309.08365" TargetMode="External" Id="rId73"/><Relationship Type="http://schemas.openxmlformats.org/officeDocument/2006/relationships/hyperlink" Target="https://github.com/I2-Multimedia-Lab/M3Net" TargetMode="External" Id="rId74"/><Relationship Type="http://schemas.openxmlformats.org/officeDocument/2006/relationships/hyperlink" Target="https://arxiv.org/abs/2211.05778" TargetMode="External" Id="rId75"/><Relationship Type="http://schemas.openxmlformats.org/officeDocument/2006/relationships/hyperlink" Target="https://github.com/OpenGVLab/InternImage" TargetMode="External" Id="rId76"/><Relationship Type="http://schemas.openxmlformats.org/officeDocument/2006/relationships/hyperlink" Target="https://arxiv.org/abs/2207.02696" TargetMode="External" Id="rId77"/><Relationship Type="http://schemas.openxmlformats.org/officeDocument/2006/relationships/hyperlink" Target="https://github.com/WongKinYiu/yolov7" TargetMode="External" Id="rId78"/><Relationship Type="http://schemas.openxmlformats.org/officeDocument/2006/relationships/hyperlink" Target="https://arxiv.org/abs/2303.11749" TargetMode="External" Id="rId79"/><Relationship Type="http://schemas.openxmlformats.org/officeDocument/2006/relationships/hyperlink" Target="https://github.com/zhenyuw16/UniDetector" TargetMode="External" Id="rId80"/><Relationship Type="http://schemas.openxmlformats.org/officeDocument/2006/relationships/hyperlink" Target="https://github.com/Deci-AI/super-gradients" TargetMode="External" Id="rId81"/><Relationship Type="http://schemas.openxmlformats.org/officeDocument/2006/relationships/hyperlink" Target="https://github.com/Deci-AI/super-gradients" TargetMode="External" Id="rId82"/><Relationship Type="http://schemas.openxmlformats.org/officeDocument/2006/relationships/hyperlink" Target="https://arxiv.org/abs/2203.03605" TargetMode="External" Id="rId83"/><Relationship Type="http://schemas.openxmlformats.org/officeDocument/2006/relationships/hyperlink" Target="https://github.com/IDEA-Research/DINO" TargetMode="External" Id="rId84"/><Relationship Type="http://schemas.openxmlformats.org/officeDocument/2006/relationships/hyperlink" Target="https://arxiv.org/abs/2111.13409" TargetMode="External" Id="rId85"/><Relationship Type="http://schemas.openxmlformats.org/officeDocument/2006/relationships/hyperlink" Target="https://github.com/mczhuge/ICON" TargetMode="External" Id="rId86"/><Relationship Type="http://schemas.openxmlformats.org/officeDocument/2006/relationships/hyperlink" Target="https://docs.ultralytics.com/models/yolov8/" TargetMode="External" Id="rId87"/><Relationship Type="http://schemas.openxmlformats.org/officeDocument/2006/relationships/hyperlink" Target="https://github.com/ultralytics/ultralytics" TargetMode="External" Id="rId88"/><Relationship Type="http://schemas.openxmlformats.org/officeDocument/2006/relationships/hyperlink" Target="https://arxiv.org/abs/2212.07784" TargetMode="External" Id="rId89"/><Relationship Type="http://schemas.openxmlformats.org/officeDocument/2006/relationships/hyperlink" Target="https://github.com/open-mmlab/mmdetection" TargetMode="External" Id="rId90"/><Relationship Type="http://schemas.openxmlformats.org/officeDocument/2006/relationships/hyperlink" Target="https://arxiv.org/abs/2211.15444" TargetMode="External" Id="rId91"/><Relationship Type="http://schemas.openxmlformats.org/officeDocument/2006/relationships/hyperlink" Target="https://github.com/tinyvision/damo-yolo" TargetMode="External" Id="rId92"/><Relationship Type="http://schemas.openxmlformats.org/officeDocument/2006/relationships/hyperlink" Target="https://arxiv.org/abs/2209.09475" TargetMode="External" Id="rId93"/><Relationship Type="http://schemas.openxmlformats.org/officeDocument/2006/relationships/hyperlink" Target="https://github.com/plemeri/InSPyReNet" TargetMode="External" Id="rId94"/><Relationship Type="http://schemas.openxmlformats.org/officeDocument/2006/relationships/hyperlink" Target="https://arxiv.org/abs/2203.16527" TargetMode="External" Id="rId95"/><Relationship Type="http://schemas.openxmlformats.org/officeDocument/2006/relationships/hyperlink" Target="https://github.com/facebookresearch/detectron2" TargetMode="External" Id="rId96"/><Relationship Type="http://schemas.openxmlformats.org/officeDocument/2006/relationships/hyperlink" Target="https://arxiv.org/abs/2204.01697" TargetMode="External" Id="rId97"/><Relationship Type="http://schemas.openxmlformats.org/officeDocument/2006/relationships/hyperlink" Target="https://github.com/google-research/maxvit" TargetMode="External" Id="rId98"/><Relationship Type="http://schemas.openxmlformats.org/officeDocument/2006/relationships/hyperlink" Target="https://arxiv.org/abs/2209.02976" TargetMode="External" Id="rId99"/><Relationship Type="http://schemas.openxmlformats.org/officeDocument/2006/relationships/hyperlink" Target="https://github.com/meituan/YOLOv6" TargetMode="External" Id="rId100"/><Relationship Type="http://schemas.openxmlformats.org/officeDocument/2006/relationships/hyperlink" Target="https://arxiv.org/abs/2012.13093" TargetMode="External" Id="rId101"/><Relationship Type="http://schemas.openxmlformats.org/officeDocument/2006/relationships/hyperlink" Target="https://github.com/yuhuan-wu/EDN" TargetMode="External" Id="rId102"/><Relationship Type="http://schemas.openxmlformats.org/officeDocument/2006/relationships/hyperlink" Target="https://arxiv.org/abs/2208.00219" TargetMode="External" Id="rId103"/><Relationship Type="http://schemas.openxmlformats.org/officeDocument/2006/relationships/hyperlink" Target="https://github.com/ZhangGongjie/Meta-DETR" TargetMode="External" Id="rId104"/><Relationship Type="http://schemas.openxmlformats.org/officeDocument/2006/relationships/hyperlink" Target="https://arxiv.org/abs/2203.16250" TargetMode="External" Id="rId105"/><Relationship Type="http://schemas.openxmlformats.org/officeDocument/2006/relationships/hyperlink" Target="https://github.com/PaddlePaddle/PaddleDetection" TargetMode="External" Id="rId106"/><Relationship Type="http://schemas.openxmlformats.org/officeDocument/2006/relationships/hyperlink" Target="https://arxiv.org/abs/2106.04550" TargetMode="External" Id="rId107"/><Relationship Type="http://schemas.openxmlformats.org/officeDocument/2006/relationships/hyperlink" Target="https://github.com/amirbar/DETReg" TargetMode="External" Id="rId108"/><Relationship Type="http://schemas.openxmlformats.org/officeDocument/2006/relationships/hyperlink" Target="https://arxiv.org/abs/2201.03545" TargetMode="External" Id="rId109"/><Relationship Type="http://schemas.openxmlformats.org/officeDocument/2006/relationships/hyperlink" Target="https://github.com/facebookresearch/ConvNeXt" TargetMode="External" Id="rId110"/><Relationship Type="http://schemas.openxmlformats.org/officeDocument/2006/relationships/hyperlink" Target="https://arxiv.org/abs/2203.01305" TargetMode="External" Id="rId111"/><Relationship Type="http://schemas.openxmlformats.org/officeDocument/2006/relationships/hyperlink" Target="https://github.com/IDEA-Research/DN-DETR" TargetMode="External" Id="rId112"/><Relationship Type="http://schemas.openxmlformats.org/officeDocument/2006/relationships/hyperlink" Target="https://arxiv.org/abs/2201.12329" TargetMode="External" Id="rId113"/><Relationship Type="http://schemas.openxmlformats.org/officeDocument/2006/relationships/hyperlink" Target="https://github.com/IDEA-Research/DAB-DETR" TargetMode="External" Id="rId114"/><Relationship Type="http://schemas.openxmlformats.org/officeDocument/2006/relationships/hyperlink" Target="https://github.com/RangiLyu/nanodet" TargetMode="External" Id="rId115"/><Relationship Type="http://schemas.openxmlformats.org/officeDocument/2006/relationships/hyperlink" Target="https://github.com/RangiLyu/nanodet" TargetMode="External" Id="rId116"/><Relationship Type="http://schemas.openxmlformats.org/officeDocument/2006/relationships/hyperlink" Target="https://arxiv.org/abs/2104.12099" TargetMode="External" Id="rId117"/><Relationship Type="http://schemas.openxmlformats.org/officeDocument/2006/relationships/hyperlink" Target="https://github.com/nnizhang/VST" TargetMode="External" Id="rId118"/><Relationship Type="http://schemas.openxmlformats.org/officeDocument/2006/relationships/hyperlink" Target="https://arxiv.org/abs/2108.09017" TargetMode="External" Id="rId119"/><Relationship Type="http://schemas.openxmlformats.org/officeDocument/2006/relationships/hyperlink" Target="https://github.com/er-muyue/DeFRCN" TargetMode="External" Id="rId120"/><Relationship Type="http://schemas.openxmlformats.org/officeDocument/2006/relationships/hyperlink" Target="https://arxiv.org/abs/2103.14030" TargetMode="External" Id="rId121"/><Relationship Type="http://schemas.openxmlformats.org/officeDocument/2006/relationships/hyperlink" Target="https://github.com/microsoft/Swin-Transformer" TargetMode="External" Id="rId122"/><Relationship Type="http://schemas.openxmlformats.org/officeDocument/2006/relationships/hyperlink" Target="https://arxiv.org/abs/2107.08430" TargetMode="External" Id="rId123"/><Relationship Type="http://schemas.openxmlformats.org/officeDocument/2006/relationships/hyperlink" Target="https://github.com/Megvii-BaseDetection/YOLOX" TargetMode="External" Id="rId124"/><Relationship Type="http://schemas.openxmlformats.org/officeDocument/2006/relationships/hyperlink" Target="https://arxiv.org/abs/2103.05950" TargetMode="External" Id="rId125"/><Relationship Type="http://schemas.openxmlformats.org/officeDocument/2006/relationships/hyperlink" Target="https://github.com/megvii-research/FSCE" TargetMode="External" Id="rId126"/><Relationship Type="http://schemas.openxmlformats.org/officeDocument/2006/relationships/hyperlink" Target="https://arxiv.org/abs/2010.04159" TargetMode="External" Id="rId127"/><Relationship Type="http://schemas.openxmlformats.org/officeDocument/2006/relationships/hyperlink" Target="https://github.com/fundamentalvision/Deformable-DETR" TargetMode="External" Id="rId128"/><Relationship Type="http://schemas.openxmlformats.org/officeDocument/2006/relationships/hyperlink" Target="https://arxiv.org/abs/1904.09569" TargetMode="External" Id="rId129"/><Relationship Type="http://schemas.openxmlformats.org/officeDocument/2006/relationships/hyperlink" Target="https://github.com/backseason/PoolNet" TargetMode="External" Id="rId130"/><Relationship Type="http://schemas.openxmlformats.org/officeDocument/2006/relationships/hyperlink" Target="https://arxiv.org/abs/2011.12450" TargetMode="External" Id="rId131"/><Relationship Type="http://schemas.openxmlformats.org/officeDocument/2006/relationships/hyperlink" Target="https://github.com/PeizeSun/SparseR-CNN" TargetMode="External" Id="rId132"/><Relationship Type="http://schemas.openxmlformats.org/officeDocument/2006/relationships/hyperlink" Target="https://arxiv.org/abs/2005.12872" TargetMode="External" Id="rId133"/><Relationship Type="http://schemas.openxmlformats.org/officeDocument/2006/relationships/hyperlink" Target="https://github.com/facebookresearch/detr" TargetMode="External" Id="rId134"/><Relationship Type="http://schemas.openxmlformats.org/officeDocument/2006/relationships/hyperlink" Target="https://arxiv.org/abs/2007.09384" TargetMode="External" Id="rId135"/><Relationship Type="http://schemas.openxmlformats.org/officeDocument/2006/relationships/hyperlink" Target="https://github.com/jiaxi-wu/MPSR" TargetMode="External" Id="rId136"/><Relationship Type="http://schemas.openxmlformats.org/officeDocument/2006/relationships/hyperlink" Target="https://arxiv.org/abs/2003.06957" TargetMode="External" Id="rId137"/><Relationship Type="http://schemas.openxmlformats.org/officeDocument/2006/relationships/hyperlink" Target="https://github.com/ucbdrive/few-shot-object-detection" TargetMode="External" Id="rId138"/><Relationship Type="http://schemas.openxmlformats.org/officeDocument/2006/relationships/hyperlink" Target="https://arxiv.org/abs/1911.09070" TargetMode="External" Id="rId139"/><Relationship Type="http://schemas.openxmlformats.org/officeDocument/2006/relationships/hyperlink" Target="https://github.com/google/automl/tree/master/efficientdet" TargetMode="External" Id="rId140"/><Relationship Type="http://schemas.openxmlformats.org/officeDocument/2006/relationships/hyperlink" Target="https://github.com/ultralytics/yolov5" TargetMode="External" Id="rId141"/><Relationship Type="http://schemas.openxmlformats.org/officeDocument/2006/relationships/hyperlink" Target="https://github.com/ultralytics/yolov5" TargetMode="External" Id="rId142"/><Relationship Type="http://schemas.openxmlformats.org/officeDocument/2006/relationships/hyperlink" Target="https://arxiv.org/abs/2007.09062" TargetMode="External" Id="rId143"/><Relationship Type="http://schemas.openxmlformats.org/officeDocument/2006/relationships/hyperlink" Target="https://github.com/lartpang/MINet" TargetMode="External" Id="rId144"/><Relationship Type="http://schemas.openxmlformats.org/officeDocument/2006/relationships/hyperlink" Target="https://arxiv.org/abs/2005.09007" TargetMode="External" Id="rId145"/><Relationship Type="http://schemas.openxmlformats.org/officeDocument/2006/relationships/hyperlink" Target="https://github.com/xuebinqin/U-2-Net" TargetMode="External" Id="rId146"/><Relationship Type="http://schemas.openxmlformats.org/officeDocument/2006/relationships/hyperlink" Target="https://arxiv.org/abs/1909.13032" TargetMode="External" Id="rId147"/><Relationship Type="http://schemas.openxmlformats.org/officeDocument/2006/relationships/hyperlink" Target="https://github.com/yanxp/MetaR-CNN" TargetMode="External" Id="rId148"/><Relationship Type="http://schemas.openxmlformats.org/officeDocument/2006/relationships/hyperlink" Target="https://arxiv.org/abs/1812.01866" TargetMode="External" Id="rId149"/><Relationship Type="http://schemas.openxmlformats.org/officeDocument/2006/relationships/hyperlink" Target="https://github.com/bingykang/Fewshot_Detection" TargetMode="External" Id="rId150"/><Relationship Type="http://schemas.openxmlformats.org/officeDocument/2006/relationships/hyperlink" Target="https://arxiv.org/abs/1904.07857" TargetMode="External" Id="rId151"/><Relationship Type="http://schemas.openxmlformats.org/officeDocument/2006/relationships/hyperlink" Target="https://github.com/xuebinqin/BASNet" TargetMode="External" Id="rId152"/><Relationship Type="http://schemas.openxmlformats.org/officeDocument/2006/relationships/hyperlink" Target="https://arxiv.org/abs/1904.08739" TargetMode="External" Id="rId153"/><Relationship Type="http://schemas.openxmlformats.org/officeDocument/2006/relationships/hyperlink" Target="https://github.com/wuzhe71/CPD" TargetMode="External" Id="rId154"/><Relationship Type="http://schemas.openxmlformats.org/officeDocument/2006/relationships/hyperlink" Target="https://arxiv.org/abs/1904.07850" TargetMode="External" Id="rId155"/><Relationship Type="http://schemas.openxmlformats.org/officeDocument/2006/relationships/hyperlink" Target="https://github.com/xingyizhou/CenterNet" TargetMode="External" Id="rId156"/><Relationship Type="http://schemas.openxmlformats.org/officeDocument/2006/relationships/hyperlink" Target="https://arxiv.org/abs/1904.01355" TargetMode="External" Id="rId157"/><Relationship Type="http://schemas.openxmlformats.org/officeDocument/2006/relationships/hyperlink" Target="https://github.com/tianzhi0549/FCOS" TargetMode="External" Id="rId158"/><Relationship Type="http://schemas.openxmlformats.org/officeDocument/2006/relationships/hyperlink" Target="https://arxiv.org/abs/1712.00726" TargetMode="External" Id="rId159"/><Relationship Type="http://schemas.openxmlformats.org/officeDocument/2006/relationships/hyperlink" Target="https://github.com/zhaoweicai/cascade-rcnn" TargetMode="External" Id="rId160"/><Relationship Type="http://schemas.openxmlformats.org/officeDocument/2006/relationships/hyperlink" Target="https://arxiv.org/abs/1708.02002" TargetMode="External" Id="rId161"/><Relationship Type="http://schemas.openxmlformats.org/officeDocument/2006/relationships/hyperlink" Target="https://github.com/facebookresearch/Detectron" TargetMode="External" Id="rId162"/><Relationship Type="http://schemas.openxmlformats.org/officeDocument/2006/relationships/hyperlink" Target="https://arxiv.org/abs/1703.06870" TargetMode="External" Id="rId163"/><Relationship Type="http://schemas.openxmlformats.org/officeDocument/2006/relationships/hyperlink" Target="https://github.com/facebookresearch/maskrcnn-benchmark" TargetMode="External" Id="rId164"/><Relationship Type="http://schemas.openxmlformats.org/officeDocument/2006/relationships/hyperlink" Target="https://arxiv.org/abs/1506.01497" TargetMode="External" Id="rId165"/><Relationship Type="http://schemas.openxmlformats.org/officeDocument/2006/relationships/hyperlink" Target="https://github.com/rbgirshick/py-faster-rcnn" TargetMode="External" Id="rId166"/></Relationships>
</file>

<file path=xl/worksheets/_rels/sheet3.xml.rels><Relationships xmlns="http://schemas.openxmlformats.org/package/2006/relationships"><Relationship Type="http://schemas.openxmlformats.org/officeDocument/2006/relationships/hyperlink" Target="https://arxiv.org/abs/2211.12860" TargetMode="External" Id="rId1"/><Relationship Type="http://schemas.openxmlformats.org/officeDocument/2006/relationships/hyperlink" Target="https://github.com/Sense-X/Co-DETR" TargetMode="External" Id="rId2"/><Relationship Type="http://schemas.openxmlformats.org/officeDocument/2006/relationships/hyperlink" Target="https://arxiv.org/abs/2211.05778" TargetMode="External" Id="rId3"/><Relationship Type="http://schemas.openxmlformats.org/officeDocument/2006/relationships/hyperlink" Target="https://github.com/OpenGVLab/InternImage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407.11699" TargetMode="External" Id="rId7"/><Relationship Type="http://schemas.openxmlformats.org/officeDocument/2006/relationships/hyperlink" Target="https://github.com/xiuqhou/Relation-DETR" TargetMode="External" Id="rId8"/><Relationship Type="http://schemas.openxmlformats.org/officeDocument/2006/relationships/hyperlink" Target="https://arxiv.org/abs/2203.03605" TargetMode="External" Id="rId9"/><Relationship Type="http://schemas.openxmlformats.org/officeDocument/2006/relationships/hyperlink" Target="https://github.com/IDEA-Research/DINO" TargetMode="External" Id="rId10"/><Relationship Type="http://schemas.openxmlformats.org/officeDocument/2006/relationships/hyperlink" Target="https://arxiv.org/abs/2203.16527" TargetMode="External" Id="rId11"/><Relationship Type="http://schemas.openxmlformats.org/officeDocument/2006/relationships/hyperlink" Target="https://github.com/facebookresearch/detectron2" TargetMode="External" Id="rId12"/><Relationship Type="http://schemas.openxmlformats.org/officeDocument/2006/relationships/hyperlink" Target="https://arxiv.org/abs/2103.14030" TargetMode="External" Id="rId13"/><Relationship Type="http://schemas.openxmlformats.org/officeDocument/2006/relationships/hyperlink" Target="https://github.com/microsoft/Swin-Transformer" TargetMode="External" Id="rId14"/><Relationship Type="http://schemas.openxmlformats.org/officeDocument/2006/relationships/hyperlink" Target="https://arxiv.org/abs/2203.11926" TargetMode="External" Id="rId15"/><Relationship Type="http://schemas.openxmlformats.org/officeDocument/2006/relationships/hyperlink" Target="https://github.com/microsoft/FocalNet" TargetMode="External" Id="rId16"/><Relationship Type="http://schemas.openxmlformats.org/officeDocument/2006/relationships/hyperlink" Target="https://arxiv.org/abs/2201.03545" TargetMode="External" Id="rId17"/><Relationship Type="http://schemas.openxmlformats.org/officeDocument/2006/relationships/hyperlink" Target="https://github.com/facebookresearch/ConvNeXt" TargetMode="External" Id="rId18"/><Relationship Type="http://schemas.openxmlformats.org/officeDocument/2006/relationships/hyperlink" Target="https://arxiv.org/abs/2204.01697" TargetMode="External" Id="rId19"/><Relationship Type="http://schemas.openxmlformats.org/officeDocument/2006/relationships/hyperlink" Target="https://github.com/google-research/maxvit" TargetMode="External" Id="rId20"/><Relationship Type="http://schemas.openxmlformats.org/officeDocument/2006/relationships/hyperlink" Target="https://arxiv.org/abs/2010.04159" TargetMode="External" Id="rId21"/><Relationship Type="http://schemas.openxmlformats.org/officeDocument/2006/relationships/hyperlink" Target="https://github.com/fundamentalvision/Deformable-DETR" TargetMode="External" Id="rId22"/><Relationship Type="http://schemas.openxmlformats.org/officeDocument/2006/relationships/hyperlink" Target="https://arxiv.org/abs/2005.12872" TargetMode="External" Id="rId23"/><Relationship Type="http://schemas.openxmlformats.org/officeDocument/2006/relationships/hyperlink" Target="https://github.com/facebookresearch/detr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211.12860" TargetMode="External" Id="rId1"/><Relationship Type="http://schemas.openxmlformats.org/officeDocument/2006/relationships/hyperlink" Target="https://github.com/Sense-X/Co-DETR" TargetMode="External" Id="rId2"/><Relationship Type="http://schemas.openxmlformats.org/officeDocument/2006/relationships/hyperlink" Target="https://arxiv.org/abs/2211.05778" TargetMode="External" Id="rId3"/><Relationship Type="http://schemas.openxmlformats.org/officeDocument/2006/relationships/hyperlink" Target="https://github.com/OpenGVLab/InternImage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407.11699" TargetMode="External" Id="rId7"/><Relationship Type="http://schemas.openxmlformats.org/officeDocument/2006/relationships/hyperlink" Target="https://github.com/xiuqhou/Relation-DETR" TargetMode="External" Id="rId8"/><Relationship Type="http://schemas.openxmlformats.org/officeDocument/2006/relationships/hyperlink" Target="https://arxiv.org/abs/2203.03605" TargetMode="External" Id="rId9"/><Relationship Type="http://schemas.openxmlformats.org/officeDocument/2006/relationships/hyperlink" Target="https://github.com/IDEA-Research/DINO" TargetMode="External" Id="rId10"/><Relationship Type="http://schemas.openxmlformats.org/officeDocument/2006/relationships/hyperlink" Target="https://arxiv.org/abs/2207.13080" TargetMode="External" Id="rId11"/><Relationship Type="http://schemas.openxmlformats.org/officeDocument/2006/relationships/hyperlink" Target="https://github.com/HDETR/H-Deformable-DETR" TargetMode="External" Id="rId12"/><Relationship Type="http://schemas.openxmlformats.org/officeDocument/2006/relationships/hyperlink" Target="https://arxiv.org/abs/2510.25257" TargetMode="External" Id="rId13"/><Relationship Type="http://schemas.openxmlformats.org/officeDocument/2006/relationships/hyperlink" Target="https://github.com/RT-DETRs/RT-DETRv4" TargetMode="External" Id="rId14"/><Relationship Type="http://schemas.openxmlformats.org/officeDocument/2006/relationships/hyperlink" Target="https://arxiv.org/abs/2412.04234" TargetMode="External" Id="rId15"/><Relationship Type="http://schemas.openxmlformats.org/officeDocument/2006/relationships/hyperlink" Target="https://github.com/Intellindust-AI-Lab/DEIM" TargetMode="External" Id="rId16"/><Relationship Type="http://schemas.openxmlformats.org/officeDocument/2006/relationships/hyperlink" Target="https://arxiv.org/abs/2203.01305" TargetMode="External" Id="rId17"/><Relationship Type="http://schemas.openxmlformats.org/officeDocument/2006/relationships/hyperlink" Target="https://github.com/IDEA-Research/DN-DETR" TargetMode="External" Id="rId18"/><Relationship Type="http://schemas.openxmlformats.org/officeDocument/2006/relationships/hyperlink" Target="https://arxiv.org/abs/2201.12329" TargetMode="External" Id="rId19"/><Relationship Type="http://schemas.openxmlformats.org/officeDocument/2006/relationships/hyperlink" Target="https://github.com/IDEA-Research/DAB-DETR" TargetMode="External" Id="rId20"/><Relationship Type="http://schemas.openxmlformats.org/officeDocument/2006/relationships/hyperlink" Target="https://arxiv.org/abs/2005.12872" TargetMode="External" Id="rId21"/><Relationship Type="http://schemas.openxmlformats.org/officeDocument/2006/relationships/hyperlink" Target="https://github.com/facebookresearch/detr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arxiv.org/abs/2211.12860" TargetMode="External" Id="rId1"/><Relationship Type="http://schemas.openxmlformats.org/officeDocument/2006/relationships/hyperlink" Target="https://github.com/Sense-X/Co-DETR" TargetMode="External" Id="rId2"/><Relationship Type="http://schemas.openxmlformats.org/officeDocument/2006/relationships/hyperlink" Target="https://arxiv.org/abs/2211.05778" TargetMode="External" Id="rId3"/><Relationship Type="http://schemas.openxmlformats.org/officeDocument/2006/relationships/hyperlink" Target="https://github.com/OpenGVLab/InternImage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407.11699" TargetMode="External" Id="rId7"/><Relationship Type="http://schemas.openxmlformats.org/officeDocument/2006/relationships/hyperlink" Target="https://github.com/xiuqhou/Relation-DETR" TargetMode="External" Id="rId8"/><Relationship Type="http://schemas.openxmlformats.org/officeDocument/2006/relationships/hyperlink" Target="https://arxiv.org/abs/2203.03605" TargetMode="External" Id="rId9"/><Relationship Type="http://schemas.openxmlformats.org/officeDocument/2006/relationships/hyperlink" Target="https://github.com/IDEA-Research/DINO" TargetMode="External" Id="rId10"/><Relationship Type="http://schemas.openxmlformats.org/officeDocument/2006/relationships/hyperlink" Target="https://arxiv.org/abs/2511.09554" TargetMode="External" Id="rId11"/><Relationship Type="http://schemas.openxmlformats.org/officeDocument/2006/relationships/hyperlink" Target="https://github.com/roboflow/rf-detr" TargetMode="External" Id="rId12"/><Relationship Type="http://schemas.openxmlformats.org/officeDocument/2006/relationships/hyperlink" Target="https://arxiv.org/abs/2510.25257" TargetMode="External" Id="rId13"/><Relationship Type="http://schemas.openxmlformats.org/officeDocument/2006/relationships/hyperlink" Target="https://github.com/RT-DETRs/RT-DETRv4" TargetMode="External" Id="rId14"/><Relationship Type="http://schemas.openxmlformats.org/officeDocument/2006/relationships/hyperlink" Target="https://arxiv.org/abs/2412.04234" TargetMode="External" Id="rId15"/><Relationship Type="http://schemas.openxmlformats.org/officeDocument/2006/relationships/hyperlink" Target="https://github.com/Intellindust-AI-Lab/DEIM" TargetMode="External" Id="rId16"/><Relationship Type="http://schemas.openxmlformats.org/officeDocument/2006/relationships/hyperlink" Target="https://arxiv.org/abs/2410.13842" TargetMode="External" Id="rId17"/><Relationship Type="http://schemas.openxmlformats.org/officeDocument/2006/relationships/hyperlink" Target="https://github.com/Peterande/D-FINE" TargetMode="External" Id="rId18"/><Relationship Type="http://schemas.openxmlformats.org/officeDocument/2006/relationships/hyperlink" Target="https://arxiv.org/abs/2402.13616" TargetMode="External" Id="rId19"/><Relationship Type="http://schemas.openxmlformats.org/officeDocument/2006/relationships/hyperlink" Target="https://github.com/WongKinYiu/yolov9" TargetMode="External" Id="rId20"/><Relationship Type="http://schemas.openxmlformats.org/officeDocument/2006/relationships/hyperlink" Target="https://arxiv.org/abs/2502.12524" TargetMode="External" Id="rId21"/><Relationship Type="http://schemas.openxmlformats.org/officeDocument/2006/relationships/hyperlink" Target="https://github.com/sunsmarterjie/yolov12" TargetMode="External" Id="rId22"/><Relationship Type="http://schemas.openxmlformats.org/officeDocument/2006/relationships/hyperlink" Target="https://docs.ultralytics.com/models/yolo11/" TargetMode="External" Id="rId23"/><Relationship Type="http://schemas.openxmlformats.org/officeDocument/2006/relationships/hyperlink" Target="https://github.com/ultralytics/ultralytics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arxiv.org/abs/2211.12860" TargetMode="External" Id="rId1"/><Relationship Type="http://schemas.openxmlformats.org/officeDocument/2006/relationships/hyperlink" Target="https://github.com/Sense-X/Co-DETR" TargetMode="External" Id="rId2"/><Relationship Type="http://schemas.openxmlformats.org/officeDocument/2006/relationships/hyperlink" Target="https://arxiv.org/abs/2211.05778" TargetMode="External" Id="rId3"/><Relationship Type="http://schemas.openxmlformats.org/officeDocument/2006/relationships/hyperlink" Target="https://github.com/OpenGVLab/InternImage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407.11699" TargetMode="External" Id="rId7"/><Relationship Type="http://schemas.openxmlformats.org/officeDocument/2006/relationships/hyperlink" Target="https://github.com/xiuqhou/Relation-DETR" TargetMode="External" Id="rId8"/><Relationship Type="http://schemas.openxmlformats.org/officeDocument/2006/relationships/hyperlink" Target="https://arxiv.org/abs/2203.03605" TargetMode="External" Id="rId9"/><Relationship Type="http://schemas.openxmlformats.org/officeDocument/2006/relationships/hyperlink" Target="https://github.com/IDEA-Research/DINO" TargetMode="External" Id="rId10"/><Relationship Type="http://schemas.openxmlformats.org/officeDocument/2006/relationships/hyperlink" Target="https://arxiv.org/abs/2511.09554" TargetMode="External" Id="rId11"/><Relationship Type="http://schemas.openxmlformats.org/officeDocument/2006/relationships/hyperlink" Target="https://github.com/roboflow/rf-detr" TargetMode="External" Id="rId12"/><Relationship Type="http://schemas.openxmlformats.org/officeDocument/2006/relationships/hyperlink" Target="https://arxiv.org/abs/2510.25257" TargetMode="External" Id="rId13"/><Relationship Type="http://schemas.openxmlformats.org/officeDocument/2006/relationships/hyperlink" Target="https://github.com/RT-DETRs/RT-DETRv4" TargetMode="External" Id="rId14"/><Relationship Type="http://schemas.openxmlformats.org/officeDocument/2006/relationships/hyperlink" Target="https://arxiv.org/abs/2412.04234" TargetMode="External" Id="rId15"/><Relationship Type="http://schemas.openxmlformats.org/officeDocument/2006/relationships/hyperlink" Target="https://github.com/Intellindust-AI-Lab/DEIM" TargetMode="External" Id="rId16"/><Relationship Type="http://schemas.openxmlformats.org/officeDocument/2006/relationships/hyperlink" Target="https://arxiv.org/abs/2410.13842" TargetMode="External" Id="rId17"/><Relationship Type="http://schemas.openxmlformats.org/officeDocument/2006/relationships/hyperlink" Target="https://github.com/Peterande/D-FINE" TargetMode="External" Id="rId18"/><Relationship Type="http://schemas.openxmlformats.org/officeDocument/2006/relationships/hyperlink" Target="https://arxiv.org/abs/2402.13616" TargetMode="External" Id="rId19"/><Relationship Type="http://schemas.openxmlformats.org/officeDocument/2006/relationships/hyperlink" Target="https://github.com/WongKinYiu/yolov9" TargetMode="External" Id="rId20"/><Relationship Type="http://schemas.openxmlformats.org/officeDocument/2006/relationships/hyperlink" Target="https://arxiv.org/abs/2502.12524" TargetMode="External" Id="rId21"/><Relationship Type="http://schemas.openxmlformats.org/officeDocument/2006/relationships/hyperlink" Target="https://github.com/sunsmarterjie/yolov12" TargetMode="External" Id="rId22"/><Relationship Type="http://schemas.openxmlformats.org/officeDocument/2006/relationships/hyperlink" Target="https://docs.ultralytics.com/models/yolo11/" TargetMode="External" Id="rId23"/><Relationship Type="http://schemas.openxmlformats.org/officeDocument/2006/relationships/hyperlink" Target="https://github.com/ultralytics/ultralytics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arxiv.org/abs/2307.12730" TargetMode="External" Id="rId1"/><Relationship Type="http://schemas.openxmlformats.org/officeDocument/2006/relationships/hyperlink" Target="https://github.com/alibaba/easyrobust" TargetMode="External" Id="rId2"/><Relationship Type="http://schemas.openxmlformats.org/officeDocument/2006/relationships/hyperlink" Target="https://arxiv.org/abs/2307.12730" TargetMode="External" Id="rId3"/><Relationship Type="http://schemas.openxmlformats.org/officeDocument/2006/relationships/hyperlink" Target="https://github.com/alibaba/easyrobust" TargetMode="External" Id="rId4"/><Relationship Type="http://schemas.openxmlformats.org/officeDocument/2006/relationships/hyperlink" Target="https://arxiv.org/abs/2307.12730" TargetMode="External" Id="rId5"/><Relationship Type="http://schemas.openxmlformats.org/officeDocument/2006/relationships/hyperlink" Target="https://github.com/alibaba/easyrobust" TargetMode="External" Id="rId6"/><Relationship Type="http://schemas.openxmlformats.org/officeDocument/2006/relationships/hyperlink" Target="https://arxiv.org/abs/2307.12730" TargetMode="External" Id="rId7"/><Relationship Type="http://schemas.openxmlformats.org/officeDocument/2006/relationships/hyperlink" Target="https://github.com/alibaba/easyrobust" TargetMode="External" Id="rId8"/><Relationship Type="http://schemas.openxmlformats.org/officeDocument/2006/relationships/hyperlink" Target="https://arxiv.org/abs/2211.05778" TargetMode="External" Id="rId9"/><Relationship Type="http://schemas.openxmlformats.org/officeDocument/2006/relationships/hyperlink" Target="https://github.com/OpenGVLab/InternImage" TargetMode="External" Id="rId10"/><Relationship Type="http://schemas.openxmlformats.org/officeDocument/2006/relationships/hyperlink" Target="https://arxiv.org/abs/2303.11331" TargetMode="External" Id="rId11"/><Relationship Type="http://schemas.openxmlformats.org/officeDocument/2006/relationships/hyperlink" Target="https://github.com/baaivision/EVA" TargetMode="External" Id="rId12"/><Relationship Type="http://schemas.openxmlformats.org/officeDocument/2006/relationships/hyperlink" Target="https://arxiv.org/abs/2211.12860" TargetMode="External" Id="rId13"/><Relationship Type="http://schemas.openxmlformats.org/officeDocument/2006/relationships/hyperlink" Target="https://github.com/Sense-X/Co-DETR" TargetMode="External" Id="rId14"/><Relationship Type="http://schemas.openxmlformats.org/officeDocument/2006/relationships/hyperlink" Target="https://arxiv.org/abs/2203.03605" TargetMode="External" Id="rId15"/><Relationship Type="http://schemas.openxmlformats.org/officeDocument/2006/relationships/hyperlink" Target="https://github.com/IDEA-Research/DINO" TargetMode="External" Id="rId16"/><Relationship Type="http://schemas.openxmlformats.org/officeDocument/2006/relationships/hyperlink" Target="https://docs.ultralytics.com/models/yolov8/" TargetMode="External" Id="rId17"/><Relationship Type="http://schemas.openxmlformats.org/officeDocument/2006/relationships/hyperlink" Target="https://github.com/ultralytics/ultralytics" TargetMode="External" Id="rId18"/><Relationship Type="http://schemas.openxmlformats.org/officeDocument/2006/relationships/hyperlink" Target="https://arxiv.org/abs/2304.08069" TargetMode="External" Id="rId19"/><Relationship Type="http://schemas.openxmlformats.org/officeDocument/2006/relationships/hyperlink" Target="https://github.com/lyuwenyu/RT-DETR" TargetMode="External" Id="rId20"/><Relationship Type="http://schemas.openxmlformats.org/officeDocument/2006/relationships/hyperlink" Target="https://arxiv.org/abs/2405.10300" TargetMode="External" Id="rId21"/><Relationship Type="http://schemas.openxmlformats.org/officeDocument/2006/relationships/hyperlink" Target="https://github.com/IDEA-Research/Grounding-DINO-1.5-API" TargetMode="External" Id="rId22"/></Relationships>
</file>

<file path=xl/worksheets/_rels/sheet8.xml.rels><Relationships xmlns="http://schemas.openxmlformats.org/package/2006/relationships"><Relationship Type="http://schemas.openxmlformats.org/officeDocument/2006/relationships/hyperlink" Target="https://arxiv.org/abs/2203.03605" TargetMode="External" Id="rId1"/><Relationship Type="http://schemas.openxmlformats.org/officeDocument/2006/relationships/hyperlink" Target="https://github.com/IDEA-Research/DINO" TargetMode="External" Id="rId2"/><Relationship Type="http://schemas.openxmlformats.org/officeDocument/2006/relationships/hyperlink" Target="https://arxiv.org/abs/2207.02696" TargetMode="External" Id="rId3"/><Relationship Type="http://schemas.openxmlformats.org/officeDocument/2006/relationships/hyperlink" Target="https://github.com/WongKinYiu/yolov7" TargetMode="External" Id="rId4"/><Relationship Type="http://schemas.openxmlformats.org/officeDocument/2006/relationships/hyperlink" Target="https://arxiv.org/abs/2004.10934" TargetMode="External" Id="rId5"/><Relationship Type="http://schemas.openxmlformats.org/officeDocument/2006/relationships/hyperlink" Target="https://github.com/AlexeyAB/darknet" TargetMode="External" Id="rId6"/><Relationship Type="http://schemas.openxmlformats.org/officeDocument/2006/relationships/hyperlink" Target="https://arxiv.org/abs/1712.00726" TargetMode="External" Id="rId7"/><Relationship Type="http://schemas.openxmlformats.org/officeDocument/2006/relationships/hyperlink" Target="https://github.com/zhaoweicai/cascade-rcnn" TargetMode="External" Id="rId8"/><Relationship Type="http://schemas.openxmlformats.org/officeDocument/2006/relationships/hyperlink" Target="https://arxiv.org/abs/2005.12872" TargetMode="External" Id="rId9"/><Relationship Type="http://schemas.openxmlformats.org/officeDocument/2006/relationships/hyperlink" Target="https://github.com/facebookresearch/detr" TargetMode="External" Id="rId10"/><Relationship Type="http://schemas.openxmlformats.org/officeDocument/2006/relationships/hyperlink" Target="https://arxiv.org/abs/2011.12450" TargetMode="External" Id="rId11"/><Relationship Type="http://schemas.openxmlformats.org/officeDocument/2006/relationships/hyperlink" Target="https://github.com/PeizeSun/SparseR-CNN" TargetMode="External" Id="rId12"/><Relationship Type="http://schemas.openxmlformats.org/officeDocument/2006/relationships/hyperlink" Target="https://arxiv.org/abs/1708.02002" TargetMode="External" Id="rId13"/><Relationship Type="http://schemas.openxmlformats.org/officeDocument/2006/relationships/hyperlink" Target="https://github.com/facebookresearch/Detectron" TargetMode="External" Id="rId14"/><Relationship Type="http://schemas.openxmlformats.org/officeDocument/2006/relationships/hyperlink" Target="https://arxiv.org/abs/1506.01497" TargetMode="External" Id="rId15"/><Relationship Type="http://schemas.openxmlformats.org/officeDocument/2006/relationships/hyperlink" Target="https://github.com/rbgirshick/py-faster-rcnn" TargetMode="External" Id="rId16"/><Relationship Type="http://schemas.openxmlformats.org/officeDocument/2006/relationships/hyperlink" Target="https://docs.ultralytics.com/models/yolov8/" TargetMode="External" Id="rId17"/><Relationship Type="http://schemas.openxmlformats.org/officeDocument/2006/relationships/hyperlink" Target="https://github.com/ultralytics/ultralytics" TargetMode="External" Id="rId18"/><Relationship Type="http://schemas.openxmlformats.org/officeDocument/2006/relationships/hyperlink" Target="https://github.com/Deci-AI/super-gradients" TargetMode="External" Id="rId19"/><Relationship Type="http://schemas.openxmlformats.org/officeDocument/2006/relationships/hyperlink" Target="https://github.com/Deci-AI/super-gradients" TargetMode="External" Id="rId20"/><Relationship Type="http://schemas.openxmlformats.org/officeDocument/2006/relationships/hyperlink" Target="https://arxiv.org/abs/2303.05499" TargetMode="External" Id="rId21"/><Relationship Type="http://schemas.openxmlformats.org/officeDocument/2006/relationships/hyperlink" Target="https://github.com/IDEA-Research/GroundingDINO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arxiv.org/abs/2207.13165" TargetMode="External" Id="rId1"/><Relationship Type="http://schemas.openxmlformats.org/officeDocument/2006/relationships/hyperlink" Target="https://github.com/anlinzheng/iter-deformable-detr" TargetMode="External" Id="rId2"/><Relationship Type="http://schemas.openxmlformats.org/officeDocument/2006/relationships/hyperlink" Target="https://arxiv.org/abs/2012.06785" TargetMode="External" Id="rId3"/><Relationship Type="http://schemas.openxmlformats.org/officeDocument/2006/relationships/hyperlink" Target="https://github.com/Hatins/DEYOLO" TargetMode="External" Id="rId4"/><Relationship Type="http://schemas.openxmlformats.org/officeDocument/2006/relationships/hyperlink" Target="https://arxiv.org/abs/2010.04159" TargetMode="External" Id="rId5"/><Relationship Type="http://schemas.openxmlformats.org/officeDocument/2006/relationships/hyperlink" Target="https://github.com/fundamentalvision/Deformable-DETR" TargetMode="External" Id="rId6"/><Relationship Type="http://schemas.openxmlformats.org/officeDocument/2006/relationships/hyperlink" Target="https://arxiv.org/abs/2011.12450" TargetMode="External" Id="rId7"/><Relationship Type="http://schemas.openxmlformats.org/officeDocument/2006/relationships/hyperlink" Target="https://github.com/PeizeSun/SparseR-CNN" TargetMode="External" Id="rId8"/><Relationship Type="http://schemas.openxmlformats.org/officeDocument/2006/relationships/hyperlink" Target="https://arxiv.org/abs/2003.07847" TargetMode="External" Id="rId9"/><Relationship Type="http://schemas.openxmlformats.org/officeDocument/2006/relationships/hyperlink" Target="https://github.com/Megvii-BaseDetection/CrowdDetection" TargetMode="External" Id="rId10"/><Relationship Type="http://schemas.openxmlformats.org/officeDocument/2006/relationships/hyperlink" Target="https://arxiv.org/abs/2003.07847" TargetMode="External" Id="rId11"/><Relationship Type="http://schemas.openxmlformats.org/officeDocument/2006/relationships/hyperlink" Target="https://github.com/Purkialo/CrowdDet" TargetMode="External" Id="rId12"/><Relationship Type="http://schemas.openxmlformats.org/officeDocument/2006/relationships/hyperlink" Target="https://arxiv.org/abs/2207.02696" TargetMode="External" Id="rId13"/><Relationship Type="http://schemas.openxmlformats.org/officeDocument/2006/relationships/hyperlink" Target="https://github.com/WongKinYiu/yolov7" TargetMode="External" Id="rId14"/><Relationship Type="http://schemas.openxmlformats.org/officeDocument/2006/relationships/hyperlink" Target="https://arxiv.org/abs/2003.07847" TargetMode="External" Id="rId15"/><Relationship Type="http://schemas.openxmlformats.org/officeDocument/2006/relationships/hyperlink" Target="https://github.com/Purkialo/CrowdDet" TargetMode="External" Id="rId16"/><Relationship Type="http://schemas.openxmlformats.org/officeDocument/2006/relationships/hyperlink" Target="https://arxiv.org/abs/1805.00123" TargetMode="External" Id="rId17"/><Relationship Type="http://schemas.openxmlformats.org/officeDocument/2006/relationships/hyperlink" Target="https://github.com/Purkialo/CrowdDet" TargetMode="External" Id="rId18"/><Relationship Type="http://schemas.openxmlformats.org/officeDocument/2006/relationships/hyperlink" Target="https://arxiv.org/abs/2309.000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docs.ultralytics.com/models/yolov8/" TargetMode="External" Id="rId21"/><Relationship Type="http://schemas.openxmlformats.org/officeDocument/2006/relationships/hyperlink" Target="https://github.com/ultralytics/ultralytics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nature.com/articles/s41597-023-02432-4" TargetMode="External" Id="rId1"/><Relationship Type="http://schemas.openxmlformats.org/officeDocument/2006/relationships/hyperlink" Target="https://github.com/Yang-Z-G/GRAZPEDWRI-DX" TargetMode="External" Id="rId2"/><Relationship Type="http://schemas.openxmlformats.org/officeDocument/2006/relationships/hyperlink" Target="https://arxiv.org/abs/2207.02696" TargetMode="External" Id="rId3"/><Relationship Type="http://schemas.openxmlformats.org/officeDocument/2006/relationships/hyperlink" Target="https://github.com/WongKinYiu/yolov7" TargetMode="External" Id="rId4"/><Relationship Type="http://schemas.openxmlformats.org/officeDocument/2006/relationships/hyperlink" Target="https://arxiv.org/abs/2402.13616" TargetMode="External" Id="rId5"/><Relationship Type="http://schemas.openxmlformats.org/officeDocument/2006/relationships/hyperlink" Target="https://github.com/WongKinYiu/yolov9" TargetMode="External" Id="rId6"/><Relationship Type="http://schemas.openxmlformats.org/officeDocument/2006/relationships/hyperlink" Target="https://docs.ultralytics.com/models/yolo11/" TargetMode="External" Id="rId7"/><Relationship Type="http://schemas.openxmlformats.org/officeDocument/2006/relationships/hyperlink" Target="https://github.com/ultralytics/ultralytics" TargetMode="External" Id="rId8"/><Relationship Type="http://schemas.openxmlformats.org/officeDocument/2006/relationships/hyperlink" Target="https://arxiv.org/abs/2502.12524" TargetMode="External" Id="rId9"/><Relationship Type="http://schemas.openxmlformats.org/officeDocument/2006/relationships/hyperlink" Target="https://github.com/sunsmarterjie/yolov12" TargetMode="External" Id="rId10"/><Relationship Type="http://schemas.openxmlformats.org/officeDocument/2006/relationships/hyperlink" Target="https://arxiv.org/abs/1506.01497" TargetMode="External" Id="rId11"/><Relationship Type="http://schemas.openxmlformats.org/officeDocument/2006/relationships/hyperlink" Target="https://github.com/rbgirshick/py-faster-rcnn" TargetMode="External" Id="rId12"/><Relationship Type="http://schemas.openxmlformats.org/officeDocument/2006/relationships/hyperlink" Target="https://arxiv.org/abs/1712.00726" TargetMode="External" Id="rId13"/><Relationship Type="http://schemas.openxmlformats.org/officeDocument/2006/relationships/hyperlink" Target="https://github.com/zhaoweicai/cascade-rcnn" TargetMode="External" Id="rId14"/><Relationship Type="http://schemas.openxmlformats.org/officeDocument/2006/relationships/hyperlink" Target="https://arxiv.org/abs/2304.08069" TargetMode="External" Id="rId15"/><Relationship Type="http://schemas.openxmlformats.org/officeDocument/2006/relationships/hyperlink" Target="https://github.com/lyuwenyu/RT-DETR" TargetMode="External" Id="rId16"/><Relationship Type="http://schemas.openxmlformats.org/officeDocument/2006/relationships/hyperlink" Target="https://github.com/Deci-AI/super-gradients" TargetMode="External" Id="rId17"/><Relationship Type="http://schemas.openxmlformats.org/officeDocument/2006/relationships/hyperlink" Target="https://github.com/Deci-AI/super-gradients" TargetMode="External" Id="rId18"/><Relationship Type="http://schemas.openxmlformats.org/officeDocument/2006/relationships/hyperlink" Target="https://docs.ultralytics.com/models/yolo26/" TargetMode="External" Id="rId19"/><Relationship Type="http://schemas.openxmlformats.org/officeDocument/2006/relationships/hyperlink" Target="https://github.com/ultralytics/ultralytics" TargetMode="External" Id="rId20"/><Relationship Type="http://schemas.openxmlformats.org/officeDocument/2006/relationships/hyperlink" Target="https://arxiv.org/abs/2506.17733" TargetMode="External" Id="rId21"/><Relationship Type="http://schemas.openxmlformats.org/officeDocument/2006/relationships/hyperlink" Target="https://github.com/iMoonLab/yolov13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arxiv.org/abs/2112.09569" TargetMode="External" Id="rId1"/><Relationship Type="http://schemas.openxmlformats.org/officeDocument/2006/relationships/hyperlink" Target="https://github.com/Rishit-dagli/CPPE-Dataset" TargetMode="External" Id="rId2"/><Relationship Type="http://schemas.openxmlformats.org/officeDocument/2006/relationships/hyperlink" Target="https://arxiv.org/abs/2112.09569" TargetMode="External" Id="rId3"/><Relationship Type="http://schemas.openxmlformats.org/officeDocument/2006/relationships/hyperlink" Target="https://github.com/Rishit-dagli/CPPE-Dataset" TargetMode="External" Id="rId4"/><Relationship Type="http://schemas.openxmlformats.org/officeDocument/2006/relationships/hyperlink" Target="https://arxiv.org/abs/2112.09569" TargetMode="External" Id="rId5"/><Relationship Type="http://schemas.openxmlformats.org/officeDocument/2006/relationships/hyperlink" Target="https://github.com/Rishit-dagli/CPPE-Dataset" TargetMode="External" Id="rId6"/><Relationship Type="http://schemas.openxmlformats.org/officeDocument/2006/relationships/hyperlink" Target="https://arxiv.org/abs/2112.09569" TargetMode="External" Id="rId7"/><Relationship Type="http://schemas.openxmlformats.org/officeDocument/2006/relationships/hyperlink" Target="https://github.com/Rishit-dagli/CPPE-Dataset" TargetMode="External" Id="rId8"/><Relationship Type="http://schemas.openxmlformats.org/officeDocument/2006/relationships/hyperlink" Target="https://arxiv.org/abs/2207.02696" TargetMode="External" Id="rId9"/><Relationship Type="http://schemas.openxmlformats.org/officeDocument/2006/relationships/hyperlink" Target="https://github.com/WongKinYiu/yolov7" TargetMode="External" Id="rId10"/><Relationship Type="http://schemas.openxmlformats.org/officeDocument/2006/relationships/hyperlink" Target="https://docs.ultralytics.com/models/yolov8/" TargetMode="External" Id="rId11"/><Relationship Type="http://schemas.openxmlformats.org/officeDocument/2006/relationships/hyperlink" Target="https://github.com/ultralytics/ultralytics" TargetMode="External" Id="rId12"/><Relationship Type="http://schemas.openxmlformats.org/officeDocument/2006/relationships/hyperlink" Target="https://arxiv.org/abs/2402.13616" TargetMode="External" Id="rId13"/><Relationship Type="http://schemas.openxmlformats.org/officeDocument/2006/relationships/hyperlink" Target="https://github.com/WongKinYiu/yolov9" TargetMode="External" Id="rId14"/><Relationship Type="http://schemas.openxmlformats.org/officeDocument/2006/relationships/hyperlink" Target="https://docs.ultralytics.com/models/yolo11/" TargetMode="External" Id="rId15"/><Relationship Type="http://schemas.openxmlformats.org/officeDocument/2006/relationships/hyperlink" Target="https://github.com/ultralytics/ultralytics" TargetMode="External" Id="rId16"/><Relationship Type="http://schemas.openxmlformats.org/officeDocument/2006/relationships/hyperlink" Target="https://arxiv.org/abs/2502.12524" TargetMode="External" Id="rId17"/><Relationship Type="http://schemas.openxmlformats.org/officeDocument/2006/relationships/hyperlink" Target="https://github.com/sunsmarterjie/yolov12" TargetMode="External" Id="rId18"/><Relationship Type="http://schemas.openxmlformats.org/officeDocument/2006/relationships/hyperlink" Target="https://arxiv.org/abs/2506.17733" TargetMode="External" Id="rId19"/><Relationship Type="http://schemas.openxmlformats.org/officeDocument/2006/relationships/hyperlink" Target="https://github.com/iMoonLab/yolov13" TargetMode="External" Id="rId20"/><Relationship Type="http://schemas.openxmlformats.org/officeDocument/2006/relationships/hyperlink" Target="https://arxiv.org/abs/2304.08069" TargetMode="External" Id="rId21"/><Relationship Type="http://schemas.openxmlformats.org/officeDocument/2006/relationships/hyperlink" Target="https://github.com/lyuwenyu/RT-DETR" TargetMode="External" Id="rId22"/></Relationships>
</file>

<file path=xl/worksheets/_rels/sheet12.xml.rels><Relationships xmlns="http://schemas.openxmlformats.org/package/2006/relationships"><Relationship Type="http://schemas.openxmlformats.org/officeDocument/2006/relationships/hyperlink" Target="https://waymo.com/open/challenges/2022/2d-detection/" TargetMode="External" Id="rId1"/><Relationship Type="http://schemas.openxmlformats.org/officeDocument/2006/relationships/hyperlink" Target="https://github.com/waymo-research/waymo-open-dataset" TargetMode="External" Id="rId2"/><Relationship Type="http://schemas.openxmlformats.org/officeDocument/2006/relationships/hyperlink" Target="https://arxiv.org/abs/2105.04206" TargetMode="External" Id="rId3"/><Relationship Type="http://schemas.openxmlformats.org/officeDocument/2006/relationships/hyperlink" Target="https://github.com/WongKinYiu/yolor" TargetMode="External" Id="rId4"/><Relationship Type="http://schemas.openxmlformats.org/officeDocument/2006/relationships/hyperlink" Target="https://arxiv.org/abs/1712.00726" TargetMode="External" Id="rId5"/><Relationship Type="http://schemas.openxmlformats.org/officeDocument/2006/relationships/hyperlink" Target="https://github.com/zhaoweicai/cascade-rcnn" TargetMode="External" Id="rId6"/><Relationship Type="http://schemas.openxmlformats.org/officeDocument/2006/relationships/hyperlink" Target="https://arxiv.org/abs/1506.01497" TargetMode="External" Id="rId7"/><Relationship Type="http://schemas.openxmlformats.org/officeDocument/2006/relationships/hyperlink" Target="https://github.com/rbgirshick/py-faster-rcnn" TargetMode="External" Id="rId8"/><Relationship Type="http://schemas.openxmlformats.org/officeDocument/2006/relationships/hyperlink" Target="https://arxiv.org/abs/2011.12450" TargetMode="External" Id="rId9"/><Relationship Type="http://schemas.openxmlformats.org/officeDocument/2006/relationships/hyperlink" Target="https://github.com/PeizeSun/SparseR-CNN" TargetMode="External" Id="rId10"/><Relationship Type="http://schemas.openxmlformats.org/officeDocument/2006/relationships/hyperlink" Target="https://arxiv.org/abs/2005.12872" TargetMode="External" Id="rId11"/><Relationship Type="http://schemas.openxmlformats.org/officeDocument/2006/relationships/hyperlink" Target="https://github.com/facebookresearch/detr" TargetMode="External" Id="rId12"/><Relationship Type="http://schemas.openxmlformats.org/officeDocument/2006/relationships/hyperlink" Target="https://arxiv.org/abs/2211.12860" TargetMode="External" Id="rId13"/><Relationship Type="http://schemas.openxmlformats.org/officeDocument/2006/relationships/hyperlink" Target="https://github.com/Sense-X/Co-DETR" TargetMode="External" Id="rId14"/><Relationship Type="http://schemas.openxmlformats.org/officeDocument/2006/relationships/hyperlink" Target="https://arxiv.org/abs/2211.05778" TargetMode="External" Id="rId15"/><Relationship Type="http://schemas.openxmlformats.org/officeDocument/2006/relationships/hyperlink" Target="https://github.com/OpenGVLab/InternImage" TargetMode="External" Id="rId16"/><Relationship Type="http://schemas.openxmlformats.org/officeDocument/2006/relationships/hyperlink" Target="https://arxiv.org/abs/2207.02696" TargetMode="External" Id="rId17"/><Relationship Type="http://schemas.openxmlformats.org/officeDocument/2006/relationships/hyperlink" Target="https://github.com/WongKinYiu/yolov7" TargetMode="External" Id="rId18"/><Relationship Type="http://schemas.openxmlformats.org/officeDocument/2006/relationships/hyperlink" Target="https://docs.ultralytics.com/models/yolov8/" TargetMode="External" Id="rId19"/><Relationship Type="http://schemas.openxmlformats.org/officeDocument/2006/relationships/hyperlink" Target="https://github.com/ultralytics/ultralytics" TargetMode="External" Id="rId20"/><Relationship Type="http://schemas.openxmlformats.org/officeDocument/2006/relationships/hyperlink" Target="https://arxiv.org/abs/2203.03605" TargetMode="External" Id="rId21"/><Relationship Type="http://schemas.openxmlformats.org/officeDocument/2006/relationships/hyperlink" Target="https://github.com/IDEA-Research/DINO" TargetMode="External" Id="rId22"/></Relationships>
</file>

<file path=xl/worksheets/_rels/sheet13.xml.rels><Relationships xmlns="http://schemas.openxmlformats.org/package/2006/relationships"><Relationship Type="http://schemas.openxmlformats.org/officeDocument/2006/relationships/hyperlink" Target="https://arxiv.org/abs/2303.17144" TargetMode="External" Id="rId1"/><Relationship Type="http://schemas.openxmlformats.org/officeDocument/2006/relationships/hyperlink" Target="https://github.com/zhiqic/DAMO-StreamNet" TargetMode="External" Id="rId2"/><Relationship Type="http://schemas.openxmlformats.org/officeDocument/2006/relationships/hyperlink" Target="https://arxiv.org/abs/2207.10433" TargetMode="External" Id="rId3"/><Relationship Type="http://schemas.openxmlformats.org/officeDocument/2006/relationships/hyperlink" Target="https://github.com/yancie-yjr/StreamYOLO" TargetMode="External" Id="rId4"/><Relationship Type="http://schemas.openxmlformats.org/officeDocument/2006/relationships/hyperlink" Target="https://arxiv.org/abs/2210.15518" TargetMode="External" Id="rId5"/><Relationship Type="http://schemas.openxmlformats.org/officeDocument/2006/relationships/hyperlink" Target="https://github.com/LongShortNet/LongShortNet" TargetMode="External" Id="rId6"/><Relationship Type="http://schemas.openxmlformats.org/officeDocument/2006/relationships/hyperlink" Target="https://arxiv.org/abs/2207.10433" TargetMode="External" Id="rId7"/><Relationship Type="http://schemas.openxmlformats.org/officeDocument/2006/relationships/hyperlink" Target="https://github.com/yancie-yjr/StreamYOLO" TargetMode="External" Id="rId8"/><Relationship Type="http://schemas.openxmlformats.org/officeDocument/2006/relationships/hyperlink" Target="https://arxiv.org/abs/2107.08430" TargetMode="External" Id="rId9"/><Relationship Type="http://schemas.openxmlformats.org/officeDocument/2006/relationships/hyperlink" Target="https://github.com/Megvii-BaseDetection/YOLOX" TargetMode="External" Id="rId10"/><Relationship Type="http://schemas.openxmlformats.org/officeDocument/2006/relationships/hyperlink" Target="https://arxiv.org/abs/2005.10420" TargetMode="External" Id="rId11"/><Relationship Type="http://schemas.openxmlformats.org/officeDocument/2006/relationships/hyperlink" Target="https://github.com/mtli/sAP" TargetMode="External" Id="rId12"/><Relationship Type="http://schemas.openxmlformats.org/officeDocument/2006/relationships/hyperlink" Target="https://arxiv.org/abs/2304.00000" TargetMode="External" Id="rId13"/><Relationship Type="http://schemas.openxmlformats.org/officeDocument/2006/relationships/hyperlink" Target="https://github.com/" TargetMode="External" Id="rId14"/><Relationship Type="http://schemas.openxmlformats.org/officeDocument/2006/relationships/hyperlink" Target="https://github.com/open-mmlab/mmdetection" TargetMode="External" Id="rId15"/><Relationship Type="http://schemas.openxmlformats.org/officeDocument/2006/relationships/hyperlink" Target="https://github.com/open-mmlab/mmdetection" TargetMode="External" Id="rId16"/><Relationship Type="http://schemas.openxmlformats.org/officeDocument/2006/relationships/hyperlink" Target="https://arxiv.org/abs/2304.08069" TargetMode="External" Id="rId17"/><Relationship Type="http://schemas.openxmlformats.org/officeDocument/2006/relationships/hyperlink" Target="https://github.com/lyuwenyu/RT-DETR" TargetMode="External" Id="rId18"/><Relationship Type="http://schemas.openxmlformats.org/officeDocument/2006/relationships/hyperlink" Target="https://docs.ultralytics.com/models/yolov8/" TargetMode="External" Id="rId19"/><Relationship Type="http://schemas.openxmlformats.org/officeDocument/2006/relationships/hyperlink" Target="https://github.com/ultralytics/ultralytics" TargetMode="External" Id="rId20"/><Relationship Type="http://schemas.openxmlformats.org/officeDocument/2006/relationships/hyperlink" Target="https://arxiv.org/abs/2410.13842" TargetMode="External" Id="rId21"/><Relationship Type="http://schemas.openxmlformats.org/officeDocument/2006/relationships/hyperlink" Target="https://github.com/Peterande/D-FINE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arxiv.org/abs/2303.17144" TargetMode="External" Id="rId1"/><Relationship Type="http://schemas.openxmlformats.org/officeDocument/2006/relationships/hyperlink" Target="https://github.com/zhiqic/DAMO-StreamNet" TargetMode="External" Id="rId2"/><Relationship Type="http://schemas.openxmlformats.org/officeDocument/2006/relationships/hyperlink" Target="https://arxiv.org/abs/2207.10433" TargetMode="External" Id="rId3"/><Relationship Type="http://schemas.openxmlformats.org/officeDocument/2006/relationships/hyperlink" Target="https://github.com/yancie-yjr/StreamYOLO" TargetMode="External" Id="rId4"/><Relationship Type="http://schemas.openxmlformats.org/officeDocument/2006/relationships/hyperlink" Target="https://arxiv.org/abs/2210.15518" TargetMode="External" Id="rId5"/><Relationship Type="http://schemas.openxmlformats.org/officeDocument/2006/relationships/hyperlink" Target="https://github.com/LongShortNet/LongShortNet" TargetMode="External" Id="rId6"/><Relationship Type="http://schemas.openxmlformats.org/officeDocument/2006/relationships/hyperlink" Target="https://arxiv.org/abs/2207.10433" TargetMode="External" Id="rId7"/><Relationship Type="http://schemas.openxmlformats.org/officeDocument/2006/relationships/hyperlink" Target="https://github.com/yancie-yjr/StreamYOLO" TargetMode="External" Id="rId8"/><Relationship Type="http://schemas.openxmlformats.org/officeDocument/2006/relationships/hyperlink" Target="https://arxiv.org/abs/2107.08430" TargetMode="External" Id="rId9"/><Relationship Type="http://schemas.openxmlformats.org/officeDocument/2006/relationships/hyperlink" Target="https://github.com/Megvii-BaseDetection/YOLOX" TargetMode="External" Id="rId10"/><Relationship Type="http://schemas.openxmlformats.org/officeDocument/2006/relationships/hyperlink" Target="https://arxiv.org/abs/2005.10420" TargetMode="External" Id="rId11"/><Relationship Type="http://schemas.openxmlformats.org/officeDocument/2006/relationships/hyperlink" Target="https://github.com/mtli/sAP" TargetMode="External" Id="rId12"/><Relationship Type="http://schemas.openxmlformats.org/officeDocument/2006/relationships/hyperlink" Target="https://arxiv.org/abs/2304.00000" TargetMode="External" Id="rId13"/><Relationship Type="http://schemas.openxmlformats.org/officeDocument/2006/relationships/hyperlink" Target="https://github.com/" TargetMode="External" Id="rId14"/><Relationship Type="http://schemas.openxmlformats.org/officeDocument/2006/relationships/hyperlink" Target="https://github.com/open-mmlab/mmdetection" TargetMode="External" Id="rId15"/><Relationship Type="http://schemas.openxmlformats.org/officeDocument/2006/relationships/hyperlink" Target="https://github.com/open-mmlab/mmdetection" TargetMode="External" Id="rId16"/><Relationship Type="http://schemas.openxmlformats.org/officeDocument/2006/relationships/hyperlink" Target="https://arxiv.org/abs/2304.08069" TargetMode="External" Id="rId17"/><Relationship Type="http://schemas.openxmlformats.org/officeDocument/2006/relationships/hyperlink" Target="https://github.com/lyuwenyu/RT-DETR" TargetMode="External" Id="rId18"/><Relationship Type="http://schemas.openxmlformats.org/officeDocument/2006/relationships/hyperlink" Target="https://docs.ultralytics.com/models/yolov8/" TargetMode="External" Id="rId19"/><Relationship Type="http://schemas.openxmlformats.org/officeDocument/2006/relationships/hyperlink" Target="https://github.com/ultralytics/ultralytics" TargetMode="External" Id="rId20"/><Relationship Type="http://schemas.openxmlformats.org/officeDocument/2006/relationships/hyperlink" Target="https://arxiv.org/abs/2410.13842" TargetMode="External" Id="rId21"/><Relationship Type="http://schemas.openxmlformats.org/officeDocument/2006/relationships/hyperlink" Target="https://github.com/Peterande/D-FINE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arxiv.org/abs/2303.17144" TargetMode="External" Id="rId1"/><Relationship Type="http://schemas.openxmlformats.org/officeDocument/2006/relationships/hyperlink" Target="https://github.com/zhiqic/DAMO-StreamNet" TargetMode="External" Id="rId2"/><Relationship Type="http://schemas.openxmlformats.org/officeDocument/2006/relationships/hyperlink" Target="https://arxiv.org/abs/2207.10433" TargetMode="External" Id="rId3"/><Relationship Type="http://schemas.openxmlformats.org/officeDocument/2006/relationships/hyperlink" Target="https://github.com/yancie-yjr/StreamYOLO" TargetMode="External" Id="rId4"/><Relationship Type="http://schemas.openxmlformats.org/officeDocument/2006/relationships/hyperlink" Target="https://arxiv.org/abs/2210.15518" TargetMode="External" Id="rId5"/><Relationship Type="http://schemas.openxmlformats.org/officeDocument/2006/relationships/hyperlink" Target="https://github.com/LongShortNet/LongShortNet" TargetMode="External" Id="rId6"/><Relationship Type="http://schemas.openxmlformats.org/officeDocument/2006/relationships/hyperlink" Target="https://arxiv.org/abs/2207.10433" TargetMode="External" Id="rId7"/><Relationship Type="http://schemas.openxmlformats.org/officeDocument/2006/relationships/hyperlink" Target="https://github.com/yancie-yjr/StreamYOLO" TargetMode="External" Id="rId8"/><Relationship Type="http://schemas.openxmlformats.org/officeDocument/2006/relationships/hyperlink" Target="https://arxiv.org/abs/2107.08430" TargetMode="External" Id="rId9"/><Relationship Type="http://schemas.openxmlformats.org/officeDocument/2006/relationships/hyperlink" Target="https://github.com/Megvii-BaseDetection/YOLOX" TargetMode="External" Id="rId10"/><Relationship Type="http://schemas.openxmlformats.org/officeDocument/2006/relationships/hyperlink" Target="https://arxiv.org/abs/2005.10420" TargetMode="External" Id="rId11"/><Relationship Type="http://schemas.openxmlformats.org/officeDocument/2006/relationships/hyperlink" Target="https://github.com/mtli/sAP" TargetMode="External" Id="rId12"/><Relationship Type="http://schemas.openxmlformats.org/officeDocument/2006/relationships/hyperlink" Target="https://arxiv.org/abs/2304.00000" TargetMode="External" Id="rId13"/><Relationship Type="http://schemas.openxmlformats.org/officeDocument/2006/relationships/hyperlink" Target="https://github.com/" TargetMode="External" Id="rId14"/><Relationship Type="http://schemas.openxmlformats.org/officeDocument/2006/relationships/hyperlink" Target="https://github.com/open-mmlab/mmdetection" TargetMode="External" Id="rId15"/><Relationship Type="http://schemas.openxmlformats.org/officeDocument/2006/relationships/hyperlink" Target="https://github.com/open-mmlab/mmdetection" TargetMode="External" Id="rId16"/><Relationship Type="http://schemas.openxmlformats.org/officeDocument/2006/relationships/hyperlink" Target="https://arxiv.org/abs/2304.08069" TargetMode="External" Id="rId17"/><Relationship Type="http://schemas.openxmlformats.org/officeDocument/2006/relationships/hyperlink" Target="https://github.com/lyuwenyu/RT-DETR" TargetMode="External" Id="rId18"/><Relationship Type="http://schemas.openxmlformats.org/officeDocument/2006/relationships/hyperlink" Target="https://docs.ultralytics.com/models/yolov8/" TargetMode="External" Id="rId19"/><Relationship Type="http://schemas.openxmlformats.org/officeDocument/2006/relationships/hyperlink" Target="https://github.com/ultralytics/ultralytics" TargetMode="External" Id="rId20"/><Relationship Type="http://schemas.openxmlformats.org/officeDocument/2006/relationships/hyperlink" Target="https://arxiv.org/abs/2410.13842" TargetMode="External" Id="rId21"/><Relationship Type="http://schemas.openxmlformats.org/officeDocument/2006/relationships/hyperlink" Target="https://github.com/Peterande/D-FINE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arxiv.org/abs/2303.17144" TargetMode="External" Id="rId1"/><Relationship Type="http://schemas.openxmlformats.org/officeDocument/2006/relationships/hyperlink" Target="https://github.com/zhiqic/DAMO-StreamNet" TargetMode="External" Id="rId2"/><Relationship Type="http://schemas.openxmlformats.org/officeDocument/2006/relationships/hyperlink" Target="https://arxiv.org/abs/2207.10433" TargetMode="External" Id="rId3"/><Relationship Type="http://schemas.openxmlformats.org/officeDocument/2006/relationships/hyperlink" Target="https://github.com/yancie-yjr/StreamYOLO" TargetMode="External" Id="rId4"/><Relationship Type="http://schemas.openxmlformats.org/officeDocument/2006/relationships/hyperlink" Target="https://arxiv.org/abs/2210.15518" TargetMode="External" Id="rId5"/><Relationship Type="http://schemas.openxmlformats.org/officeDocument/2006/relationships/hyperlink" Target="https://github.com/LongShortNet/LongShortNet" TargetMode="External" Id="rId6"/><Relationship Type="http://schemas.openxmlformats.org/officeDocument/2006/relationships/hyperlink" Target="https://arxiv.org/abs/2207.10433" TargetMode="External" Id="rId7"/><Relationship Type="http://schemas.openxmlformats.org/officeDocument/2006/relationships/hyperlink" Target="https://github.com/yancie-yjr/StreamYOLO" TargetMode="External" Id="rId8"/><Relationship Type="http://schemas.openxmlformats.org/officeDocument/2006/relationships/hyperlink" Target="https://arxiv.org/abs/2107.08430" TargetMode="External" Id="rId9"/><Relationship Type="http://schemas.openxmlformats.org/officeDocument/2006/relationships/hyperlink" Target="https://github.com/Megvii-BaseDetection/YOLOX" TargetMode="External" Id="rId10"/><Relationship Type="http://schemas.openxmlformats.org/officeDocument/2006/relationships/hyperlink" Target="https://arxiv.org/abs/2005.10420" TargetMode="External" Id="rId11"/><Relationship Type="http://schemas.openxmlformats.org/officeDocument/2006/relationships/hyperlink" Target="https://github.com/mtli/sAP" TargetMode="External" Id="rId12"/><Relationship Type="http://schemas.openxmlformats.org/officeDocument/2006/relationships/hyperlink" Target="https://arxiv.org/abs/2304.00000" TargetMode="External" Id="rId13"/><Relationship Type="http://schemas.openxmlformats.org/officeDocument/2006/relationships/hyperlink" Target="https://github.com/" TargetMode="External" Id="rId14"/><Relationship Type="http://schemas.openxmlformats.org/officeDocument/2006/relationships/hyperlink" Target="https://github.com/open-mmlab/mmdetection" TargetMode="External" Id="rId15"/><Relationship Type="http://schemas.openxmlformats.org/officeDocument/2006/relationships/hyperlink" Target="https://github.com/open-mmlab/mmdetection" TargetMode="External" Id="rId16"/><Relationship Type="http://schemas.openxmlformats.org/officeDocument/2006/relationships/hyperlink" Target="https://arxiv.org/abs/2304.08069" TargetMode="External" Id="rId17"/><Relationship Type="http://schemas.openxmlformats.org/officeDocument/2006/relationships/hyperlink" Target="https://github.com/lyuwenyu/RT-DETR" TargetMode="External" Id="rId18"/><Relationship Type="http://schemas.openxmlformats.org/officeDocument/2006/relationships/hyperlink" Target="https://docs.ultralytics.com/models/yolov8/" TargetMode="External" Id="rId19"/><Relationship Type="http://schemas.openxmlformats.org/officeDocument/2006/relationships/hyperlink" Target="https://github.com/ultralytics/ultralytics" TargetMode="External" Id="rId20"/><Relationship Type="http://schemas.openxmlformats.org/officeDocument/2006/relationships/hyperlink" Target="https://arxiv.org/abs/2410.13842" TargetMode="External" Id="rId21"/><Relationship Type="http://schemas.openxmlformats.org/officeDocument/2006/relationships/hyperlink" Target="https://github.com/Peterande/D-FINE" TargetMode="External" Id="rId22"/></Relationships>
</file>

<file path=xl/worksheets/_rels/sheet17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18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1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2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3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4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arxiv.org/abs/2401.03407" TargetMode="External" Id="rId1"/><Relationship Type="http://schemas.openxmlformats.org/officeDocument/2006/relationships/hyperlink" Target="https://github.com/ZhengPeng7/BiRefNet" TargetMode="External" Id="rId2"/><Relationship Type="http://schemas.openxmlformats.org/officeDocument/2006/relationships/hyperlink" Target="https://arxiv.org/abs/2209.09475" TargetMode="External" Id="rId3"/><Relationship Type="http://schemas.openxmlformats.org/officeDocument/2006/relationships/hyperlink" Target="https://github.com/plemeri/InSPyReNet" TargetMode="External" Id="rId4"/><Relationship Type="http://schemas.openxmlformats.org/officeDocument/2006/relationships/hyperlink" Target="https://arxiv.org/abs/2404.07445" TargetMode="External" Id="rId5"/><Relationship Type="http://schemas.openxmlformats.org/officeDocument/2006/relationships/hyperlink" Target="https://github.com/qianyu-dlut/MVANet" TargetMode="External" Id="rId6"/><Relationship Type="http://schemas.openxmlformats.org/officeDocument/2006/relationships/hyperlink" Target="https://arxiv.org/abs/2309.08365" TargetMode="External" Id="rId7"/><Relationship Type="http://schemas.openxmlformats.org/officeDocument/2006/relationships/hyperlink" Target="https://github.com/I2-Multimedia-Lab/M3Net" TargetMode="External" Id="rId8"/><Relationship Type="http://schemas.openxmlformats.org/officeDocument/2006/relationships/hyperlink" Target="https://arxiv.org/abs/2111.13409" TargetMode="External" Id="rId9"/><Relationship Type="http://schemas.openxmlformats.org/officeDocument/2006/relationships/hyperlink" Target="https://github.com/mczhuge/ICON" TargetMode="External" Id="rId10"/><Relationship Type="http://schemas.openxmlformats.org/officeDocument/2006/relationships/hyperlink" Target="https://arxiv.org/abs/2104.12099" TargetMode="External" Id="rId11"/><Relationship Type="http://schemas.openxmlformats.org/officeDocument/2006/relationships/hyperlink" Target="https://github.com/nnizhang/VST" TargetMode="External" Id="rId12"/><Relationship Type="http://schemas.openxmlformats.org/officeDocument/2006/relationships/hyperlink" Target="https://arxiv.org/abs/2012.13093" TargetMode="External" Id="rId13"/><Relationship Type="http://schemas.openxmlformats.org/officeDocument/2006/relationships/hyperlink" Target="https://github.com/yuhuan-wu/EDN" TargetMode="External" Id="rId14"/><Relationship Type="http://schemas.openxmlformats.org/officeDocument/2006/relationships/hyperlink" Target="https://arxiv.org/abs/1904.09569" TargetMode="External" Id="rId15"/><Relationship Type="http://schemas.openxmlformats.org/officeDocument/2006/relationships/hyperlink" Target="https://github.com/backseason/PoolNet" TargetMode="External" Id="rId16"/><Relationship Type="http://schemas.openxmlformats.org/officeDocument/2006/relationships/hyperlink" Target="https://arxiv.org/abs/2007.09062" TargetMode="External" Id="rId17"/><Relationship Type="http://schemas.openxmlformats.org/officeDocument/2006/relationships/hyperlink" Target="https://github.com/lartpang/MINet" TargetMode="External" Id="rId18"/><Relationship Type="http://schemas.openxmlformats.org/officeDocument/2006/relationships/hyperlink" Target="https://arxiv.org/abs/2005.09007" TargetMode="External" Id="rId19"/><Relationship Type="http://schemas.openxmlformats.org/officeDocument/2006/relationships/hyperlink" Target="https://github.com/xuebinqin/U-2-Net" TargetMode="External" Id="rId20"/><Relationship Type="http://schemas.openxmlformats.org/officeDocument/2006/relationships/hyperlink" Target="https://arxiv.org/abs/1904.07857" TargetMode="External" Id="rId21"/><Relationship Type="http://schemas.openxmlformats.org/officeDocument/2006/relationships/hyperlink" Target="https://github.com/xuebinqin/BASNet" TargetMode="External" Id="rId22"/><Relationship Type="http://schemas.openxmlformats.org/officeDocument/2006/relationships/hyperlink" Target="https://github.com/I2-Multimedia-Lab/UGRAN" TargetMode="External" Id="rId23"/><Relationship Type="http://schemas.openxmlformats.org/officeDocument/2006/relationships/hyperlink" Target="https://github.com/I2-Multimedia-Lab/UGRAN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arxiv.org/abs/2402.03094" TargetMode="External" Id="rId1"/><Relationship Type="http://schemas.openxmlformats.org/officeDocument/2006/relationships/hyperlink" Target="https://github.com/lovelyqian/CDFSOD-benchmark" TargetMode="External" Id="rId2"/><Relationship Type="http://schemas.openxmlformats.org/officeDocument/2006/relationships/hyperlink" Target="https://arxiv.org/abs/2304.00000" TargetMode="External" Id="rId3"/><Relationship Type="http://schemas.openxmlformats.org/officeDocument/2006/relationships/hyperlink" Target="https://github.com/" TargetMode="External" Id="rId4"/><Relationship Type="http://schemas.openxmlformats.org/officeDocument/2006/relationships/hyperlink" Target="https://arxiv.org/abs/1909.13032" TargetMode="External" Id="rId5"/><Relationship Type="http://schemas.openxmlformats.org/officeDocument/2006/relationships/hyperlink" Target="https://github.com/yanxp/MetaR-CNN" TargetMode="External" Id="rId6"/><Relationship Type="http://schemas.openxmlformats.org/officeDocument/2006/relationships/hyperlink" Target="https://github.com/lovelyqian/CDFSOD-benchmark" TargetMode="External" Id="rId7"/><Relationship Type="http://schemas.openxmlformats.org/officeDocument/2006/relationships/hyperlink" Target="https://github.com/lovelyqian/CDFSOD-benchmark" TargetMode="External" Id="rId8"/><Relationship Type="http://schemas.openxmlformats.org/officeDocument/2006/relationships/hyperlink" Target="https://arxiv.org/abs/2201.02605" TargetMode="External" Id="rId9"/><Relationship Type="http://schemas.openxmlformats.org/officeDocument/2006/relationships/hyperlink" Target="https://github.com/facebookresearch/Detic" TargetMode="External" Id="rId10"/><Relationship Type="http://schemas.openxmlformats.org/officeDocument/2006/relationships/hyperlink" Target="https://arxiv.org/abs/2303.05499" TargetMode="External" Id="rId11"/><Relationship Type="http://schemas.openxmlformats.org/officeDocument/2006/relationships/hyperlink" Target="https://github.com/IDEA-Research/GroundingDINO" TargetMode="External" Id="rId12"/><Relationship Type="http://schemas.openxmlformats.org/officeDocument/2006/relationships/hyperlink" Target="https://arxiv.org/abs/2504.10685" TargetMode="External" Id="rId13"/><Relationship Type="http://schemas.openxmlformats.org/officeDocument/2006/relationships/hyperlink" Target="https://github.com/lovelyqian/NTIRE2025_CDFSOD" TargetMode="External" Id="rId14"/><Relationship Type="http://schemas.openxmlformats.org/officeDocument/2006/relationships/hyperlink" Target="https://arxiv.org/abs/2108.09017" TargetMode="External" Id="rId15"/><Relationship Type="http://schemas.openxmlformats.org/officeDocument/2006/relationships/hyperlink" Target="https://github.com/er-muyue/DeFRCN" TargetMode="External" Id="rId16"/><Relationship Type="http://schemas.openxmlformats.org/officeDocument/2006/relationships/hyperlink" Target="https://arxiv.org/abs/2103.05950" TargetMode="External" Id="rId17"/><Relationship Type="http://schemas.openxmlformats.org/officeDocument/2006/relationships/hyperlink" Target="https://github.com/megvii-research/FSCE" TargetMode="External" Id="rId18"/><Relationship Type="http://schemas.openxmlformats.org/officeDocument/2006/relationships/hyperlink" Target="https://www.sciencedirect.com/science/article/abs/pii/S15662535250079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2402.03094" TargetMode="External" Id="rId21"/><Relationship Type="http://schemas.openxmlformats.org/officeDocument/2006/relationships/hyperlink" Target="https://github.com/lovelyqian/CDFSOD-benchmark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arxiv.org/abs/2204.05507" TargetMode="External" Id="rId1"/><Relationship Type="http://schemas.openxmlformats.org/officeDocument/2006/relationships/hyperlink" Target="https://github.com/fcdl94/MMA" TargetMode="External" Id="rId2"/><Relationship Type="http://schemas.openxmlformats.org/officeDocument/2006/relationships/hyperlink" Target="https://arxiv.org/abs/2305.18068" TargetMode="External" Id="rId3"/><Relationship Type="http://schemas.openxmlformats.org/officeDocument/2006/relationships/hyperlink" Target="https://github.com/Yiyao-Liu/ABR" TargetMode="External" Id="rId4"/><Relationship Type="http://schemas.openxmlformats.org/officeDocument/2006/relationships/hyperlink" Target="https://arxiv.org/abs/2204.02136" TargetMode="External" Id="rId5"/><Relationship Type="http://schemas.openxmlformats.org/officeDocument/2006/relationships/hyperlink" Target="https://github.com/Hi-FT/ERD" TargetMode="External" Id="rId6"/><Relationship Type="http://schemas.openxmlformats.org/officeDocument/2006/relationships/hyperlink" Target="https://arxiv.org/abs/2304.03110" TargetMode="External" Id="rId7"/><Relationship Type="http://schemas.openxmlformats.org/officeDocument/2006/relationships/hyperlink" Target="https://github.com/yaoyao-liu/CL-DETR" TargetMode="External" Id="rId8"/><Relationship Type="http://schemas.openxmlformats.org/officeDocument/2006/relationships/hyperlink" Target="https://arxiv.org/abs/2212.01424" TargetMode="External" Id="rId9"/><Relationship Type="http://schemas.openxmlformats.org/officeDocument/2006/relationships/hyperlink" Target="https://github.com/orrzohar/PROB" TargetMode="External" Id="rId10"/><Relationship Type="http://schemas.openxmlformats.org/officeDocument/2006/relationships/hyperlink" Target="https://arxiv.org/abs/1606.09282" TargetMode="External" Id="rId11"/><Relationship Type="http://schemas.openxmlformats.org/officeDocument/2006/relationships/hyperlink" Target="https://github.com/lhyfst/LwF" TargetMode="External" Id="rId12"/><Relationship Type="http://schemas.openxmlformats.org/officeDocument/2006/relationships/hyperlink" Target="https://arxiv.org/abs/2003.03901" TargetMode="External" Id="rId13"/><Relationship Type="http://schemas.openxmlformats.org/officeDocument/2006/relationships/hyperlink" Target="https://github.com/JosephKJ/iOD" TargetMode="External" Id="rId14"/><Relationship Type="http://schemas.openxmlformats.org/officeDocument/2006/relationships/hyperlink" Target="https://arxiv.org/abs/2103.02603" TargetMode="External" Id="rId15"/><Relationship Type="http://schemas.openxmlformats.org/officeDocument/2006/relationships/hyperlink" Target="https://github.com/JosephKJ/OWOD" TargetMode="External" Id="rId16"/><Relationship Type="http://schemas.openxmlformats.org/officeDocument/2006/relationships/hyperlink" Target="https://arxiv.org/abs/2112.01513" TargetMode="External" Id="rId17"/><Relationship Type="http://schemas.openxmlformats.org/officeDocument/2006/relationships/hyperlink" Target="https://github.com/akshitac8/OW-DETR" TargetMode="External" Id="rId18"/><Relationship Type="http://schemas.openxmlformats.org/officeDocument/2006/relationships/hyperlink" Target="https://arxiv.org/abs/2404.000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1506.01497" TargetMode="External" Id="rId21"/><Relationship Type="http://schemas.openxmlformats.org/officeDocument/2006/relationships/hyperlink" Target="https://github.com/rbgirshick/py-faster-rcnn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arxiv.org/abs/2208.00219" TargetMode="External" Id="rId1"/><Relationship Type="http://schemas.openxmlformats.org/officeDocument/2006/relationships/hyperlink" Target="https://github.com/ZhangGongjie/Meta-DETR" TargetMode="External" Id="rId2"/><Relationship Type="http://schemas.openxmlformats.org/officeDocument/2006/relationships/hyperlink" Target="https://arxiv.org/abs/2108.09017" TargetMode="External" Id="rId3"/><Relationship Type="http://schemas.openxmlformats.org/officeDocument/2006/relationships/hyperlink" Target="https://github.com/er-muyue/DeFRCN" TargetMode="External" Id="rId4"/><Relationship Type="http://schemas.openxmlformats.org/officeDocument/2006/relationships/hyperlink" Target="https://arxiv.org/abs/2106.04550" TargetMode="External" Id="rId5"/><Relationship Type="http://schemas.openxmlformats.org/officeDocument/2006/relationships/hyperlink" Target="https://github.com/amirbar/DETReg" TargetMode="External" Id="rId6"/><Relationship Type="http://schemas.openxmlformats.org/officeDocument/2006/relationships/hyperlink" Target="https://arxiv.org/abs/2103.05950" TargetMode="External" Id="rId7"/><Relationship Type="http://schemas.openxmlformats.org/officeDocument/2006/relationships/hyperlink" Target="https://github.com/megvii-research/FSCE" TargetMode="External" Id="rId8"/><Relationship Type="http://schemas.openxmlformats.org/officeDocument/2006/relationships/hyperlink" Target="https://arxiv.org/abs/2007.09384" TargetMode="External" Id="rId9"/><Relationship Type="http://schemas.openxmlformats.org/officeDocument/2006/relationships/hyperlink" Target="https://github.com/jiaxi-wu/MPSR" TargetMode="External" Id="rId10"/><Relationship Type="http://schemas.openxmlformats.org/officeDocument/2006/relationships/hyperlink" Target="https://arxiv.org/abs/2003.06957" TargetMode="External" Id="rId11"/><Relationship Type="http://schemas.openxmlformats.org/officeDocument/2006/relationships/hyperlink" Target="https://github.com/ucbdrive/few-shot-object-detection" TargetMode="External" Id="rId12"/><Relationship Type="http://schemas.openxmlformats.org/officeDocument/2006/relationships/hyperlink" Target="https://arxiv.org/abs/1909.13032" TargetMode="External" Id="rId13"/><Relationship Type="http://schemas.openxmlformats.org/officeDocument/2006/relationships/hyperlink" Target="https://github.com/yanxp/MetaR-CNN" TargetMode="External" Id="rId14"/><Relationship Type="http://schemas.openxmlformats.org/officeDocument/2006/relationships/hyperlink" Target="https://arxiv.org/abs/1812.01866" TargetMode="External" Id="rId15"/><Relationship Type="http://schemas.openxmlformats.org/officeDocument/2006/relationships/hyperlink" Target="https://github.com/bingykang/Fewshot_Detection" TargetMode="External" Id="rId16"/><Relationship Type="http://schemas.openxmlformats.org/officeDocument/2006/relationships/hyperlink" Target="https://arxiv.org/abs/2402.10433" TargetMode="External" Id="rId17"/><Relationship Type="http://schemas.openxmlformats.org/officeDocument/2006/relationships/hyperlink" Target="https://github.com/han-tianyu/FM-FSOD" TargetMode="External" Id="rId18"/><Relationship Type="http://schemas.openxmlformats.org/officeDocument/2006/relationships/hyperlink" Target="https://www.sciencedirect.com/science/article/abs/pii/S15662535250079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2404.00700" TargetMode="External" Id="rId21"/><Relationship Type="http://schemas.openxmlformats.org/officeDocument/2006/relationships/hyperlink" Target="https://github.com/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arxiv.org/abs/2208.00219" TargetMode="External" Id="rId1"/><Relationship Type="http://schemas.openxmlformats.org/officeDocument/2006/relationships/hyperlink" Target="https://github.com/ZhangGongjie/Meta-DETR" TargetMode="External" Id="rId2"/><Relationship Type="http://schemas.openxmlformats.org/officeDocument/2006/relationships/hyperlink" Target="https://arxiv.org/abs/2108.09017" TargetMode="External" Id="rId3"/><Relationship Type="http://schemas.openxmlformats.org/officeDocument/2006/relationships/hyperlink" Target="https://github.com/er-muyue/DeFRCN" TargetMode="External" Id="rId4"/><Relationship Type="http://schemas.openxmlformats.org/officeDocument/2006/relationships/hyperlink" Target="https://arxiv.org/abs/2106.04550" TargetMode="External" Id="rId5"/><Relationship Type="http://schemas.openxmlformats.org/officeDocument/2006/relationships/hyperlink" Target="https://github.com/amirbar/DETReg" TargetMode="External" Id="rId6"/><Relationship Type="http://schemas.openxmlformats.org/officeDocument/2006/relationships/hyperlink" Target="https://arxiv.org/abs/2103.05950" TargetMode="External" Id="rId7"/><Relationship Type="http://schemas.openxmlformats.org/officeDocument/2006/relationships/hyperlink" Target="https://github.com/megvii-research/FSCE" TargetMode="External" Id="rId8"/><Relationship Type="http://schemas.openxmlformats.org/officeDocument/2006/relationships/hyperlink" Target="https://arxiv.org/abs/2007.09384" TargetMode="External" Id="rId9"/><Relationship Type="http://schemas.openxmlformats.org/officeDocument/2006/relationships/hyperlink" Target="https://github.com/jiaxi-wu/MPSR" TargetMode="External" Id="rId10"/><Relationship Type="http://schemas.openxmlformats.org/officeDocument/2006/relationships/hyperlink" Target="https://arxiv.org/abs/2003.06957" TargetMode="External" Id="rId11"/><Relationship Type="http://schemas.openxmlformats.org/officeDocument/2006/relationships/hyperlink" Target="https://github.com/ucbdrive/few-shot-object-detection" TargetMode="External" Id="rId12"/><Relationship Type="http://schemas.openxmlformats.org/officeDocument/2006/relationships/hyperlink" Target="https://arxiv.org/abs/1909.13032" TargetMode="External" Id="rId13"/><Relationship Type="http://schemas.openxmlformats.org/officeDocument/2006/relationships/hyperlink" Target="https://github.com/yanxp/MetaR-CNN" TargetMode="External" Id="rId14"/><Relationship Type="http://schemas.openxmlformats.org/officeDocument/2006/relationships/hyperlink" Target="https://arxiv.org/abs/1812.01866" TargetMode="External" Id="rId15"/><Relationship Type="http://schemas.openxmlformats.org/officeDocument/2006/relationships/hyperlink" Target="https://github.com/bingykang/Fewshot_Detection" TargetMode="External" Id="rId16"/><Relationship Type="http://schemas.openxmlformats.org/officeDocument/2006/relationships/hyperlink" Target="https://arxiv.org/abs/2402.10433" TargetMode="External" Id="rId17"/><Relationship Type="http://schemas.openxmlformats.org/officeDocument/2006/relationships/hyperlink" Target="https://github.com/han-tianyu/FM-FSOD" TargetMode="External" Id="rId18"/><Relationship Type="http://schemas.openxmlformats.org/officeDocument/2006/relationships/hyperlink" Target="https://www.sciencedirect.com/science/article/abs/pii/S15662535250079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2404.00700" TargetMode="External" Id="rId21"/><Relationship Type="http://schemas.openxmlformats.org/officeDocument/2006/relationships/hyperlink" Target="https://github.com/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arxiv.org/abs/2208.00219" TargetMode="External" Id="rId1"/><Relationship Type="http://schemas.openxmlformats.org/officeDocument/2006/relationships/hyperlink" Target="https://github.com/ZhangGongjie/Meta-DETR" TargetMode="External" Id="rId2"/><Relationship Type="http://schemas.openxmlformats.org/officeDocument/2006/relationships/hyperlink" Target="https://arxiv.org/abs/2108.09017" TargetMode="External" Id="rId3"/><Relationship Type="http://schemas.openxmlformats.org/officeDocument/2006/relationships/hyperlink" Target="https://github.com/er-muyue/DeFRCN" TargetMode="External" Id="rId4"/><Relationship Type="http://schemas.openxmlformats.org/officeDocument/2006/relationships/hyperlink" Target="https://arxiv.org/abs/2106.04550" TargetMode="External" Id="rId5"/><Relationship Type="http://schemas.openxmlformats.org/officeDocument/2006/relationships/hyperlink" Target="https://github.com/amirbar/DETReg" TargetMode="External" Id="rId6"/><Relationship Type="http://schemas.openxmlformats.org/officeDocument/2006/relationships/hyperlink" Target="https://arxiv.org/abs/2103.05950" TargetMode="External" Id="rId7"/><Relationship Type="http://schemas.openxmlformats.org/officeDocument/2006/relationships/hyperlink" Target="https://github.com/megvii-research/FSCE" TargetMode="External" Id="rId8"/><Relationship Type="http://schemas.openxmlformats.org/officeDocument/2006/relationships/hyperlink" Target="https://arxiv.org/abs/2003.06957" TargetMode="External" Id="rId9"/><Relationship Type="http://schemas.openxmlformats.org/officeDocument/2006/relationships/hyperlink" Target="https://github.com/ucbdrive/few-shot-object-detection" TargetMode="External" Id="rId10"/><Relationship Type="http://schemas.openxmlformats.org/officeDocument/2006/relationships/hyperlink" Target="https://arxiv.org/abs/2007.09384" TargetMode="External" Id="rId11"/><Relationship Type="http://schemas.openxmlformats.org/officeDocument/2006/relationships/hyperlink" Target="https://github.com/jiaxi-wu/MPSR" TargetMode="External" Id="rId12"/><Relationship Type="http://schemas.openxmlformats.org/officeDocument/2006/relationships/hyperlink" Target="https://arxiv.org/abs/1909.13032" TargetMode="External" Id="rId13"/><Relationship Type="http://schemas.openxmlformats.org/officeDocument/2006/relationships/hyperlink" Target="https://github.com/yanxp/MetaR-CNN" TargetMode="External" Id="rId14"/><Relationship Type="http://schemas.openxmlformats.org/officeDocument/2006/relationships/hyperlink" Target="https://arxiv.org/abs/1812.01866" TargetMode="External" Id="rId15"/><Relationship Type="http://schemas.openxmlformats.org/officeDocument/2006/relationships/hyperlink" Target="https://github.com/bingykang/Fewshot_Detection" TargetMode="External" Id="rId16"/><Relationship Type="http://schemas.openxmlformats.org/officeDocument/2006/relationships/hyperlink" Target="https://arxiv.org/abs/2402.10433" TargetMode="External" Id="rId17"/><Relationship Type="http://schemas.openxmlformats.org/officeDocument/2006/relationships/hyperlink" Target="https://github.com/han-tianyu/FM-FSOD" TargetMode="External" Id="rId18"/><Relationship Type="http://schemas.openxmlformats.org/officeDocument/2006/relationships/hyperlink" Target="https://www.sciencedirect.com/science/article/abs/pii/S15662535250079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2404.00700" TargetMode="External" Id="rId21"/><Relationship Type="http://schemas.openxmlformats.org/officeDocument/2006/relationships/hyperlink" Target="https://github.com/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arxiv.org/abs/2108.09017" TargetMode="External" Id="rId1"/><Relationship Type="http://schemas.openxmlformats.org/officeDocument/2006/relationships/hyperlink" Target="https://github.com/er-muyue/DeFRCN" TargetMode="External" Id="rId2"/><Relationship Type="http://schemas.openxmlformats.org/officeDocument/2006/relationships/hyperlink" Target="https://arxiv.org/abs/2208.00219" TargetMode="External" Id="rId3"/><Relationship Type="http://schemas.openxmlformats.org/officeDocument/2006/relationships/hyperlink" Target="https://github.com/ZhangGongjie/Meta-DETR" TargetMode="External" Id="rId4"/><Relationship Type="http://schemas.openxmlformats.org/officeDocument/2006/relationships/hyperlink" Target="https://arxiv.org/abs/2106.04550" TargetMode="External" Id="rId5"/><Relationship Type="http://schemas.openxmlformats.org/officeDocument/2006/relationships/hyperlink" Target="https://github.com/amirbar/DETReg" TargetMode="External" Id="rId6"/><Relationship Type="http://schemas.openxmlformats.org/officeDocument/2006/relationships/hyperlink" Target="https://arxiv.org/abs/2103.05950" TargetMode="External" Id="rId7"/><Relationship Type="http://schemas.openxmlformats.org/officeDocument/2006/relationships/hyperlink" Target="https://github.com/megvii-research/FSCE" TargetMode="External" Id="rId8"/><Relationship Type="http://schemas.openxmlformats.org/officeDocument/2006/relationships/hyperlink" Target="https://arxiv.org/abs/2007.09384" TargetMode="External" Id="rId9"/><Relationship Type="http://schemas.openxmlformats.org/officeDocument/2006/relationships/hyperlink" Target="https://github.com/jiaxi-wu/MPSR" TargetMode="External" Id="rId10"/><Relationship Type="http://schemas.openxmlformats.org/officeDocument/2006/relationships/hyperlink" Target="https://arxiv.org/abs/2003.06957" TargetMode="External" Id="rId11"/><Relationship Type="http://schemas.openxmlformats.org/officeDocument/2006/relationships/hyperlink" Target="https://github.com/ucbdrive/few-shot-object-detection" TargetMode="External" Id="rId12"/><Relationship Type="http://schemas.openxmlformats.org/officeDocument/2006/relationships/hyperlink" Target="https://arxiv.org/abs/1909.13032" TargetMode="External" Id="rId13"/><Relationship Type="http://schemas.openxmlformats.org/officeDocument/2006/relationships/hyperlink" Target="https://github.com/yanxp/MetaR-CNN" TargetMode="External" Id="rId14"/><Relationship Type="http://schemas.openxmlformats.org/officeDocument/2006/relationships/hyperlink" Target="https://arxiv.org/abs/1812.01866" TargetMode="External" Id="rId15"/><Relationship Type="http://schemas.openxmlformats.org/officeDocument/2006/relationships/hyperlink" Target="https://github.com/bingykang/Fewshot_Detection" TargetMode="External" Id="rId16"/><Relationship Type="http://schemas.openxmlformats.org/officeDocument/2006/relationships/hyperlink" Target="https://arxiv.org/abs/2402.10433" TargetMode="External" Id="rId17"/><Relationship Type="http://schemas.openxmlformats.org/officeDocument/2006/relationships/hyperlink" Target="https://github.com/han-tianyu/FM-FSOD" TargetMode="External" Id="rId18"/><Relationship Type="http://schemas.openxmlformats.org/officeDocument/2006/relationships/hyperlink" Target="https://www.sciencedirect.com/science/article/abs/pii/S15662535250079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2404.00700" TargetMode="External" Id="rId21"/><Relationship Type="http://schemas.openxmlformats.org/officeDocument/2006/relationships/hyperlink" Target="https://github.com/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arxiv.org/abs/2208.00219" TargetMode="External" Id="rId1"/><Relationship Type="http://schemas.openxmlformats.org/officeDocument/2006/relationships/hyperlink" Target="https://github.com/ZhangGongjie/Meta-DETR" TargetMode="External" Id="rId2"/><Relationship Type="http://schemas.openxmlformats.org/officeDocument/2006/relationships/hyperlink" Target="https://arxiv.org/abs/2108.09017" TargetMode="External" Id="rId3"/><Relationship Type="http://schemas.openxmlformats.org/officeDocument/2006/relationships/hyperlink" Target="https://github.com/er-muyue/DeFRCN" TargetMode="External" Id="rId4"/><Relationship Type="http://schemas.openxmlformats.org/officeDocument/2006/relationships/hyperlink" Target="https://arxiv.org/abs/2106.04550" TargetMode="External" Id="rId5"/><Relationship Type="http://schemas.openxmlformats.org/officeDocument/2006/relationships/hyperlink" Target="https://github.com/amirbar/DETReg" TargetMode="External" Id="rId6"/><Relationship Type="http://schemas.openxmlformats.org/officeDocument/2006/relationships/hyperlink" Target="https://arxiv.org/abs/2103.05950" TargetMode="External" Id="rId7"/><Relationship Type="http://schemas.openxmlformats.org/officeDocument/2006/relationships/hyperlink" Target="https://github.com/megvii-research/FSCE" TargetMode="External" Id="rId8"/><Relationship Type="http://schemas.openxmlformats.org/officeDocument/2006/relationships/hyperlink" Target="https://arxiv.org/abs/2003.06957" TargetMode="External" Id="rId9"/><Relationship Type="http://schemas.openxmlformats.org/officeDocument/2006/relationships/hyperlink" Target="https://github.com/ucbdrive/few-shot-object-detection" TargetMode="External" Id="rId10"/><Relationship Type="http://schemas.openxmlformats.org/officeDocument/2006/relationships/hyperlink" Target="https://arxiv.org/abs/2007.09384" TargetMode="External" Id="rId11"/><Relationship Type="http://schemas.openxmlformats.org/officeDocument/2006/relationships/hyperlink" Target="https://github.com/jiaxi-wu/MPSR" TargetMode="External" Id="rId12"/><Relationship Type="http://schemas.openxmlformats.org/officeDocument/2006/relationships/hyperlink" Target="https://arxiv.org/abs/1909.13032" TargetMode="External" Id="rId13"/><Relationship Type="http://schemas.openxmlformats.org/officeDocument/2006/relationships/hyperlink" Target="https://github.com/yanxp/MetaR-CNN" TargetMode="External" Id="rId14"/><Relationship Type="http://schemas.openxmlformats.org/officeDocument/2006/relationships/hyperlink" Target="https://arxiv.org/abs/1812.01866" TargetMode="External" Id="rId15"/><Relationship Type="http://schemas.openxmlformats.org/officeDocument/2006/relationships/hyperlink" Target="https://github.com/bingykang/Fewshot_Detection" TargetMode="External" Id="rId16"/><Relationship Type="http://schemas.openxmlformats.org/officeDocument/2006/relationships/hyperlink" Target="https://arxiv.org/abs/2402.10433" TargetMode="External" Id="rId17"/><Relationship Type="http://schemas.openxmlformats.org/officeDocument/2006/relationships/hyperlink" Target="https://github.com/han-tianyu/FM-FSOD" TargetMode="External" Id="rId18"/><Relationship Type="http://schemas.openxmlformats.org/officeDocument/2006/relationships/hyperlink" Target="https://www.sciencedirect.com/science/article/abs/pii/S1566253525007900" TargetMode="External" Id="rId19"/><Relationship Type="http://schemas.openxmlformats.org/officeDocument/2006/relationships/hyperlink" Target="https://github.com/" TargetMode="External" Id="rId20"/><Relationship Type="http://schemas.openxmlformats.org/officeDocument/2006/relationships/hyperlink" Target="https://arxiv.org/abs/2404.00700" TargetMode="External" Id="rId21"/><Relationship Type="http://schemas.openxmlformats.org/officeDocument/2006/relationships/hyperlink" Target="https://github.com/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arxiv.org/abs/2201.02605" TargetMode="External" Id="rId1"/><Relationship Type="http://schemas.openxmlformats.org/officeDocument/2006/relationships/hyperlink" Target="https://github.com/facebookresearch/Detic" TargetMode="External" Id="rId2"/><Relationship Type="http://schemas.openxmlformats.org/officeDocument/2006/relationships/hyperlink" Target="https://arxiv.org/abs/2405.10300" TargetMode="External" Id="rId3"/><Relationship Type="http://schemas.openxmlformats.org/officeDocument/2006/relationships/hyperlink" Target="https://github.com/IDEA-Research/Grounding-DINO-1.5-API" TargetMode="External" Id="rId4"/><Relationship Type="http://schemas.openxmlformats.org/officeDocument/2006/relationships/hyperlink" Target="https://arxiv.org/abs/2303.05499" TargetMode="External" Id="rId5"/><Relationship Type="http://schemas.openxmlformats.org/officeDocument/2006/relationships/hyperlink" Target="https://github.com/IDEA-Research/GroundingDINO" TargetMode="External" Id="rId6"/><Relationship Type="http://schemas.openxmlformats.org/officeDocument/2006/relationships/hyperlink" Target="https://arxiv.org/abs/2112.03857" TargetMode="External" Id="rId7"/><Relationship Type="http://schemas.openxmlformats.org/officeDocument/2006/relationships/hyperlink" Target="https://github.com/microsoft/GLIP" TargetMode="External" Id="rId8"/><Relationship Type="http://schemas.openxmlformats.org/officeDocument/2006/relationships/hyperlink" Target="https://arxiv.org/abs/2306.09683" TargetMode="External" Id="rId9"/><Relationship Type="http://schemas.openxmlformats.org/officeDocument/2006/relationships/hyperlink" Target="https://github.com/google-research/scenic/tree/main/scenic/projects/owl_vit" TargetMode="External" Id="rId10"/><Relationship Type="http://schemas.openxmlformats.org/officeDocument/2006/relationships/hyperlink" Target="https://arxiv.org/abs/2411.14347" TargetMode="External" Id="rId11"/><Relationship Type="http://schemas.openxmlformats.org/officeDocument/2006/relationships/hyperlink" Target="https://github.com/IDEA-Research/DINO-X-API" TargetMode="External" Id="rId12"/><Relationship Type="http://schemas.openxmlformats.org/officeDocument/2006/relationships/hyperlink" Target="https://arxiv.org/abs/2401.17270" TargetMode="External" Id="rId13"/><Relationship Type="http://schemas.openxmlformats.org/officeDocument/2006/relationships/hyperlink" Target="https://github.com/AILab-CVC/YOLO-World" TargetMode="External" Id="rId14"/><Relationship Type="http://schemas.openxmlformats.org/officeDocument/2006/relationships/hyperlink" Target="https://arxiv.org/abs/2112.09106" TargetMode="External" Id="rId15"/><Relationship Type="http://schemas.openxmlformats.org/officeDocument/2006/relationships/hyperlink" Target="https://github.com/microsoft/RegionCLIP" TargetMode="External" Id="rId16"/><Relationship Type="http://schemas.openxmlformats.org/officeDocument/2006/relationships/hyperlink" Target="https://arxiv.org/abs/2303.11749" TargetMode="External" Id="rId17"/><Relationship Type="http://schemas.openxmlformats.org/officeDocument/2006/relationships/hyperlink" Target="https://github.com/zhenyuw16/UniDetector" TargetMode="External" Id="rId18"/><Relationship Type="http://schemas.openxmlformats.org/officeDocument/2006/relationships/hyperlink" Target="https://arxiv.org/abs/2201.02605" TargetMode="External" Id="rId19"/><Relationship Type="http://schemas.openxmlformats.org/officeDocument/2006/relationships/hyperlink" Target="https://github.com/facebookresearch/Detic" TargetMode="External" Id="rId20"/><Relationship Type="http://schemas.openxmlformats.org/officeDocument/2006/relationships/hyperlink" Target="https://arxiv.org/abs/2303.11331" TargetMode="External" Id="rId21"/><Relationship Type="http://schemas.openxmlformats.org/officeDocument/2006/relationships/hyperlink" Target="https://github.com/baaivision/EVA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arxiv.org/abs/2201.02605" TargetMode="External" Id="rId1"/><Relationship Type="http://schemas.openxmlformats.org/officeDocument/2006/relationships/hyperlink" Target="https://github.com/facebookresearch/Detic" TargetMode="External" Id="rId2"/><Relationship Type="http://schemas.openxmlformats.org/officeDocument/2006/relationships/hyperlink" Target="https://arxiv.org/abs/2405.10300" TargetMode="External" Id="rId3"/><Relationship Type="http://schemas.openxmlformats.org/officeDocument/2006/relationships/hyperlink" Target="https://github.com/IDEA-Research/Grounding-DINO-1.5-API" TargetMode="External" Id="rId4"/><Relationship Type="http://schemas.openxmlformats.org/officeDocument/2006/relationships/hyperlink" Target="https://arxiv.org/abs/2303.05499" TargetMode="External" Id="rId5"/><Relationship Type="http://schemas.openxmlformats.org/officeDocument/2006/relationships/hyperlink" Target="https://github.com/IDEA-Research/GroundingDINO" TargetMode="External" Id="rId6"/><Relationship Type="http://schemas.openxmlformats.org/officeDocument/2006/relationships/hyperlink" Target="https://arxiv.org/abs/2112.03857" TargetMode="External" Id="rId7"/><Relationship Type="http://schemas.openxmlformats.org/officeDocument/2006/relationships/hyperlink" Target="https://github.com/microsoft/GLIP" TargetMode="External" Id="rId8"/><Relationship Type="http://schemas.openxmlformats.org/officeDocument/2006/relationships/hyperlink" Target="https://arxiv.org/abs/2306.09683" TargetMode="External" Id="rId9"/><Relationship Type="http://schemas.openxmlformats.org/officeDocument/2006/relationships/hyperlink" Target="https://github.com/google-research/scenic/tree/main/scenic/projects/owl_vit" TargetMode="External" Id="rId10"/><Relationship Type="http://schemas.openxmlformats.org/officeDocument/2006/relationships/hyperlink" Target="https://arxiv.org/abs/2411.14347" TargetMode="External" Id="rId11"/><Relationship Type="http://schemas.openxmlformats.org/officeDocument/2006/relationships/hyperlink" Target="https://github.com/IDEA-Research/DINO-X-API" TargetMode="External" Id="rId12"/><Relationship Type="http://schemas.openxmlformats.org/officeDocument/2006/relationships/hyperlink" Target="https://arxiv.org/abs/2401.17270" TargetMode="External" Id="rId13"/><Relationship Type="http://schemas.openxmlformats.org/officeDocument/2006/relationships/hyperlink" Target="https://github.com/AILab-CVC/YOLO-World" TargetMode="External" Id="rId14"/><Relationship Type="http://schemas.openxmlformats.org/officeDocument/2006/relationships/hyperlink" Target="https://arxiv.org/abs/2112.09106" TargetMode="External" Id="rId15"/><Relationship Type="http://schemas.openxmlformats.org/officeDocument/2006/relationships/hyperlink" Target="https://github.com/microsoft/RegionCLIP" TargetMode="External" Id="rId16"/><Relationship Type="http://schemas.openxmlformats.org/officeDocument/2006/relationships/hyperlink" Target="https://arxiv.org/abs/2303.11749" TargetMode="External" Id="rId17"/><Relationship Type="http://schemas.openxmlformats.org/officeDocument/2006/relationships/hyperlink" Target="https://github.com/zhenyuw16/UniDetector" TargetMode="External" Id="rId18"/><Relationship Type="http://schemas.openxmlformats.org/officeDocument/2006/relationships/hyperlink" Target="https://arxiv.org/abs/2201.02605" TargetMode="External" Id="rId19"/><Relationship Type="http://schemas.openxmlformats.org/officeDocument/2006/relationships/hyperlink" Target="https://github.com/facebookresearch/Detic" TargetMode="External" Id="rId20"/><Relationship Type="http://schemas.openxmlformats.org/officeDocument/2006/relationships/hyperlink" Target="https://arxiv.org/abs/2303.11331" TargetMode="External" Id="rId21"/><Relationship Type="http://schemas.openxmlformats.org/officeDocument/2006/relationships/hyperlink" Target="https://github.com/baaivision/EVA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arxiv.org/abs/2405.10300" TargetMode="External" Id="rId1"/><Relationship Type="http://schemas.openxmlformats.org/officeDocument/2006/relationships/hyperlink" Target="https://github.com/IDEA-Research/Grounding-DINO-1.5-API" TargetMode="External" Id="rId2"/><Relationship Type="http://schemas.openxmlformats.org/officeDocument/2006/relationships/hyperlink" Target="https://arxiv.org/abs/2303.05499" TargetMode="External" Id="rId3"/><Relationship Type="http://schemas.openxmlformats.org/officeDocument/2006/relationships/hyperlink" Target="https://github.com/IDEA-Research/GroundingDINO" TargetMode="External" Id="rId4"/><Relationship Type="http://schemas.openxmlformats.org/officeDocument/2006/relationships/hyperlink" Target="https://arxiv.org/abs/2411.14347" TargetMode="External" Id="rId5"/><Relationship Type="http://schemas.openxmlformats.org/officeDocument/2006/relationships/hyperlink" Target="https://github.com/IDEA-Research/DINO-X-API" TargetMode="External" Id="rId6"/><Relationship Type="http://schemas.openxmlformats.org/officeDocument/2006/relationships/hyperlink" Target="https://arxiv.org/abs/2112.03857" TargetMode="External" Id="rId7"/><Relationship Type="http://schemas.openxmlformats.org/officeDocument/2006/relationships/hyperlink" Target="https://github.com/microsoft/GLIP" TargetMode="External" Id="rId8"/><Relationship Type="http://schemas.openxmlformats.org/officeDocument/2006/relationships/hyperlink" Target="https://arxiv.org/abs/2206.05836" TargetMode="External" Id="rId9"/><Relationship Type="http://schemas.openxmlformats.org/officeDocument/2006/relationships/hyperlink" Target="https://github.com/microsoft/GLIP" TargetMode="External" Id="rId10"/><Relationship Type="http://schemas.openxmlformats.org/officeDocument/2006/relationships/hyperlink" Target="https://arxiv.org/abs/2205.06230" TargetMode="External" Id="rId11"/><Relationship Type="http://schemas.openxmlformats.org/officeDocument/2006/relationships/hyperlink" Target="https://github.com/google-research/scenic/tree/main/scenic/projects/owl_vit" TargetMode="External" Id="rId12"/><Relationship Type="http://schemas.openxmlformats.org/officeDocument/2006/relationships/hyperlink" Target="https://arxiv.org/abs/2306.09683" TargetMode="External" Id="rId13"/><Relationship Type="http://schemas.openxmlformats.org/officeDocument/2006/relationships/hyperlink" Target="https://github.com/google-research/scenic/tree/main/scenic/projects/owl_vit" TargetMode="External" Id="rId14"/><Relationship Type="http://schemas.openxmlformats.org/officeDocument/2006/relationships/hyperlink" Target="https://arxiv.org/abs/2201.02605" TargetMode="External" Id="rId15"/><Relationship Type="http://schemas.openxmlformats.org/officeDocument/2006/relationships/hyperlink" Target="https://github.com/facebookresearch/Detic" TargetMode="External" Id="rId16"/><Relationship Type="http://schemas.openxmlformats.org/officeDocument/2006/relationships/hyperlink" Target="https://arxiv.org/abs/2112.09106" TargetMode="External" Id="rId17"/><Relationship Type="http://schemas.openxmlformats.org/officeDocument/2006/relationships/hyperlink" Target="https://github.com/microsoft/RegionCLIP" TargetMode="External" Id="rId18"/><Relationship Type="http://schemas.openxmlformats.org/officeDocument/2006/relationships/hyperlink" Target="https://arxiv.org/abs/2303.11749" TargetMode="External" Id="rId19"/><Relationship Type="http://schemas.openxmlformats.org/officeDocument/2006/relationships/hyperlink" Target="https://github.com/zhenyuw16/UniDetector" TargetMode="External" Id="rId20"/><Relationship Type="http://schemas.openxmlformats.org/officeDocument/2006/relationships/hyperlink" Target="https://arxiv.org/abs/2401.17270" TargetMode="External" Id="rId21"/><Relationship Type="http://schemas.openxmlformats.org/officeDocument/2006/relationships/hyperlink" Target="https://github.com/AILab-CVC/YOLO-World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arxiv.org/abs/2405.10300" TargetMode="External" Id="rId1"/><Relationship Type="http://schemas.openxmlformats.org/officeDocument/2006/relationships/hyperlink" Target="https://github.com/IDEA-Research/Grounding-DINO-1.5-API" TargetMode="External" Id="rId2"/><Relationship Type="http://schemas.openxmlformats.org/officeDocument/2006/relationships/hyperlink" Target="https://arxiv.org/abs/2303.05499" TargetMode="External" Id="rId3"/><Relationship Type="http://schemas.openxmlformats.org/officeDocument/2006/relationships/hyperlink" Target="https://github.com/IDEA-Research/GroundingDINO" TargetMode="External" Id="rId4"/><Relationship Type="http://schemas.openxmlformats.org/officeDocument/2006/relationships/hyperlink" Target="https://arxiv.org/abs/2112.03857" TargetMode="External" Id="rId5"/><Relationship Type="http://schemas.openxmlformats.org/officeDocument/2006/relationships/hyperlink" Target="https://github.com/microsoft/GLIP" TargetMode="External" Id="rId6"/><Relationship Type="http://schemas.openxmlformats.org/officeDocument/2006/relationships/hyperlink" Target="https://arxiv.org/abs/2411.14347" TargetMode="External" Id="rId7"/><Relationship Type="http://schemas.openxmlformats.org/officeDocument/2006/relationships/hyperlink" Target="https://github.com/IDEA-Research/DINO-X-API" TargetMode="External" Id="rId8"/><Relationship Type="http://schemas.openxmlformats.org/officeDocument/2006/relationships/hyperlink" Target="https://arxiv.org/abs/2306.09683" TargetMode="External" Id="rId9"/><Relationship Type="http://schemas.openxmlformats.org/officeDocument/2006/relationships/hyperlink" Target="https://github.com/google-research/scenic/tree/main/scenic/projects/owl_vit" TargetMode="External" Id="rId10"/><Relationship Type="http://schemas.openxmlformats.org/officeDocument/2006/relationships/hyperlink" Target="https://arxiv.org/abs/2401.17270" TargetMode="External" Id="rId11"/><Relationship Type="http://schemas.openxmlformats.org/officeDocument/2006/relationships/hyperlink" Target="https://github.com/AILab-CVC/YOLO-World" TargetMode="External" Id="rId12"/><Relationship Type="http://schemas.openxmlformats.org/officeDocument/2006/relationships/hyperlink" Target="https://arxiv.org/abs/2201.02605" TargetMode="External" Id="rId13"/><Relationship Type="http://schemas.openxmlformats.org/officeDocument/2006/relationships/hyperlink" Target="https://github.com/facebookresearch/Detic" TargetMode="External" Id="rId14"/><Relationship Type="http://schemas.openxmlformats.org/officeDocument/2006/relationships/hyperlink" Target="https://arxiv.org/abs/2205.06230" TargetMode="External" Id="rId15"/><Relationship Type="http://schemas.openxmlformats.org/officeDocument/2006/relationships/hyperlink" Target="https://github.com/google-research/scenic/tree/main/scenic/projects/owl_vit" TargetMode="External" Id="rId16"/><Relationship Type="http://schemas.openxmlformats.org/officeDocument/2006/relationships/hyperlink" Target="https://arxiv.org/abs/2303.11749" TargetMode="External" Id="rId17"/><Relationship Type="http://schemas.openxmlformats.org/officeDocument/2006/relationships/hyperlink" Target="https://github.com/zhenyuw16/UniDetector" TargetMode="External" Id="rId18"/><Relationship Type="http://schemas.openxmlformats.org/officeDocument/2006/relationships/hyperlink" Target="https://arxiv.org/abs/2112.09106" TargetMode="External" Id="rId19"/><Relationship Type="http://schemas.openxmlformats.org/officeDocument/2006/relationships/hyperlink" Target="https://github.com/microsoft/RegionCLIP" TargetMode="External" Id="rId20"/><Relationship Type="http://schemas.openxmlformats.org/officeDocument/2006/relationships/hyperlink" Target="https://arxiv.org/abs/2404.00000" TargetMode="External" Id="rId21"/><Relationship Type="http://schemas.openxmlformats.org/officeDocument/2006/relationships/hyperlink" Target="https://github.com/open-mmlab/mmdetection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8" customWidth="1" min="4" max="4"/>
    <col width="12" customWidth="1" min="5" max="5"/>
    <col width="70" customWidth="1" min="6" max="6"/>
    <col width="50" customWidth="1" min="7" max="8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備註(特色/based)</t>
        </is>
      </c>
      <c r="G1" s="1" t="inlineStr">
        <is>
          <t>連結</t>
        </is>
      </c>
      <c r="H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RF-DETR (Large)</t>
        </is>
      </c>
      <c r="C2" s="3" t="inlineStr">
        <is>
          <t>Roboflow</t>
        </is>
      </c>
      <c r="D2" s="3" t="inlineStr">
        <is>
          <t>ICLR</t>
        </is>
      </c>
      <c r="E2" s="3" t="inlineStr">
        <is>
          <t>2026-04</t>
        </is>
      </c>
      <c r="F2" s="3" t="inlineStr">
        <is>
          <t>First RT model &gt;60 AP on COCO; DINOv2 backbone; ICLR 2026</t>
        </is>
      </c>
      <c r="G2" s="6" t="inlineStr">
        <is>
          <t>https://arxiv.org/abs/2511.09554</t>
        </is>
      </c>
      <c r="H2" s="6" t="inlineStr">
        <is>
          <t>https://github.com/roboflow/rf-detr</t>
        </is>
      </c>
    </row>
    <row r="3" ht="48" customHeight="1">
      <c r="A3" s="3" t="inlineStr">
        <is>
          <t>Real-Time OD</t>
        </is>
      </c>
      <c r="B3" s="3" t="inlineStr">
        <is>
          <t>RF-DETR (Nano)</t>
        </is>
      </c>
      <c r="C3" s="3" t="inlineStr">
        <is>
          <t>Roboflow</t>
        </is>
      </c>
      <c r="D3" s="3" t="inlineStr">
        <is>
          <t>ICLR</t>
        </is>
      </c>
      <c r="E3" s="3" t="inlineStr">
        <is>
          <t>2026-04</t>
        </is>
      </c>
      <c r="F3" s="3" t="inlineStr">
        <is>
          <t>Nano variant; ICLR 2026</t>
        </is>
      </c>
      <c r="G3" s="6" t="inlineStr">
        <is>
          <t>https://arxiv.org/abs/2511.09554</t>
        </is>
      </c>
      <c r="H3" s="6" t="inlineStr">
        <is>
          <t>https://github.com/roboflow/rf-detr</t>
        </is>
      </c>
    </row>
    <row r="4" ht="48" customHeight="1">
      <c r="A4" s="3" t="inlineStr">
        <is>
          <t>Real-Time OD</t>
        </is>
      </c>
      <c r="B4" s="3" t="inlineStr">
        <is>
          <t>YOLO26 (l)</t>
        </is>
      </c>
      <c r="C4" s="3" t="inlineStr">
        <is>
          <t>Ultralytics</t>
        </is>
      </c>
      <c r="D4" s="3" t="inlineStr">
        <is>
          <t>Official Docs</t>
        </is>
      </c>
      <c r="E4" s="3" t="inlineStr">
        <is>
          <t>2026-01</t>
        </is>
      </c>
      <c r="F4" s="3" t="inlineStr">
        <is>
          <t>NMS-free; ProgLoss + STAL; MuSGD optimizer; Released 2026-01-14</t>
        </is>
      </c>
      <c r="G4" s="6" t="inlineStr">
        <is>
          <t>https://docs.ultralytics.com/models/yolo26/</t>
        </is>
      </c>
      <c r="H4" s="6" t="inlineStr">
        <is>
          <t>https://github.com/ultralytics/ultralytics</t>
        </is>
      </c>
    </row>
    <row r="5" ht="48" customHeight="1">
      <c r="A5" s="3" t="inlineStr">
        <is>
          <t>Real-Time OD</t>
        </is>
      </c>
      <c r="B5" s="3" t="inlineStr">
        <is>
          <t>YOLO26 (n)</t>
        </is>
      </c>
      <c r="C5" s="3" t="inlineStr">
        <is>
          <t>Ultralytics</t>
        </is>
      </c>
      <c r="D5" s="3" t="inlineStr">
        <is>
          <t>Official Docs</t>
        </is>
      </c>
      <c r="E5" s="3" t="inlineStr">
        <is>
          <t>2026-01</t>
        </is>
      </c>
      <c r="F5" s="3" t="inlineStr">
        <is>
          <t>Nano variant; CPU-friendly</t>
        </is>
      </c>
      <c r="G5" s="6" t="inlineStr">
        <is>
          <t>https://docs.ultralytics.com/models/yolo26/</t>
        </is>
      </c>
      <c r="H5" s="6" t="inlineStr">
        <is>
          <t>https://github.com/ultralytics/ultralytics</t>
        </is>
      </c>
    </row>
    <row r="6" ht="48" customHeight="1">
      <c r="A6" s="3" t="inlineStr">
        <is>
          <t>Real-Time OD</t>
        </is>
      </c>
      <c r="B6" s="3" t="inlineStr">
        <is>
          <t>RT-DETRv4 (X)</t>
        </is>
      </c>
      <c r="C6" s="3" t="inlineStr">
        <is>
          <t>RT-DETRs</t>
        </is>
      </c>
      <c r="D6" s="3" t="inlineStr">
        <is>
          <t>arXiv</t>
        </is>
      </c>
      <c r="E6" s="3" t="inlineStr">
        <is>
          <t>2025-10</t>
        </is>
      </c>
      <c r="F6" s="3" t="inlineStr">
        <is>
          <t>Vision Foundation Models distillation (DSI+GAM)</t>
        </is>
      </c>
      <c r="G6" s="6" t="inlineStr">
        <is>
          <t>https://arxiv.org/abs/2510.25257</t>
        </is>
      </c>
      <c r="H6" s="6" t="inlineStr">
        <is>
          <t>https://github.com/RT-DETRs/RT-DETRv4</t>
        </is>
      </c>
    </row>
    <row r="7" ht="48" customHeight="1">
      <c r="A7" s="4" t="inlineStr">
        <is>
          <t>RGB Salient OD</t>
        </is>
      </c>
      <c r="B7" s="4" t="inlineStr">
        <is>
          <t>S3OD (synthetic)</t>
        </is>
      </c>
      <c r="C7" s="4" t="inlineStr">
        <is>
          <t>Various</t>
        </is>
      </c>
      <c r="D7" s="4" t="inlineStr">
        <is>
          <t>arXiv</t>
        </is>
      </c>
      <c r="E7" s="4" t="inlineStr">
        <is>
          <t>2025-10</t>
        </is>
      </c>
      <c r="F7" s="4" t="inlineStr">
        <is>
          <t>Generalizable SOD with synthetic data</t>
        </is>
      </c>
      <c r="G7" s="7" t="inlineStr">
        <is>
          <t>https://arxiv.org/abs/2510.21605</t>
        </is>
      </c>
      <c r="H7" s="7" t="inlineStr">
        <is>
          <t>https://github.com/</t>
        </is>
      </c>
    </row>
    <row r="8" ht="48" customHeight="1">
      <c r="A8" s="3" t="inlineStr">
        <is>
          <t>Real-Time OD</t>
        </is>
      </c>
      <c r="B8" s="3" t="inlineStr">
        <is>
          <t>DEIMv2 (DINOv3)</t>
        </is>
      </c>
      <c r="C8" s="3" t="inlineStr">
        <is>
          <t>Huang et al.</t>
        </is>
      </c>
      <c r="D8" s="3" t="inlineStr">
        <is>
          <t>arXiv</t>
        </is>
      </c>
      <c r="E8" s="3" t="inlineStr">
        <is>
          <t>2025-09</t>
        </is>
      </c>
      <c r="F8" s="3" t="inlineStr">
        <is>
          <t>Real-time meets DINOv3; latest 2025 update</t>
        </is>
      </c>
      <c r="G8" s="6" t="inlineStr">
        <is>
          <t>https://arxiv.org/abs/2509.20787</t>
        </is>
      </c>
      <c r="H8" s="6" t="inlineStr">
        <is>
          <t>https://github.com/Intellindust-AI-Lab/DEIMv2</t>
        </is>
      </c>
    </row>
    <row r="9" ht="48" customHeight="1">
      <c r="A9" s="3" t="inlineStr">
        <is>
          <t>Real-Time OD</t>
        </is>
      </c>
      <c r="B9" s="3" t="inlineStr">
        <is>
          <t>YOLO-Master</t>
        </is>
      </c>
      <c r="C9" s="3" t="inlineStr">
        <is>
          <t>Various</t>
        </is>
      </c>
      <c r="D9" s="3" t="inlineStr">
        <is>
          <t>GitHub</t>
        </is>
      </c>
      <c r="E9" s="3" t="inlineStr">
        <is>
          <t>2025-09</t>
        </is>
      </c>
      <c r="F9" s="3" t="inlineStr">
        <is>
          <t>2025 community alias; To verify (multiple repos use this name)</t>
        </is>
      </c>
      <c r="G9" s="6" t="inlineStr">
        <is>
          <t>https://github.com/topics/yolo-master</t>
        </is>
      </c>
      <c r="H9" s="6" t="inlineStr">
        <is>
          <t>https://github.com/topics/yolo-master</t>
        </is>
      </c>
    </row>
    <row r="10" ht="48" customHeight="1">
      <c r="A10" s="3" t="inlineStr">
        <is>
          <t>Real-Time OD</t>
        </is>
      </c>
      <c r="B10" s="3" t="inlineStr">
        <is>
          <t>DEIM-D-FINE-X</t>
        </is>
      </c>
      <c r="C10" s="3" t="inlineStr">
        <is>
          <t>Huang et al.</t>
        </is>
      </c>
      <c r="D10" s="3" t="inlineStr">
        <is>
          <t>CVPR</t>
        </is>
      </c>
      <c r="E10" s="3" t="inlineStr">
        <is>
          <t>2025-06</t>
        </is>
      </c>
      <c r="F10" s="3" t="inlineStr">
        <is>
          <t>Improved matching for fast convergence</t>
        </is>
      </c>
      <c r="G10" s="6" t="inlineStr">
        <is>
          <t>https://arxiv.org/abs/2412.04234</t>
        </is>
      </c>
      <c r="H10" s="6" t="inlineStr">
        <is>
          <t>https://github.com/Intellindust-AI-Lab/DEIM</t>
        </is>
      </c>
    </row>
    <row r="11" ht="48" customHeight="1">
      <c r="A11" s="3" t="inlineStr">
        <is>
          <t>Real-Time OD</t>
        </is>
      </c>
      <c r="B11" s="3" t="inlineStr">
        <is>
          <t>YOLOv13-X</t>
        </is>
      </c>
      <c r="C11" s="3" t="inlineStr">
        <is>
          <t>iMoonLab</t>
        </is>
      </c>
      <c r="D11" s="3" t="inlineStr">
        <is>
          <t>arXiv</t>
        </is>
      </c>
      <c r="E11" s="3" t="inlineStr">
        <is>
          <t>2025-06</t>
        </is>
      </c>
      <c r="F11" s="3" t="inlineStr">
        <is>
          <t>Hypergraph adaptive correlation enhancement (HyperACE)</t>
        </is>
      </c>
      <c r="G11" s="6" t="inlineStr">
        <is>
          <t>https://arxiv.org/abs/2506.17733</t>
        </is>
      </c>
      <c r="H11" s="6" t="inlineStr">
        <is>
          <t>https://github.com/iMoonLab/yolov13</t>
        </is>
      </c>
    </row>
    <row r="12" ht="48" customHeight="1">
      <c r="A12" s="3" t="inlineStr">
        <is>
          <t>Real-Time OD</t>
        </is>
      </c>
      <c r="B12" s="3" t="inlineStr">
        <is>
          <t>DEIM-D-FINE-L</t>
        </is>
      </c>
      <c r="C12" s="3" t="inlineStr">
        <is>
          <t>Huang et al.</t>
        </is>
      </c>
      <c r="D12" s="3" t="inlineStr">
        <is>
          <t>CVPR</t>
        </is>
      </c>
      <c r="E12" s="3" t="inlineStr">
        <is>
          <t>2025-06</t>
        </is>
      </c>
      <c r="F12" s="3" t="inlineStr">
        <is>
          <t>Dense O2O + MAL</t>
        </is>
      </c>
      <c r="G12" s="6" t="inlineStr">
        <is>
          <t>https://arxiv.org/abs/2412.04234</t>
        </is>
      </c>
      <c r="H12" s="6" t="inlineStr">
        <is>
          <t>https://github.com/Intellindust-AI-Lab/DEIM</t>
        </is>
      </c>
    </row>
    <row r="13" ht="48" customHeight="1">
      <c r="A13" s="5" t="inlineStr">
        <is>
          <t>Few-Shot OD</t>
        </is>
      </c>
      <c r="B13" s="5" t="inlineStr">
        <is>
          <t>NTIRE 2025 CD-FSOD top method</t>
        </is>
      </c>
      <c r="C13" s="5" t="inlineStr">
        <is>
          <t>Various teams</t>
        </is>
      </c>
      <c r="D13" s="5" t="inlineStr">
        <is>
          <t>CVPR Workshop</t>
        </is>
      </c>
      <c r="E13" s="5" t="inlineStr">
        <is>
          <t>2025-06</t>
        </is>
      </c>
      <c r="F13" s="5" t="inlineStr">
        <is>
          <t>NTIRE 2025 challenge</t>
        </is>
      </c>
      <c r="G13" s="8" t="inlineStr">
        <is>
          <t>https://arxiv.org/abs/2504.10685</t>
        </is>
      </c>
      <c r="H13" s="8" t="inlineStr">
        <is>
          <t>https://github.com/lovelyqian/NTIRE2025_CDFSOD</t>
        </is>
      </c>
    </row>
    <row r="14" ht="48" customHeight="1">
      <c r="A14" s="3" t="inlineStr">
        <is>
          <t>Real-Time OD</t>
        </is>
      </c>
      <c r="B14" s="3" t="inlineStr">
        <is>
          <t>D-FINE-X</t>
        </is>
      </c>
      <c r="C14" s="3" t="inlineStr">
        <is>
          <t>Peng et al.</t>
        </is>
      </c>
      <c r="D14" s="3" t="inlineStr">
        <is>
          <t>ICLR</t>
        </is>
      </c>
      <c r="E14" s="3" t="inlineStr">
        <is>
          <t>2025-04</t>
        </is>
      </c>
      <c r="F14" s="3" t="inlineStr">
        <is>
          <t>Fine-grained distribution refinement; ICLR 2025 Spotlight</t>
        </is>
      </c>
      <c r="G14" s="6" t="inlineStr">
        <is>
          <t>https://arxiv.org/abs/2410.13842</t>
        </is>
      </c>
      <c r="H14" s="6" t="inlineStr">
        <is>
          <t>https://github.com/Peterande/D-FINE</t>
        </is>
      </c>
    </row>
    <row r="15" ht="48" customHeight="1">
      <c r="A15" s="3" t="inlineStr">
        <is>
          <t>Real-Time OD</t>
        </is>
      </c>
      <c r="B15" s="3" t="inlineStr">
        <is>
          <t>D-FINE-L</t>
        </is>
      </c>
      <c r="C15" s="3" t="inlineStr">
        <is>
          <t>Peng et al.</t>
        </is>
      </c>
      <c r="D15" s="3" t="inlineStr">
        <is>
          <t>ICLR</t>
        </is>
      </c>
      <c r="E15" s="3" t="inlineStr">
        <is>
          <t>2025-04</t>
        </is>
      </c>
      <c r="F15" s="3" t="inlineStr">
        <is>
          <t>Fine-grained distribution refinement</t>
        </is>
      </c>
      <c r="G15" s="6" t="inlineStr">
        <is>
          <t>https://arxiv.org/abs/2410.13842</t>
        </is>
      </c>
      <c r="H15" s="6" t="inlineStr">
        <is>
          <t>https://github.com/Peterande/D-FINE</t>
        </is>
      </c>
    </row>
    <row r="16" ht="48" customHeight="1">
      <c r="A16" s="3" t="inlineStr">
        <is>
          <t>Real-Time OD</t>
        </is>
      </c>
      <c r="B16" s="3" t="inlineStr">
        <is>
          <t>YOLOv12-X</t>
        </is>
      </c>
      <c r="C16" s="3" t="inlineStr">
        <is>
          <t>Tian et al.</t>
        </is>
      </c>
      <c r="D16" s="3" t="inlineStr">
        <is>
          <t>NeurIPS</t>
        </is>
      </c>
      <c r="E16" s="3" t="inlineStr">
        <is>
          <t>2025-02</t>
        </is>
      </c>
      <c r="F16" s="3" t="inlineStr">
        <is>
          <t>Attention-centric; area attention</t>
        </is>
      </c>
      <c r="G16" s="6" t="inlineStr">
        <is>
          <t>https://arxiv.org/abs/2502.12524</t>
        </is>
      </c>
      <c r="H16" s="6" t="inlineStr">
        <is>
          <t>https://github.com/sunsmarterjie/yolov12</t>
        </is>
      </c>
    </row>
    <row r="17" ht="48" customHeight="1">
      <c r="A17" s="3" t="inlineStr">
        <is>
          <t>Real-Time OD</t>
        </is>
      </c>
      <c r="B17" s="3" t="inlineStr">
        <is>
          <t>RT-DETRv3-R101</t>
        </is>
      </c>
      <c r="C17" s="3" t="inlineStr">
        <is>
          <t>Wang et al.</t>
        </is>
      </c>
      <c r="D17" s="3" t="inlineStr">
        <is>
          <t>WACV</t>
        </is>
      </c>
      <c r="E17" s="3" t="inlineStr">
        <is>
          <t>2025-02</t>
        </is>
      </c>
      <c r="F17" s="3" t="inlineStr">
        <is>
          <t>Hierarchical dense positive supervision; WACV 2025 Oral</t>
        </is>
      </c>
      <c r="G17" s="6" t="inlineStr">
        <is>
          <t>https://arxiv.org/abs/2409.08475</t>
        </is>
      </c>
      <c r="H17" s="6" t="inlineStr">
        <is>
          <t>https://github.com/clxia12/RT-DETRv3</t>
        </is>
      </c>
    </row>
    <row r="18" ht="48" customHeight="1">
      <c r="A18" s="4" t="inlineStr">
        <is>
          <t>RGB Salient OD</t>
        </is>
      </c>
      <c r="B18" s="4" t="inlineStr">
        <is>
          <t>UGRAN</t>
        </is>
      </c>
      <c r="C18" s="4" t="inlineStr">
        <is>
          <t>Various</t>
        </is>
      </c>
      <c r="D18" s="4" t="inlineStr">
        <is>
          <t>TIP</t>
        </is>
      </c>
      <c r="E18" s="4" t="inlineStr">
        <is>
          <t>2025-02</t>
        </is>
      </c>
      <c r="F18" s="4" t="inlineStr">
        <is>
          <t>Uncertainty-guided refinement; TIP 2025; To verify</t>
        </is>
      </c>
      <c r="G18" s="7" t="inlineStr">
        <is>
          <t>https://github.com/I2-Multimedia-Lab/UGRAN</t>
        </is>
      </c>
      <c r="H18" s="7" t="inlineStr">
        <is>
          <t>https://github.com/I2-Multimedia-Lab/UGRAN</t>
        </is>
      </c>
    </row>
    <row r="19" ht="48" customHeight="1">
      <c r="A19" s="5" t="inlineStr">
        <is>
          <t>Few-Shot OD</t>
        </is>
      </c>
      <c r="B19" s="5" t="inlineStr">
        <is>
          <t>FII-DETR</t>
        </is>
      </c>
      <c r="C19" s="5" t="inlineStr">
        <is>
          <t>Various</t>
        </is>
      </c>
      <c r="D19" s="5" t="inlineStr">
        <is>
          <t>Information Fusion</t>
        </is>
      </c>
      <c r="E19" s="5" t="inlineStr">
        <is>
          <t>2025-01</t>
        </is>
      </c>
      <c r="F19" s="5" t="inlineStr">
        <is>
          <t>Fully information interaction DETR</t>
        </is>
      </c>
      <c r="G19" s="8" t="inlineStr">
        <is>
          <t>https://www.sciencedirect.com/science/article/abs/pii/S1566253525007900</t>
        </is>
      </c>
      <c r="H19" s="8" t="inlineStr">
        <is>
          <t>https://github.com/</t>
        </is>
      </c>
    </row>
    <row r="20" ht="48" customHeight="1">
      <c r="A20" s="3" t="inlineStr">
        <is>
          <t>Real-Time OD</t>
        </is>
      </c>
      <c r="B20" s="3" t="inlineStr">
        <is>
          <t>YOLOv10-X</t>
        </is>
      </c>
      <c r="C20" s="3" t="inlineStr">
        <is>
          <t>Wang et al.</t>
        </is>
      </c>
      <c r="D20" s="3" t="inlineStr">
        <is>
          <t>NeurIPS</t>
        </is>
      </c>
      <c r="E20" s="3" t="inlineStr">
        <is>
          <t>2024-12</t>
        </is>
      </c>
      <c r="F20" s="3" t="inlineStr">
        <is>
          <t>NMS-free; consistent dual assignment</t>
        </is>
      </c>
      <c r="G20" s="6" t="inlineStr">
        <is>
          <t>https://arxiv.org/abs/2405.14458</t>
        </is>
      </c>
      <c r="H20" s="6" t="inlineStr">
        <is>
          <t>https://github.com/THU-MIG/yolov10</t>
        </is>
      </c>
    </row>
    <row r="21" ht="48" customHeight="1">
      <c r="A21" s="2" t="inlineStr">
        <is>
          <t>General OD</t>
        </is>
      </c>
      <c r="B21" s="2" t="inlineStr">
        <is>
          <t>DINO-X</t>
        </is>
      </c>
      <c r="C21" s="2" t="inlineStr">
        <is>
          <t>IDEA Research</t>
        </is>
      </c>
      <c r="D21" s="2" t="inlineStr">
        <is>
          <t>arXiv</t>
        </is>
      </c>
      <c r="E21" s="2" t="inlineStr">
        <is>
          <t>2024-11</t>
        </is>
      </c>
      <c r="F21" s="2" t="inlineStr">
        <is>
          <t>Successor to Grounding DINO 1.5; To verify on COCO test-dev</t>
        </is>
      </c>
      <c r="G21" s="9" t="inlineStr">
        <is>
          <t>https://arxiv.org/abs/2411.14347</t>
        </is>
      </c>
      <c r="H21" s="9" t="inlineStr">
        <is>
          <t>https://github.com/IDEA-Research/DINO-X-API</t>
        </is>
      </c>
    </row>
    <row r="22" ht="48" customHeight="1">
      <c r="A22" s="5" t="inlineStr">
        <is>
          <t>Few-Shot OD</t>
        </is>
      </c>
      <c r="B22" s="5" t="inlineStr">
        <is>
          <t>Grounding DINO</t>
        </is>
      </c>
      <c r="C22" s="5" t="inlineStr">
        <is>
          <t>Liu et al.</t>
        </is>
      </c>
      <c r="D22" s="5" t="inlineStr">
        <is>
          <t>ECCV</t>
        </is>
      </c>
      <c r="E22" s="5" t="inlineStr">
        <is>
          <t>2024-10</t>
        </is>
      </c>
      <c r="F22" s="5" t="inlineStr">
        <is>
          <t>Open-set zero-shot; ECCV 2024</t>
        </is>
      </c>
      <c r="G22" s="8" t="inlineStr">
        <is>
          <t>https://arxiv.org/abs/2303.05499</t>
        </is>
      </c>
      <c r="H22" s="8" t="inlineStr">
        <is>
          <t>https://github.com/IDEA-Research/GroundingDINO</t>
        </is>
      </c>
    </row>
    <row r="23" ht="48" customHeight="1">
      <c r="A23" s="5" t="inlineStr">
        <is>
          <t>Few-Shot OD</t>
        </is>
      </c>
      <c r="B23" s="5" t="inlineStr">
        <is>
          <t>CD-ViTO</t>
        </is>
      </c>
      <c r="C23" s="5" t="inlineStr">
        <is>
          <t>Fu et al.</t>
        </is>
      </c>
      <c r="D23" s="5" t="inlineStr">
        <is>
          <t>ECCV</t>
        </is>
      </c>
      <c r="E23" s="5" t="inlineStr">
        <is>
          <t>2024-10</t>
        </is>
      </c>
      <c r="F23" s="5" t="inlineStr">
        <is>
          <t>Cross-domain FSOD; learnable instance + domain prompter</t>
        </is>
      </c>
      <c r="G23" s="8" t="inlineStr">
        <is>
          <t>https://arxiv.org/abs/2402.03094</t>
        </is>
      </c>
      <c r="H23" s="8" t="inlineStr">
        <is>
          <t>https://github.com/lovelyqian/CDFSOD-benchmark</t>
        </is>
      </c>
    </row>
    <row r="24" ht="48" customHeight="1">
      <c r="A24" s="2" t="inlineStr">
        <is>
          <t>General OD</t>
        </is>
      </c>
      <c r="B24" s="2" t="inlineStr">
        <is>
          <t>Relation-DETR (FocalNet-L)</t>
        </is>
      </c>
      <c r="C24" s="2" t="inlineStr">
        <is>
          <t>Hou et al.</t>
        </is>
      </c>
      <c r="D24" s="2" t="inlineStr">
        <is>
          <t>ECCV</t>
        </is>
      </c>
      <c r="E24" s="2" t="inlineStr">
        <is>
          <t>2024-09</t>
        </is>
      </c>
      <c r="F24" s="2" t="inlineStr">
        <is>
          <t>Explicit position relation prior; ECCV 2024 Oral</t>
        </is>
      </c>
      <c r="G24" s="9" t="inlineStr">
        <is>
          <t>https://arxiv.org/abs/2407.11699</t>
        </is>
      </c>
      <c r="H24" s="9" t="inlineStr">
        <is>
          <t>https://github.com/xiuqhou/Relation-DETR</t>
        </is>
      </c>
    </row>
    <row r="25" ht="48" customHeight="1">
      <c r="A25" s="3" t="inlineStr">
        <is>
          <t>Real-Time OD</t>
        </is>
      </c>
      <c r="B25" s="3" t="inlineStr">
        <is>
          <t>YOLOv9-E</t>
        </is>
      </c>
      <c r="C25" s="3" t="inlineStr">
        <is>
          <t>Wang et al.</t>
        </is>
      </c>
      <c r="D25" s="3" t="inlineStr">
        <is>
          <t>ECCV</t>
        </is>
      </c>
      <c r="E25" s="3" t="inlineStr">
        <is>
          <t>2024-09</t>
        </is>
      </c>
      <c r="F25" s="3" t="inlineStr">
        <is>
          <t>PGI + GELAN</t>
        </is>
      </c>
      <c r="G25" s="6" t="inlineStr">
        <is>
          <t>https://arxiv.org/abs/2402.13616</t>
        </is>
      </c>
      <c r="H25" s="6" t="inlineStr">
        <is>
          <t>https://github.com/WongKinYiu/yolov9</t>
        </is>
      </c>
    </row>
    <row r="26" ht="48" customHeight="1">
      <c r="A26" s="3" t="inlineStr">
        <is>
          <t>Real-Time OD</t>
        </is>
      </c>
      <c r="B26" s="3" t="inlineStr">
        <is>
          <t>YOLO11x</t>
        </is>
      </c>
      <c r="C26" s="3" t="inlineStr">
        <is>
          <t>Ultralytics</t>
        </is>
      </c>
      <c r="D26" s="3" t="inlineStr">
        <is>
          <t>Official Docs</t>
        </is>
      </c>
      <c r="E26" s="3" t="inlineStr">
        <is>
          <t>2024-09</t>
        </is>
      </c>
      <c r="F26" s="3" t="inlineStr">
        <is>
          <t>C3K2 + C2PSA</t>
        </is>
      </c>
      <c r="G26" s="6" t="inlineStr">
        <is>
          <t>https://docs.ultralytics.com/models/yolo11/</t>
        </is>
      </c>
      <c r="H26" s="6" t="inlineStr">
        <is>
          <t>https://github.com/ultralytics/ultralytics</t>
        </is>
      </c>
    </row>
    <row r="27" ht="48" customHeight="1">
      <c r="A27" s="3" t="inlineStr">
        <is>
          <t>Real-Time OD</t>
        </is>
      </c>
      <c r="B27" s="3" t="inlineStr">
        <is>
          <t>RT-DETRv2-R101</t>
        </is>
      </c>
      <c r="C27" s="3" t="inlineStr">
        <is>
          <t>Lv et al.</t>
        </is>
      </c>
      <c r="D27" s="3" t="inlineStr">
        <is>
          <t>arXiv</t>
        </is>
      </c>
      <c r="E27" s="3" t="inlineStr">
        <is>
          <t>2024-07</t>
        </is>
      </c>
      <c r="F27" s="3" t="inlineStr">
        <is>
          <t>Bag of freebies tweaks</t>
        </is>
      </c>
      <c r="G27" s="6" t="inlineStr">
        <is>
          <t>https://arxiv.org/abs/2407.17140</t>
        </is>
      </c>
      <c r="H27" s="6" t="inlineStr">
        <is>
          <t>https://github.com/lyuwenyu/RT-DETR</t>
        </is>
      </c>
    </row>
    <row r="28" ht="48" customHeight="1">
      <c r="A28" s="3" t="inlineStr">
        <is>
          <t>Real-Time OD</t>
        </is>
      </c>
      <c r="B28" s="3" t="inlineStr">
        <is>
          <t>RT-DETR-R101</t>
        </is>
      </c>
      <c r="C28" s="3" t="inlineStr">
        <is>
          <t>Zhao et al.</t>
        </is>
      </c>
      <c r="D28" s="3" t="inlineStr">
        <is>
          <t>CVPR</t>
        </is>
      </c>
      <c r="E28" s="3" t="inlineStr">
        <is>
          <t>2024-06</t>
        </is>
      </c>
      <c r="F28" s="3" t="inlineStr">
        <is>
          <t>First real-time DETR</t>
        </is>
      </c>
      <c r="G28" s="6" t="inlineStr">
        <is>
          <t>https://arxiv.org/abs/2304.08069</t>
        </is>
      </c>
      <c r="H28" s="6" t="inlineStr">
        <is>
          <t>https://github.com/lyuwenyu/RT-DETR</t>
        </is>
      </c>
    </row>
    <row r="29" ht="48" customHeight="1">
      <c r="A29" s="4" t="inlineStr">
        <is>
          <t>RGB Salient OD</t>
        </is>
      </c>
      <c r="B29" s="4" t="inlineStr">
        <is>
          <t>MVANet</t>
        </is>
      </c>
      <c r="C29" s="4" t="inlineStr">
        <is>
          <t>Yu et al.</t>
        </is>
      </c>
      <c r="D29" s="4" t="inlineStr">
        <is>
          <t>CVPR</t>
        </is>
      </c>
      <c r="E29" s="4" t="inlineStr">
        <is>
          <t>2024-06</t>
        </is>
      </c>
      <c r="F29" s="4" t="inlineStr">
        <is>
          <t>Multi-view aggregation; SOTA-tier 2024</t>
        </is>
      </c>
      <c r="G29" s="7" t="inlineStr">
        <is>
          <t>https://arxiv.org/abs/2404.07445</t>
        </is>
      </c>
      <c r="H29" s="7" t="inlineStr">
        <is>
          <t>https://github.com/qianyu-dlut/MVANet</t>
        </is>
      </c>
    </row>
    <row r="30" ht="48" customHeight="1">
      <c r="A30" s="4" t="inlineStr">
        <is>
          <t>RGB Salient OD</t>
        </is>
      </c>
      <c r="B30" s="4" t="inlineStr">
        <is>
          <t>VSCode</t>
        </is>
      </c>
      <c r="C30" s="4" t="inlineStr">
        <is>
          <t>Luo et al.</t>
        </is>
      </c>
      <c r="D30" s="4" t="inlineStr">
        <is>
          <t>CVPR</t>
        </is>
      </c>
      <c r="E30" s="4" t="inlineStr">
        <is>
          <t>2024-06</t>
        </is>
      </c>
      <c r="F30" s="4" t="inlineStr">
        <is>
          <t>2D prompt joint salient/camouflaged</t>
        </is>
      </c>
      <c r="G30" s="7" t="inlineStr">
        <is>
          <t>https://arxiv.org/abs/2311.15011</t>
        </is>
      </c>
      <c r="H30" s="7" t="inlineStr">
        <is>
          <t>https://github.com/Sssssuperior/VSCode</t>
        </is>
      </c>
    </row>
    <row r="31" ht="48" customHeight="1">
      <c r="A31" s="5" t="inlineStr">
        <is>
          <t>Few-Shot OD</t>
        </is>
      </c>
      <c r="B31" s="5" t="inlineStr">
        <is>
          <t>FM-FSOD</t>
        </is>
      </c>
      <c r="C31" s="5" t="inlineStr">
        <is>
          <t>Han et al.</t>
        </is>
      </c>
      <c r="D31" s="5" t="inlineStr">
        <is>
          <t>CVPR</t>
        </is>
      </c>
      <c r="E31" s="5" t="inlineStr">
        <is>
          <t>2024-06</t>
        </is>
      </c>
      <c r="F31" s="5" t="inlineStr">
        <is>
          <t>Foundation-model FSOD</t>
        </is>
      </c>
      <c r="G31" s="8" t="inlineStr">
        <is>
          <t>https://arxiv.org/abs/2402.10433</t>
        </is>
      </c>
      <c r="H31" s="8" t="inlineStr">
        <is>
          <t>https://github.com/han-tianyu/FM-FSOD</t>
        </is>
      </c>
    </row>
    <row r="32" ht="48" customHeight="1">
      <c r="A32" s="2" t="inlineStr">
        <is>
          <t>General OD</t>
        </is>
      </c>
      <c r="B32" s="2" t="inlineStr">
        <is>
          <t>Grounding DINO 1.5 Pro</t>
        </is>
      </c>
      <c r="C32" s="2" t="inlineStr">
        <is>
          <t>Ren et al.</t>
        </is>
      </c>
      <c r="D32" s="2" t="inlineStr">
        <is>
          <t>arXiv</t>
        </is>
      </c>
      <c r="E32" s="2" t="inlineStr">
        <is>
          <t>2024-05</t>
        </is>
      </c>
      <c r="F32" s="2" t="inlineStr">
        <is>
          <t>Open-set; SOTA on COCO zero-shot, LVIS, ODinW</t>
        </is>
      </c>
      <c r="G32" s="9" t="inlineStr">
        <is>
          <t>https://arxiv.org/abs/2405.10300</t>
        </is>
      </c>
      <c r="H32" s="9" t="inlineStr">
        <is>
          <t>https://github.com/IDEA-Research/Grounding-DINO-1.5-API</t>
        </is>
      </c>
    </row>
    <row r="33" ht="48" customHeight="1">
      <c r="A33" s="5" t="inlineStr">
        <is>
          <t>Few-Shot OD</t>
        </is>
      </c>
      <c r="B33" s="5" t="inlineStr">
        <is>
          <t>Grounding DINO 1.5 Pro</t>
        </is>
      </c>
      <c r="C33" s="5" t="inlineStr">
        <is>
          <t>Ren et al.</t>
        </is>
      </c>
      <c r="D33" s="5" t="inlineStr">
        <is>
          <t>arXiv</t>
        </is>
      </c>
      <c r="E33" s="5" t="inlineStr">
        <is>
          <t>2024-05</t>
        </is>
      </c>
      <c r="F33" s="5" t="inlineStr">
        <is>
          <t>Strong open-set; SOTA on ODinW</t>
        </is>
      </c>
      <c r="G33" s="8" t="inlineStr">
        <is>
          <t>https://arxiv.org/abs/2405.10300</t>
        </is>
      </c>
      <c r="H33" s="8" t="inlineStr">
        <is>
          <t>https://github.com/IDEA-Research/Grounding-DINO-1.5-API</t>
        </is>
      </c>
    </row>
    <row r="34" ht="48" customHeight="1">
      <c r="A34" s="4" t="inlineStr">
        <is>
          <t>RGB Salient OD</t>
        </is>
      </c>
      <c r="B34" s="4" t="inlineStr">
        <is>
          <t>BiRefNet</t>
        </is>
      </c>
      <c r="C34" s="4" t="inlineStr">
        <is>
          <t>Zheng et al.</t>
        </is>
      </c>
      <c r="D34" s="4" t="inlineStr">
        <is>
          <t>CAAI AIR</t>
        </is>
      </c>
      <c r="E34" s="4" t="inlineStr">
        <is>
          <t>2024-04</t>
        </is>
      </c>
      <c r="F34" s="4" t="inlineStr">
        <is>
          <t>Bilateral reference; SOTA HR SOD</t>
        </is>
      </c>
      <c r="G34" s="7" t="inlineStr">
        <is>
          <t>https://arxiv.org/abs/2401.03407</t>
        </is>
      </c>
      <c r="H34" s="7" t="inlineStr">
        <is>
          <t>https://github.com/ZhengPeng7/BiRefNet</t>
        </is>
      </c>
    </row>
    <row r="35" ht="48" customHeight="1">
      <c r="A35" s="5" t="inlineStr">
        <is>
          <t>Few-Shot OD</t>
        </is>
      </c>
      <c r="B35" s="5" t="inlineStr">
        <is>
          <t>hANMCL</t>
        </is>
      </c>
      <c r="C35" s="5" t="inlineStr">
        <is>
          <t>Various</t>
        </is>
      </c>
      <c r="D35" s="5" t="inlineStr">
        <is>
          <t>arXiv</t>
        </is>
      </c>
      <c r="E35" s="5" t="inlineStr">
        <is>
          <t>2024-04</t>
        </is>
      </c>
      <c r="F35" s="5" t="inlineStr">
        <is>
          <t>Hierarchical attention + multi-correlation</t>
        </is>
      </c>
      <c r="G35" s="8" t="inlineStr">
        <is>
          <t>https://arxiv.org/abs/2404.00700</t>
        </is>
      </c>
      <c r="H35" s="8" t="inlineStr">
        <is>
          <t>https://github.com/</t>
        </is>
      </c>
    </row>
    <row r="36" ht="48" customHeight="1">
      <c r="A36" s="2" t="inlineStr">
        <is>
          <t>General OD</t>
        </is>
      </c>
      <c r="B36" s="2" t="inlineStr">
        <is>
          <t>Co-DETR (ViT-L)</t>
        </is>
      </c>
      <c r="C36" s="2" t="inlineStr">
        <is>
          <t>Zong et al.</t>
        </is>
      </c>
      <c r="D36" s="2" t="inlineStr">
        <is>
          <t>ICCV</t>
        </is>
      </c>
      <c r="E36" s="2" t="inlineStr">
        <is>
          <t>2023-10</t>
        </is>
      </c>
      <c r="F36" s="2" t="inlineStr">
        <is>
          <t>First ≥66 AP on COCO test-dev; collaborative hybrid assignments</t>
        </is>
      </c>
      <c r="G36" s="9" t="inlineStr">
        <is>
          <t>https://arxiv.org/abs/2211.12860</t>
        </is>
      </c>
      <c r="H36" s="9" t="inlineStr">
        <is>
          <t>https://github.com/Sense-X/Co-DETR</t>
        </is>
      </c>
    </row>
    <row r="37" ht="48" customHeight="1">
      <c r="A37" s="2" t="inlineStr">
        <is>
          <t>General OD</t>
        </is>
      </c>
      <c r="B37" s="2" t="inlineStr">
        <is>
          <t>EVA-02 (Det)</t>
        </is>
      </c>
      <c r="C37" s="2" t="inlineStr">
        <is>
          <t>Fang et al.</t>
        </is>
      </c>
      <c r="D37" s="2" t="inlineStr">
        <is>
          <t>arXiv→IVC</t>
        </is>
      </c>
      <c r="E37" s="2" t="inlineStr">
        <is>
          <t>2023-10</t>
        </is>
      </c>
      <c r="F37" s="2" t="inlineStr">
        <is>
          <t>ViT-L visual rep; SOTA-tier</t>
        </is>
      </c>
      <c r="G37" s="9" t="inlineStr">
        <is>
          <t>https://arxiv.org/abs/2303.11331</t>
        </is>
      </c>
      <c r="H37" s="9" t="inlineStr">
        <is>
          <t>https://github.com/baaivision/EVA</t>
        </is>
      </c>
    </row>
    <row r="38" ht="48" customHeight="1">
      <c r="A38" s="4" t="inlineStr">
        <is>
          <t>RGB Salient OD</t>
        </is>
      </c>
      <c r="B38" s="4" t="inlineStr">
        <is>
          <t>M3Net</t>
        </is>
      </c>
      <c r="C38" s="4" t="inlineStr">
        <is>
          <t>Yuan et al.</t>
        </is>
      </c>
      <c r="D38" s="4" t="inlineStr">
        <is>
          <t>ICCV</t>
        </is>
      </c>
      <c r="E38" s="4" t="inlineStr">
        <is>
          <t>2023-10</t>
        </is>
      </c>
      <c r="F38" s="4" t="inlineStr">
        <is>
          <t>Multi-level mixed-attention</t>
        </is>
      </c>
      <c r="G38" s="7" t="inlineStr">
        <is>
          <t>https://arxiv.org/abs/2309.08365</t>
        </is>
      </c>
      <c r="H38" s="7" t="inlineStr">
        <is>
          <t>https://github.com/I2-Multimedia-Lab/M3Net</t>
        </is>
      </c>
    </row>
    <row r="39" ht="48" customHeight="1">
      <c r="A39" s="2" t="inlineStr">
        <is>
          <t>General OD</t>
        </is>
      </c>
      <c r="B39" s="2" t="inlineStr">
        <is>
          <t>InternImage-H</t>
        </is>
      </c>
      <c r="C39" s="2" t="inlineStr">
        <is>
          <t>Wang et al.</t>
        </is>
      </c>
      <c r="D39" s="2" t="inlineStr">
        <is>
          <t>CVPR</t>
        </is>
      </c>
      <c r="E39" s="2" t="inlineStr">
        <is>
          <t>2023-06</t>
        </is>
      </c>
      <c r="F39" s="2" t="inlineStr">
        <is>
          <t>Large-scale deformable conv; first ≥65 AP</t>
        </is>
      </c>
      <c r="G39" s="9" t="inlineStr">
        <is>
          <t>https://arxiv.org/abs/2211.05778</t>
        </is>
      </c>
      <c r="H39" s="9" t="inlineStr">
        <is>
          <t>https://github.com/OpenGVLab/InternImage</t>
        </is>
      </c>
    </row>
    <row r="40" ht="48" customHeight="1">
      <c r="A40" s="3" t="inlineStr">
        <is>
          <t>Real-Time OD</t>
        </is>
      </c>
      <c r="B40" s="3" t="inlineStr">
        <is>
          <t>YOLOv7-X</t>
        </is>
      </c>
      <c r="C40" s="3" t="inlineStr">
        <is>
          <t>Wang et al.</t>
        </is>
      </c>
      <c r="D40" s="3" t="inlineStr">
        <is>
          <t>CVPR</t>
        </is>
      </c>
      <c r="E40" s="3" t="inlineStr">
        <is>
          <t>2023-06</t>
        </is>
      </c>
      <c r="F40" s="3" t="inlineStr">
        <is>
          <t>E-ELAN backbone</t>
        </is>
      </c>
      <c r="G40" s="6" t="inlineStr">
        <is>
          <t>https://arxiv.org/abs/2207.02696</t>
        </is>
      </c>
      <c r="H40" s="6" t="inlineStr">
        <is>
          <t>https://github.com/WongKinYiu/yolov7</t>
        </is>
      </c>
    </row>
    <row r="41" ht="48" customHeight="1">
      <c r="A41" s="5" t="inlineStr">
        <is>
          <t>Few-Shot OD</t>
        </is>
      </c>
      <c r="B41" s="5" t="inlineStr">
        <is>
          <t>UniFS (UniDetector)</t>
        </is>
      </c>
      <c r="C41" s="5" t="inlineStr">
        <is>
          <t>Wang et al.</t>
        </is>
      </c>
      <c r="D41" s="5" t="inlineStr">
        <is>
          <t>CVPR</t>
        </is>
      </c>
      <c r="E41" s="5" t="inlineStr">
        <is>
          <t>2023-06</t>
        </is>
      </c>
      <c r="F41" s="5" t="inlineStr">
        <is>
          <t>Universal open-vocab detector</t>
        </is>
      </c>
      <c r="G41" s="8" t="inlineStr">
        <is>
          <t>https://arxiv.org/abs/2303.11749</t>
        </is>
      </c>
      <c r="H41" s="8" t="inlineStr">
        <is>
          <t>https://github.com/zhenyuw16/UniDetector</t>
        </is>
      </c>
    </row>
    <row r="42" ht="48" customHeight="1">
      <c r="A42" s="3" t="inlineStr">
        <is>
          <t>Real-Time OD</t>
        </is>
      </c>
      <c r="B42" s="3" t="inlineStr">
        <is>
          <t>YOLO-NAS-L</t>
        </is>
      </c>
      <c r="C42" s="3" t="inlineStr">
        <is>
          <t>Deci</t>
        </is>
      </c>
      <c r="D42" s="3" t="inlineStr">
        <is>
          <t>GitHub</t>
        </is>
      </c>
      <c r="E42" s="3" t="inlineStr">
        <is>
          <t>2023-05</t>
        </is>
      </c>
      <c r="F42" s="3" t="inlineStr">
        <is>
          <t>Neural-arch search YOLO</t>
        </is>
      </c>
      <c r="G42" s="6" t="inlineStr">
        <is>
          <t>https://github.com/Deci-AI/super-gradients</t>
        </is>
      </c>
      <c r="H42" s="6" t="inlineStr">
        <is>
          <t>https://github.com/Deci-AI/super-gradients</t>
        </is>
      </c>
    </row>
    <row r="43" ht="48" customHeight="1">
      <c r="A43" s="2" t="inlineStr">
        <is>
          <t>General OD</t>
        </is>
      </c>
      <c r="B43" s="2" t="inlineStr">
        <is>
          <t>DINO (Swin-L)</t>
        </is>
      </c>
      <c r="C43" s="2" t="inlineStr">
        <is>
          <t>Zhang et al.</t>
        </is>
      </c>
      <c r="D43" s="2" t="inlineStr">
        <is>
          <t>ICLR</t>
        </is>
      </c>
      <c r="E43" s="2" t="inlineStr">
        <is>
          <t>2023-03</t>
        </is>
      </c>
      <c r="F43" s="2" t="inlineStr">
        <is>
          <t>SOTA query-based DETR family; Paper-reported result</t>
        </is>
      </c>
      <c r="G43" s="9" t="inlineStr">
        <is>
          <t>https://arxiv.org/abs/2203.03605</t>
        </is>
      </c>
      <c r="H43" s="9" t="inlineStr">
        <is>
          <t>https://github.com/IDEA-Research/DINO</t>
        </is>
      </c>
    </row>
    <row r="44" ht="48" customHeight="1">
      <c r="A44" s="4" t="inlineStr">
        <is>
          <t>RGB Salient OD</t>
        </is>
      </c>
      <c r="B44" s="4" t="inlineStr">
        <is>
          <t>ICON-S (Swin)</t>
        </is>
      </c>
      <c r="C44" s="4" t="inlineStr">
        <is>
          <t>Zhuge et al.</t>
        </is>
      </c>
      <c r="D44" s="4" t="inlineStr">
        <is>
          <t>TPAMI</t>
        </is>
      </c>
      <c r="E44" s="4" t="inlineStr">
        <is>
          <t>2023-03</t>
        </is>
      </c>
      <c r="F44" s="4" t="inlineStr">
        <is>
          <t>Integrity learning</t>
        </is>
      </c>
      <c r="G44" s="7" t="inlineStr">
        <is>
          <t>https://arxiv.org/abs/2111.13409</t>
        </is>
      </c>
      <c r="H44" s="7" t="inlineStr">
        <is>
          <t>https://github.com/mczhuge/ICON</t>
        </is>
      </c>
    </row>
    <row r="45" ht="48" customHeight="1">
      <c r="A45" s="3" t="inlineStr">
        <is>
          <t>Real-Time OD</t>
        </is>
      </c>
      <c r="B45" s="3" t="inlineStr">
        <is>
          <t>YOLOv8x</t>
        </is>
      </c>
      <c r="C45" s="3" t="inlineStr">
        <is>
          <t>Jocher et al.</t>
        </is>
      </c>
      <c r="D45" s="3" t="inlineStr">
        <is>
          <t>GitHub</t>
        </is>
      </c>
      <c r="E45" s="3" t="inlineStr">
        <is>
          <t>2023-01</t>
        </is>
      </c>
      <c r="F45" s="3" t="inlineStr">
        <is>
          <t>Anchor-free; Ultralytics</t>
        </is>
      </c>
      <c r="G45" s="6" t="inlineStr">
        <is>
          <t>https://docs.ultralytics.com/models/yolov8/</t>
        </is>
      </c>
      <c r="H45" s="6" t="inlineStr">
        <is>
          <t>https://github.com/ultralytics/ultralytics</t>
        </is>
      </c>
    </row>
    <row r="46" ht="48" customHeight="1">
      <c r="A46" s="3" t="inlineStr">
        <is>
          <t>Real-Time OD</t>
        </is>
      </c>
      <c r="B46" s="3" t="inlineStr">
        <is>
          <t>RTMDet-X</t>
        </is>
      </c>
      <c r="C46" s="3" t="inlineStr">
        <is>
          <t>Lyu et al.</t>
        </is>
      </c>
      <c r="D46" s="3" t="inlineStr">
        <is>
          <t>arXiv</t>
        </is>
      </c>
      <c r="E46" s="3" t="inlineStr">
        <is>
          <t>2022-12</t>
        </is>
      </c>
      <c r="F46" s="3" t="inlineStr">
        <is>
          <t>OpenMMLab RT detector</t>
        </is>
      </c>
      <c r="G46" s="6" t="inlineStr">
        <is>
          <t>https://arxiv.org/abs/2212.07784</t>
        </is>
      </c>
      <c r="H46" s="6" t="inlineStr">
        <is>
          <t>https://github.com/open-mmlab/mmdetection</t>
        </is>
      </c>
    </row>
    <row r="47" ht="48" customHeight="1">
      <c r="A47" s="3" t="inlineStr">
        <is>
          <t>Real-Time OD</t>
        </is>
      </c>
      <c r="B47" s="3" t="inlineStr">
        <is>
          <t>DAMO-YOLO-l</t>
        </is>
      </c>
      <c r="C47" s="3" t="inlineStr">
        <is>
          <t>Xu et al.</t>
        </is>
      </c>
      <c r="D47" s="3" t="inlineStr">
        <is>
          <t>arXiv</t>
        </is>
      </c>
      <c r="E47" s="3" t="inlineStr">
        <is>
          <t>2022-12</t>
        </is>
      </c>
      <c r="F47" s="3" t="inlineStr">
        <is>
          <t>NAS backbone</t>
        </is>
      </c>
      <c r="G47" s="6" t="inlineStr">
        <is>
          <t>https://arxiv.org/abs/2211.15444</t>
        </is>
      </c>
      <c r="H47" s="6" t="inlineStr">
        <is>
          <t>https://github.com/tinyvision/damo-yolo</t>
        </is>
      </c>
    </row>
    <row r="48" ht="48" customHeight="1">
      <c r="A48" s="4" t="inlineStr">
        <is>
          <t>RGB Salient OD</t>
        </is>
      </c>
      <c r="B48" s="4" t="inlineStr">
        <is>
          <t>InSPyReNet</t>
        </is>
      </c>
      <c r="C48" s="4" t="inlineStr">
        <is>
          <t>Kim et al.</t>
        </is>
      </c>
      <c r="D48" s="4" t="inlineStr">
        <is>
          <t>ACCV</t>
        </is>
      </c>
      <c r="E48" s="4" t="inlineStr">
        <is>
          <t>2022-12</t>
        </is>
      </c>
      <c r="F48" s="4" t="inlineStr">
        <is>
          <t>Image pyramid; high-res</t>
        </is>
      </c>
      <c r="G48" s="7" t="inlineStr">
        <is>
          <t>https://arxiv.org/abs/2209.09475</t>
        </is>
      </c>
      <c r="H48" s="7" t="inlineStr">
        <is>
          <t>https://github.com/plemeri/InSPyReNet</t>
        </is>
      </c>
    </row>
    <row r="49" ht="48" customHeight="1">
      <c r="A49" s="2" t="inlineStr">
        <is>
          <t>General OD</t>
        </is>
      </c>
      <c r="B49" s="2" t="inlineStr">
        <is>
          <t>ViTDet (ViT-H, MAE)</t>
        </is>
      </c>
      <c r="C49" s="2" t="inlineStr">
        <is>
          <t>Li et al.</t>
        </is>
      </c>
      <c r="D49" s="2" t="inlineStr">
        <is>
          <t>ECCV</t>
        </is>
      </c>
      <c r="E49" s="2" t="inlineStr">
        <is>
          <t>2022-09</t>
        </is>
      </c>
      <c r="F49" s="2" t="inlineStr">
        <is>
          <t>Plain ViT backbone for detection</t>
        </is>
      </c>
      <c r="G49" s="9" t="inlineStr">
        <is>
          <t>https://arxiv.org/abs/2203.16527</t>
        </is>
      </c>
      <c r="H49" s="9" t="inlineStr">
        <is>
          <t>https://github.com/facebookresearch/detectron2</t>
        </is>
      </c>
    </row>
    <row r="50" ht="48" customHeight="1">
      <c r="A50" s="2" t="inlineStr">
        <is>
          <t>General OD</t>
        </is>
      </c>
      <c r="B50" s="2" t="inlineStr">
        <is>
          <t>MaxViT-XL Cascade</t>
        </is>
      </c>
      <c r="C50" s="2" t="inlineStr">
        <is>
          <t>Tu et al.</t>
        </is>
      </c>
      <c r="D50" s="2" t="inlineStr">
        <is>
          <t>ECCV</t>
        </is>
      </c>
      <c r="E50" s="2" t="inlineStr">
        <is>
          <t>2022-09</t>
        </is>
      </c>
      <c r="F50" s="2" t="inlineStr">
        <is>
          <t>Multi-axis attention</t>
        </is>
      </c>
      <c r="G50" s="9" t="inlineStr">
        <is>
          <t>https://arxiv.org/abs/2204.01697</t>
        </is>
      </c>
      <c r="H50" s="9" t="inlineStr">
        <is>
          <t>https://github.com/google-research/maxvit</t>
        </is>
      </c>
    </row>
    <row r="51" ht="48" customHeight="1">
      <c r="A51" s="3" t="inlineStr">
        <is>
          <t>Real-Time OD</t>
        </is>
      </c>
      <c r="B51" s="3" t="inlineStr">
        <is>
          <t>YOLOv6-L</t>
        </is>
      </c>
      <c r="C51" s="3" t="inlineStr">
        <is>
          <t>Li et al.</t>
        </is>
      </c>
      <c r="D51" s="3" t="inlineStr">
        <is>
          <t>arXiv</t>
        </is>
      </c>
      <c r="E51" s="3" t="inlineStr">
        <is>
          <t>2022-09</t>
        </is>
      </c>
      <c r="F51" s="3" t="inlineStr">
        <is>
          <t>Industry-grade RT detector</t>
        </is>
      </c>
      <c r="G51" s="6" t="inlineStr">
        <is>
          <t>https://arxiv.org/abs/2209.02976</t>
        </is>
      </c>
      <c r="H51" s="6" t="inlineStr">
        <is>
          <t>https://github.com/meituan/YOLOv6</t>
        </is>
      </c>
    </row>
    <row r="52" ht="48" customHeight="1">
      <c r="A52" s="4" t="inlineStr">
        <is>
          <t>RGB Salient OD</t>
        </is>
      </c>
      <c r="B52" s="4" t="inlineStr">
        <is>
          <t>EDN</t>
        </is>
      </c>
      <c r="C52" s="4" t="inlineStr">
        <is>
          <t>Wu et al.</t>
        </is>
      </c>
      <c r="D52" s="4" t="inlineStr">
        <is>
          <t>TIP</t>
        </is>
      </c>
      <c r="E52" s="4" t="inlineStr">
        <is>
          <t>2022-08</t>
        </is>
      </c>
      <c r="F52" s="4" t="inlineStr">
        <is>
          <t>Extremely-downsampled net</t>
        </is>
      </c>
      <c r="G52" s="7" t="inlineStr">
        <is>
          <t>https://arxiv.org/abs/2012.13093</t>
        </is>
      </c>
      <c r="H52" s="7" t="inlineStr">
        <is>
          <t>https://github.com/yuhuan-wu/EDN</t>
        </is>
      </c>
    </row>
    <row r="53" ht="48" customHeight="1">
      <c r="A53" s="5" t="inlineStr">
        <is>
          <t>Few-Shot OD</t>
        </is>
      </c>
      <c r="B53" s="5" t="inlineStr">
        <is>
          <t>Meta-DETR</t>
        </is>
      </c>
      <c r="C53" s="5" t="inlineStr">
        <is>
          <t>Zhang et al.</t>
        </is>
      </c>
      <c r="D53" s="5" t="inlineStr">
        <is>
          <t>TPAMI</t>
        </is>
      </c>
      <c r="E53" s="5" t="inlineStr">
        <is>
          <t>2022-08</t>
        </is>
      </c>
      <c r="F53" s="5" t="inlineStr">
        <is>
          <t>Inter-class correlational meta-learning</t>
        </is>
      </c>
      <c r="G53" s="8" t="inlineStr">
        <is>
          <t>https://arxiv.org/abs/2208.00219</t>
        </is>
      </c>
      <c r="H53" s="8" t="inlineStr">
        <is>
          <t>https://github.com/ZhangGongjie/Meta-DETR</t>
        </is>
      </c>
    </row>
    <row r="54" ht="48" customHeight="1">
      <c r="A54" s="3" t="inlineStr">
        <is>
          <t>Real-Time OD</t>
        </is>
      </c>
      <c r="B54" s="3" t="inlineStr">
        <is>
          <t>PP-YOLOE+ (X)</t>
        </is>
      </c>
      <c r="C54" s="3" t="inlineStr">
        <is>
          <t>Xu et al.</t>
        </is>
      </c>
      <c r="D54" s="3" t="inlineStr">
        <is>
          <t>arXiv</t>
        </is>
      </c>
      <c r="E54" s="3" t="inlineStr">
        <is>
          <t>2022-07</t>
        </is>
      </c>
      <c r="F54" s="3" t="inlineStr">
        <is>
          <t>Baidu PaddleDetection</t>
        </is>
      </c>
      <c r="G54" s="6" t="inlineStr">
        <is>
          <t>https://arxiv.org/abs/2203.16250</t>
        </is>
      </c>
      <c r="H54" s="6" t="inlineStr">
        <is>
          <t>https://github.com/PaddlePaddle/PaddleDetection</t>
        </is>
      </c>
    </row>
    <row r="55" ht="48" customHeight="1">
      <c r="A55" s="5" t="inlineStr">
        <is>
          <t>Few-Shot OD</t>
        </is>
      </c>
      <c r="B55" s="5" t="inlineStr">
        <is>
          <t>DETReg</t>
        </is>
      </c>
      <c r="C55" s="5" t="inlineStr">
        <is>
          <t>Bar et al.</t>
        </is>
      </c>
      <c r="D55" s="5" t="inlineStr">
        <is>
          <t>CVPR</t>
        </is>
      </c>
      <c r="E55" s="5" t="inlineStr">
        <is>
          <t>2022-06</t>
        </is>
      </c>
      <c r="F55" s="5" t="inlineStr">
        <is>
          <t>Self-supervised pre-training</t>
        </is>
      </c>
      <c r="G55" s="8" t="inlineStr">
        <is>
          <t>https://arxiv.org/abs/2106.04550</t>
        </is>
      </c>
      <c r="H55" s="8" t="inlineStr">
        <is>
          <t>https://github.com/amirbar/DETReg</t>
        </is>
      </c>
    </row>
    <row r="56" ht="48" customHeight="1">
      <c r="A56" s="2" t="inlineStr">
        <is>
          <t>General OD</t>
        </is>
      </c>
      <c r="B56" s="2" t="inlineStr">
        <is>
          <t>ConvNeXt-XL Cascade</t>
        </is>
      </c>
      <c r="C56" s="2" t="inlineStr">
        <is>
          <t>Liu et al.</t>
        </is>
      </c>
      <c r="D56" s="2" t="inlineStr">
        <is>
          <t>CVPR</t>
        </is>
      </c>
      <c r="E56" s="2" t="inlineStr">
        <is>
          <t>2022-03</t>
        </is>
      </c>
      <c r="F56" s="2" t="inlineStr">
        <is>
          <t>Pure ConvNet baseline</t>
        </is>
      </c>
      <c r="G56" s="9" t="inlineStr">
        <is>
          <t>https://arxiv.org/abs/2201.03545</t>
        </is>
      </c>
      <c r="H56" s="9" t="inlineStr">
        <is>
          <t>https://github.com/facebookresearch/ConvNeXt</t>
        </is>
      </c>
    </row>
    <row r="57" ht="48" customHeight="1">
      <c r="A57" s="2" t="inlineStr">
        <is>
          <t>General OD</t>
        </is>
      </c>
      <c r="B57" s="2" t="inlineStr">
        <is>
          <t>DN-DETR</t>
        </is>
      </c>
      <c r="C57" s="2" t="inlineStr">
        <is>
          <t>Li et al.</t>
        </is>
      </c>
      <c r="D57" s="2" t="inlineStr">
        <is>
          <t>CVPR</t>
        </is>
      </c>
      <c r="E57" s="2" t="inlineStr">
        <is>
          <t>2022-03</t>
        </is>
      </c>
      <c r="F57" s="2" t="inlineStr">
        <is>
          <t>Denoising training; Paper-reported result</t>
        </is>
      </c>
      <c r="G57" s="9" t="inlineStr">
        <is>
          <t>https://arxiv.org/abs/2203.01305</t>
        </is>
      </c>
      <c r="H57" s="9" t="inlineStr">
        <is>
          <t>https://github.com/IDEA-Research/DN-DETR</t>
        </is>
      </c>
    </row>
    <row r="58" ht="48" customHeight="1">
      <c r="A58" s="2" t="inlineStr">
        <is>
          <t>General OD</t>
        </is>
      </c>
      <c r="B58" s="2" t="inlineStr">
        <is>
          <t>DAB-DETR</t>
        </is>
      </c>
      <c r="C58" s="2" t="inlineStr">
        <is>
          <t>Liu et al.</t>
        </is>
      </c>
      <c r="D58" s="2" t="inlineStr">
        <is>
          <t>ICLR</t>
        </is>
      </c>
      <c r="E58" s="2" t="inlineStr">
        <is>
          <t>2022-03</t>
        </is>
      </c>
      <c r="F58" s="2" t="inlineStr">
        <is>
          <t>Anchor box query; Paper-reported result</t>
        </is>
      </c>
      <c r="G58" s="9" t="inlineStr">
        <is>
          <t>https://arxiv.org/abs/2201.12329</t>
        </is>
      </c>
      <c r="H58" s="9" t="inlineStr">
        <is>
          <t>https://github.com/IDEA-Research/DAB-DETR</t>
        </is>
      </c>
    </row>
    <row r="59" ht="48" customHeight="1">
      <c r="A59" s="3" t="inlineStr">
        <is>
          <t>Real-Time OD</t>
        </is>
      </c>
      <c r="B59" s="3" t="inlineStr">
        <is>
          <t>NanoDet-Plus-m</t>
        </is>
      </c>
      <c r="C59" s="3" t="inlineStr">
        <is>
          <t>RangiLyu</t>
        </is>
      </c>
      <c r="D59" s="3" t="inlineStr">
        <is>
          <t>GitHub</t>
        </is>
      </c>
      <c r="E59" s="3" t="inlineStr">
        <is>
          <t>2021-12</t>
        </is>
      </c>
      <c r="F59" s="3" t="inlineStr">
        <is>
          <t>Mobile/edge tiny detector</t>
        </is>
      </c>
      <c r="G59" s="6" t="inlineStr">
        <is>
          <t>https://github.com/RangiLyu/nanodet</t>
        </is>
      </c>
      <c r="H59" s="6" t="inlineStr">
        <is>
          <t>https://github.com/RangiLyu/nanodet</t>
        </is>
      </c>
    </row>
    <row r="60" ht="48" customHeight="1">
      <c r="A60" s="4" t="inlineStr">
        <is>
          <t>RGB Salient OD</t>
        </is>
      </c>
      <c r="B60" s="4" t="inlineStr">
        <is>
          <t>VST</t>
        </is>
      </c>
      <c r="C60" s="4" t="inlineStr">
        <is>
          <t>Liu et al.</t>
        </is>
      </c>
      <c r="D60" s="4" t="inlineStr">
        <is>
          <t>ICCV</t>
        </is>
      </c>
      <c r="E60" s="4" t="inlineStr">
        <is>
          <t>2021-10</t>
        </is>
      </c>
      <c r="F60" s="4" t="inlineStr">
        <is>
          <t>Visual saliency transformer</t>
        </is>
      </c>
      <c r="G60" s="7" t="inlineStr">
        <is>
          <t>https://arxiv.org/abs/2104.12099</t>
        </is>
      </c>
      <c r="H60" s="7" t="inlineStr">
        <is>
          <t>https://github.com/nnizhang/VST</t>
        </is>
      </c>
    </row>
    <row r="61" ht="48" customHeight="1">
      <c r="A61" s="5" t="inlineStr">
        <is>
          <t>Few-Shot OD</t>
        </is>
      </c>
      <c r="B61" s="5" t="inlineStr">
        <is>
          <t>DeFRCN</t>
        </is>
      </c>
      <c r="C61" s="5" t="inlineStr">
        <is>
          <t>Qiao et al.</t>
        </is>
      </c>
      <c r="D61" s="5" t="inlineStr">
        <is>
          <t>ICCV</t>
        </is>
      </c>
      <c r="E61" s="5" t="inlineStr">
        <is>
          <t>2021-10</t>
        </is>
      </c>
      <c r="F61" s="5" t="inlineStr">
        <is>
          <t>Decoupled Faster R-CNN; strong baseline</t>
        </is>
      </c>
      <c r="G61" s="8" t="inlineStr">
        <is>
          <t>https://arxiv.org/abs/2108.09017</t>
        </is>
      </c>
      <c r="H61" s="8" t="inlineStr">
        <is>
          <t>https://github.com/er-muyue/DeFRCN</t>
        </is>
      </c>
    </row>
    <row r="62" ht="48" customHeight="1">
      <c r="A62" s="2" t="inlineStr">
        <is>
          <t>General OD</t>
        </is>
      </c>
      <c r="B62" s="2" t="inlineStr">
        <is>
          <t>Swin-L Cascade Mask R-CNN</t>
        </is>
      </c>
      <c r="C62" s="2" t="inlineStr">
        <is>
          <t>Liu et al.</t>
        </is>
      </c>
      <c r="D62" s="2" t="inlineStr">
        <is>
          <t>ICCV</t>
        </is>
      </c>
      <c r="E62" s="2" t="inlineStr">
        <is>
          <t>2021-08</t>
        </is>
      </c>
      <c r="F62" s="2" t="inlineStr">
        <is>
          <t>Swin transformer backbone</t>
        </is>
      </c>
      <c r="G62" s="9" t="inlineStr">
        <is>
          <t>https://arxiv.org/abs/2103.14030</t>
        </is>
      </c>
      <c r="H62" s="9" t="inlineStr">
        <is>
          <t>https://github.com/microsoft/Swin-Transformer</t>
        </is>
      </c>
    </row>
    <row r="63" ht="48" customHeight="1">
      <c r="A63" s="3" t="inlineStr">
        <is>
          <t>Real-Time OD</t>
        </is>
      </c>
      <c r="B63" s="3" t="inlineStr">
        <is>
          <t>YOLOX-X</t>
        </is>
      </c>
      <c r="C63" s="3" t="inlineStr">
        <is>
          <t>Ge et al.</t>
        </is>
      </c>
      <c r="D63" s="3" t="inlineStr">
        <is>
          <t>arXiv</t>
        </is>
      </c>
      <c r="E63" s="3" t="inlineStr">
        <is>
          <t>2021-08</t>
        </is>
      </c>
      <c r="F63" s="3" t="inlineStr">
        <is>
          <t>Anchor-free YOLO baseline</t>
        </is>
      </c>
      <c r="G63" s="6" t="inlineStr">
        <is>
          <t>https://arxiv.org/abs/2107.08430</t>
        </is>
      </c>
      <c r="H63" s="6" t="inlineStr">
        <is>
          <t>https://github.com/Megvii-BaseDetection/YOLOX</t>
        </is>
      </c>
    </row>
    <row r="64" ht="48" customHeight="1">
      <c r="A64" s="5" t="inlineStr">
        <is>
          <t>Few-Shot OD</t>
        </is>
      </c>
      <c r="B64" s="5" t="inlineStr">
        <is>
          <t>FSCE</t>
        </is>
      </c>
      <c r="C64" s="5" t="inlineStr">
        <is>
          <t>Sun et al.</t>
        </is>
      </c>
      <c r="D64" s="5" t="inlineStr">
        <is>
          <t>CVPR</t>
        </is>
      </c>
      <c r="E64" s="5" t="inlineStr">
        <is>
          <t>2021-06</t>
        </is>
      </c>
      <c r="F64" s="5" t="inlineStr">
        <is>
          <t>Contrastive proposal encoding</t>
        </is>
      </c>
      <c r="G64" s="8" t="inlineStr">
        <is>
          <t>https://arxiv.org/abs/2103.05950</t>
        </is>
      </c>
      <c r="H64" s="8" t="inlineStr">
        <is>
          <t>https://github.com/megvii-research/FSCE</t>
        </is>
      </c>
    </row>
    <row r="65" ht="48" customHeight="1">
      <c r="A65" s="2" t="inlineStr">
        <is>
          <t>General OD</t>
        </is>
      </c>
      <c r="B65" s="2" t="inlineStr">
        <is>
          <t>Deformable DETR (R50)</t>
        </is>
      </c>
      <c r="C65" s="2" t="inlineStr">
        <is>
          <t>Zhu et al.</t>
        </is>
      </c>
      <c r="D65" s="2" t="inlineStr">
        <is>
          <t>ICLR</t>
        </is>
      </c>
      <c r="E65" s="2" t="inlineStr">
        <is>
          <t>2021-05</t>
        </is>
      </c>
      <c r="F65" s="2" t="inlineStr">
        <is>
          <t>Sparse attention; faster convergence; Paper-reported result</t>
        </is>
      </c>
      <c r="G65" s="9" t="inlineStr">
        <is>
          <t>https://arxiv.org/abs/2010.04159</t>
        </is>
      </c>
      <c r="H65" s="9" t="inlineStr">
        <is>
          <t>https://github.com/fundamentalvision/Deformable-DETR</t>
        </is>
      </c>
    </row>
    <row r="66" ht="48" customHeight="1">
      <c r="A66" s="4" t="inlineStr">
        <is>
          <t>RGB Salient OD</t>
        </is>
      </c>
      <c r="B66" s="4" t="inlineStr">
        <is>
          <t>PoolNet+</t>
        </is>
      </c>
      <c r="C66" s="4" t="inlineStr">
        <is>
          <t>Liu et al.</t>
        </is>
      </c>
      <c r="D66" s="4" t="inlineStr">
        <is>
          <t>TPAMI</t>
        </is>
      </c>
      <c r="E66" s="4" t="inlineStr">
        <is>
          <t>2021-04</t>
        </is>
      </c>
      <c r="F66" s="4" t="inlineStr">
        <is>
          <t>Pool-based aggregation</t>
        </is>
      </c>
      <c r="G66" s="7" t="inlineStr">
        <is>
          <t>https://arxiv.org/abs/1904.09569</t>
        </is>
      </c>
      <c r="H66" s="7" t="inlineStr">
        <is>
          <t>https://github.com/backseason/PoolNet</t>
        </is>
      </c>
    </row>
    <row r="67" ht="48" customHeight="1">
      <c r="A67" s="2" t="inlineStr">
        <is>
          <t>General OD</t>
        </is>
      </c>
      <c r="B67" s="2" t="inlineStr">
        <is>
          <t>Sparse R-CNN (R101)</t>
        </is>
      </c>
      <c r="C67" s="2" t="inlineStr">
        <is>
          <t>Sun et al.</t>
        </is>
      </c>
      <c r="D67" s="2" t="inlineStr">
        <is>
          <t>CVPR</t>
        </is>
      </c>
      <c r="E67" s="2" t="inlineStr">
        <is>
          <t>2021-01</t>
        </is>
      </c>
      <c r="F67" s="2" t="inlineStr">
        <is>
          <t>End-to-end set prediction; Paper-reported result</t>
        </is>
      </c>
      <c r="G67" s="9" t="inlineStr">
        <is>
          <t>https://arxiv.org/abs/2011.12450</t>
        </is>
      </c>
      <c r="H67" s="9" t="inlineStr">
        <is>
          <t>https://github.com/PeizeSun/SparseR-CNN</t>
        </is>
      </c>
    </row>
    <row r="68" ht="48" customHeight="1">
      <c r="A68" s="2" t="inlineStr">
        <is>
          <t>General OD</t>
        </is>
      </c>
      <c r="B68" s="2" t="inlineStr">
        <is>
          <t>DETR (R101)</t>
        </is>
      </c>
      <c r="C68" s="2" t="inlineStr">
        <is>
          <t>Carion et al.</t>
        </is>
      </c>
      <c r="D68" s="2" t="inlineStr">
        <is>
          <t>ECCV</t>
        </is>
      </c>
      <c r="E68" s="2" t="inlineStr">
        <is>
          <t>2020-09</t>
        </is>
      </c>
      <c r="F68" s="2" t="inlineStr">
        <is>
          <t>First end-to-end transformer detector; Paper-reported result</t>
        </is>
      </c>
      <c r="G68" s="9" t="inlineStr">
        <is>
          <t>https://arxiv.org/abs/2005.12872</t>
        </is>
      </c>
      <c r="H68" s="9" t="inlineStr">
        <is>
          <t>https://github.com/facebookresearch/detr</t>
        </is>
      </c>
    </row>
    <row r="69" ht="48" customHeight="1">
      <c r="A69" s="5" t="inlineStr">
        <is>
          <t>Few-Shot OD</t>
        </is>
      </c>
      <c r="B69" s="5" t="inlineStr">
        <is>
          <t>MPSR</t>
        </is>
      </c>
      <c r="C69" s="5" t="inlineStr">
        <is>
          <t>Wu et al.</t>
        </is>
      </c>
      <c r="D69" s="5" t="inlineStr">
        <is>
          <t>ECCV</t>
        </is>
      </c>
      <c r="E69" s="5" t="inlineStr">
        <is>
          <t>2020-08</t>
        </is>
      </c>
      <c r="F69" s="5" t="inlineStr">
        <is>
          <t>Multi-scale positive samples</t>
        </is>
      </c>
      <c r="G69" s="8" t="inlineStr">
        <is>
          <t>https://arxiv.org/abs/2007.09384</t>
        </is>
      </c>
      <c r="H69" s="8" t="inlineStr">
        <is>
          <t>https://github.com/jiaxi-wu/MPSR</t>
        </is>
      </c>
    </row>
    <row r="70" ht="48" customHeight="1">
      <c r="A70" s="5" t="inlineStr">
        <is>
          <t>Few-Shot OD</t>
        </is>
      </c>
      <c r="B70" s="5" t="inlineStr">
        <is>
          <t>TFA w/cos</t>
        </is>
      </c>
      <c r="C70" s="5" t="inlineStr">
        <is>
          <t>Wang et al.</t>
        </is>
      </c>
      <c r="D70" s="5" t="inlineStr">
        <is>
          <t>ICML</t>
        </is>
      </c>
      <c r="E70" s="5" t="inlineStr">
        <is>
          <t>2020-07</t>
        </is>
      </c>
      <c r="F70" s="5" t="inlineStr">
        <is>
          <t>Two-stage fine-tuning baseline</t>
        </is>
      </c>
      <c r="G70" s="8" t="inlineStr">
        <is>
          <t>https://arxiv.org/abs/2003.06957</t>
        </is>
      </c>
      <c r="H70" s="8" t="inlineStr">
        <is>
          <t>https://github.com/ucbdrive/few-shot-object-detection</t>
        </is>
      </c>
    </row>
    <row r="71" ht="48" customHeight="1">
      <c r="A71" s="3" t="inlineStr">
        <is>
          <t>Real-Time OD</t>
        </is>
      </c>
      <c r="B71" s="3" t="inlineStr">
        <is>
          <t>EfficientDet-D7</t>
        </is>
      </c>
      <c r="C71" s="3" t="inlineStr">
        <is>
          <t>Tan et al.</t>
        </is>
      </c>
      <c r="D71" s="3" t="inlineStr">
        <is>
          <t>CVPR</t>
        </is>
      </c>
      <c r="E71" s="3" t="inlineStr">
        <is>
          <t>2020-06</t>
        </is>
      </c>
      <c r="F71" s="3" t="inlineStr">
        <is>
          <t>BiFPN compound scaling</t>
        </is>
      </c>
      <c r="G71" s="6" t="inlineStr">
        <is>
          <t>https://arxiv.org/abs/1911.09070</t>
        </is>
      </c>
      <c r="H71" s="6" t="inlineStr">
        <is>
          <t>https://github.com/google/automl/tree/master/efficientdet</t>
        </is>
      </c>
    </row>
    <row r="72" ht="48" customHeight="1">
      <c r="A72" s="3" t="inlineStr">
        <is>
          <t>Real-Time OD</t>
        </is>
      </c>
      <c r="B72" s="3" t="inlineStr">
        <is>
          <t>YOLOv5-x</t>
        </is>
      </c>
      <c r="C72" s="3" t="inlineStr">
        <is>
          <t>Jocher et al.</t>
        </is>
      </c>
      <c r="D72" s="3" t="inlineStr">
        <is>
          <t>GitHub</t>
        </is>
      </c>
      <c r="E72" s="3" t="inlineStr">
        <is>
          <t>2020-06</t>
        </is>
      </c>
      <c r="F72" s="3" t="inlineStr">
        <is>
          <t>Anchor-based YOLO; widely used baseline</t>
        </is>
      </c>
      <c r="G72" s="6" t="inlineStr">
        <is>
          <t>https://github.com/ultralytics/yolov5</t>
        </is>
      </c>
      <c r="H72" s="6" t="inlineStr">
        <is>
          <t>https://github.com/ultralytics/yolov5</t>
        </is>
      </c>
    </row>
    <row r="73" ht="48" customHeight="1">
      <c r="A73" s="4" t="inlineStr">
        <is>
          <t>RGB Salient OD</t>
        </is>
      </c>
      <c r="B73" s="4" t="inlineStr">
        <is>
          <t>MINet</t>
        </is>
      </c>
      <c r="C73" s="4" t="inlineStr">
        <is>
          <t>Pang et al.</t>
        </is>
      </c>
      <c r="D73" s="4" t="inlineStr">
        <is>
          <t>CVPR</t>
        </is>
      </c>
      <c r="E73" s="4" t="inlineStr">
        <is>
          <t>2020-06</t>
        </is>
      </c>
      <c r="F73" s="4" t="inlineStr">
        <is>
          <t>Multi-scale interactive</t>
        </is>
      </c>
      <c r="G73" s="7" t="inlineStr">
        <is>
          <t>https://arxiv.org/abs/2007.09062</t>
        </is>
      </c>
      <c r="H73" s="7" t="inlineStr">
        <is>
          <t>https://github.com/lartpang/MINet</t>
        </is>
      </c>
    </row>
    <row r="74" ht="48" customHeight="1">
      <c r="A74" s="4" t="inlineStr">
        <is>
          <t>RGB Salient OD</t>
        </is>
      </c>
      <c r="B74" s="4" t="inlineStr">
        <is>
          <t>U^2-Net</t>
        </is>
      </c>
      <c r="C74" s="4" t="inlineStr">
        <is>
          <t>Qin et al.</t>
        </is>
      </c>
      <c r="D74" s="4" t="inlineStr">
        <is>
          <t>PR</t>
        </is>
      </c>
      <c r="E74" s="4" t="inlineStr">
        <is>
          <t>2020-05</t>
        </is>
      </c>
      <c r="F74" s="4" t="inlineStr">
        <is>
          <t>Nested U-blocks</t>
        </is>
      </c>
      <c r="G74" s="7" t="inlineStr">
        <is>
          <t>https://arxiv.org/abs/2005.09007</t>
        </is>
      </c>
      <c r="H74" s="7" t="inlineStr">
        <is>
          <t>https://github.com/xuebinqin/U-2-Net</t>
        </is>
      </c>
    </row>
    <row r="75" ht="48" customHeight="1">
      <c r="A75" s="5" t="inlineStr">
        <is>
          <t>Few-Shot OD</t>
        </is>
      </c>
      <c r="B75" s="5" t="inlineStr">
        <is>
          <t>Meta R-CNN</t>
        </is>
      </c>
      <c r="C75" s="5" t="inlineStr">
        <is>
          <t>Yan et al.</t>
        </is>
      </c>
      <c r="D75" s="5" t="inlineStr">
        <is>
          <t>ICCV</t>
        </is>
      </c>
      <c r="E75" s="5" t="inlineStr">
        <is>
          <t>2019-10</t>
        </is>
      </c>
      <c r="F75" s="5" t="inlineStr">
        <is>
          <t>Class-agnostic meta-learning</t>
        </is>
      </c>
      <c r="G75" s="8" t="inlineStr">
        <is>
          <t>https://arxiv.org/abs/1909.13032</t>
        </is>
      </c>
      <c r="H75" s="8" t="inlineStr">
        <is>
          <t>https://github.com/yanxp/MetaR-CNN</t>
        </is>
      </c>
    </row>
    <row r="76" ht="48" customHeight="1">
      <c r="A76" s="5" t="inlineStr">
        <is>
          <t>Few-Shot OD</t>
        </is>
      </c>
      <c r="B76" s="5" t="inlineStr">
        <is>
          <t>FSRW</t>
        </is>
      </c>
      <c r="C76" s="5" t="inlineStr">
        <is>
          <t>Kang et al.</t>
        </is>
      </c>
      <c r="D76" s="5" t="inlineStr">
        <is>
          <t>ICCV</t>
        </is>
      </c>
      <c r="E76" s="5" t="inlineStr">
        <is>
          <t>2019-10</t>
        </is>
      </c>
      <c r="F76" s="5" t="inlineStr">
        <is>
          <t>Reweighting features</t>
        </is>
      </c>
      <c r="G76" s="8" t="inlineStr">
        <is>
          <t>https://arxiv.org/abs/1812.01866</t>
        </is>
      </c>
      <c r="H76" s="8" t="inlineStr">
        <is>
          <t>https://github.com/bingykang/Fewshot_Detection</t>
        </is>
      </c>
    </row>
    <row r="77" ht="48" customHeight="1">
      <c r="A77" s="4" t="inlineStr">
        <is>
          <t>RGB Salient OD</t>
        </is>
      </c>
      <c r="B77" s="4" t="inlineStr">
        <is>
          <t>BASNet</t>
        </is>
      </c>
      <c r="C77" s="4" t="inlineStr">
        <is>
          <t>Qin et al.</t>
        </is>
      </c>
      <c r="D77" s="4" t="inlineStr">
        <is>
          <t>CVPR</t>
        </is>
      </c>
      <c r="E77" s="4" t="inlineStr">
        <is>
          <t>2019-06</t>
        </is>
      </c>
      <c r="F77" s="4" t="inlineStr">
        <is>
          <t>Boundary-aware. RGB SOD uses S/E/F/MAE not COCO mAP.</t>
        </is>
      </c>
      <c r="G77" s="7" t="inlineStr">
        <is>
          <t>https://arxiv.org/abs/1904.07857</t>
        </is>
      </c>
      <c r="H77" s="7" t="inlineStr">
        <is>
          <t>https://github.com/xuebinqin/BASNet</t>
        </is>
      </c>
    </row>
    <row r="78" ht="48" customHeight="1">
      <c r="A78" s="4" t="inlineStr">
        <is>
          <t>RGB Salient OD</t>
        </is>
      </c>
      <c r="B78" s="4" t="inlineStr">
        <is>
          <t>CPD-R</t>
        </is>
      </c>
      <c r="C78" s="4" t="inlineStr">
        <is>
          <t>Wu et al.</t>
        </is>
      </c>
      <c r="D78" s="4" t="inlineStr">
        <is>
          <t>CVPR</t>
        </is>
      </c>
      <c r="E78" s="4" t="inlineStr">
        <is>
          <t>2019-06</t>
        </is>
      </c>
      <c r="F78" s="4" t="inlineStr">
        <is>
          <t>Cascaded partial decoder</t>
        </is>
      </c>
      <c r="G78" s="7" t="inlineStr">
        <is>
          <t>https://arxiv.org/abs/1904.08739</t>
        </is>
      </c>
      <c r="H78" s="7" t="inlineStr">
        <is>
          <t>https://github.com/wuzhe71/CPD</t>
        </is>
      </c>
    </row>
    <row r="79" ht="48" customHeight="1">
      <c r="A79" s="2" t="inlineStr">
        <is>
          <t>General OD</t>
        </is>
      </c>
      <c r="B79" s="2" t="inlineStr">
        <is>
          <t>CenterNet</t>
        </is>
      </c>
      <c r="C79" s="2" t="inlineStr">
        <is>
          <t>Zhou et al.</t>
        </is>
      </c>
      <c r="D79" s="2" t="inlineStr">
        <is>
          <t>arXiv</t>
        </is>
      </c>
      <c r="E79" s="2" t="inlineStr">
        <is>
          <t>2019-04</t>
        </is>
      </c>
      <c r="F79" s="2" t="inlineStr">
        <is>
          <t>Keypoint-based anchor-free; Paper-reported result</t>
        </is>
      </c>
      <c r="G79" s="9" t="inlineStr">
        <is>
          <t>https://arxiv.org/abs/1904.07850</t>
        </is>
      </c>
      <c r="H79" s="9" t="inlineStr">
        <is>
          <t>https://github.com/xingyizhou/CenterNet</t>
        </is>
      </c>
    </row>
    <row r="80" ht="48" customHeight="1">
      <c r="A80" s="2" t="inlineStr">
        <is>
          <t>General OD</t>
        </is>
      </c>
      <c r="B80" s="2" t="inlineStr">
        <is>
          <t>FCOS (R101)</t>
        </is>
      </c>
      <c r="C80" s="2" t="inlineStr">
        <is>
          <t>Tian et al.</t>
        </is>
      </c>
      <c r="D80" s="2" t="inlineStr">
        <is>
          <t>ICCV</t>
        </is>
      </c>
      <c r="E80" s="2" t="inlineStr">
        <is>
          <t>2019-04</t>
        </is>
      </c>
      <c r="F80" s="2" t="inlineStr">
        <is>
          <t>Anchor-free one-stage; Paper-reported result</t>
        </is>
      </c>
      <c r="G80" s="9" t="inlineStr">
        <is>
          <t>https://arxiv.org/abs/1904.01355</t>
        </is>
      </c>
      <c r="H80" s="9" t="inlineStr">
        <is>
          <t>https://github.com/tianzhi0549/FCOS</t>
        </is>
      </c>
    </row>
    <row r="81" ht="48" customHeight="1">
      <c r="A81" s="2" t="inlineStr">
        <is>
          <t>General OD</t>
        </is>
      </c>
      <c r="B81" s="2" t="inlineStr">
        <is>
          <t>Cascade R-CNN (R101-FPN)</t>
        </is>
      </c>
      <c r="C81" s="2" t="inlineStr">
        <is>
          <t>Cai &amp; Vasconcelos</t>
        </is>
      </c>
      <c r="D81" s="2" t="inlineStr">
        <is>
          <t>CVPR</t>
        </is>
      </c>
      <c r="E81" s="2" t="inlineStr">
        <is>
          <t>2018-06</t>
        </is>
      </c>
      <c r="F81" s="2" t="inlineStr">
        <is>
          <t>Multi-stage IoU; Paper-reported result</t>
        </is>
      </c>
      <c r="G81" s="9" t="inlineStr">
        <is>
          <t>https://arxiv.org/abs/1712.00726</t>
        </is>
      </c>
      <c r="H81" s="9" t="inlineStr">
        <is>
          <t>https://github.com/zhaoweicai/cascade-rcnn</t>
        </is>
      </c>
    </row>
    <row r="82" ht="48" customHeight="1">
      <c r="A82" s="2" t="inlineStr">
        <is>
          <t>General OD</t>
        </is>
      </c>
      <c r="B82" s="2" t="inlineStr">
        <is>
          <t>RetinaNet (R101)</t>
        </is>
      </c>
      <c r="C82" s="2" t="inlineStr">
        <is>
          <t>Lin et al.</t>
        </is>
      </c>
      <c r="D82" s="2" t="inlineStr">
        <is>
          <t>ICCV</t>
        </is>
      </c>
      <c r="E82" s="2" t="inlineStr">
        <is>
          <t>2017-10</t>
        </is>
      </c>
      <c r="F82" s="2" t="inlineStr">
        <is>
          <t>One-stage anchor-based; focal loss; Paper-reported result</t>
        </is>
      </c>
      <c r="G82" s="9" t="inlineStr">
        <is>
          <t>https://arxiv.org/abs/1708.02002</t>
        </is>
      </c>
      <c r="H82" s="9" t="inlineStr">
        <is>
          <t>https://github.com/facebookresearch/Detectron</t>
        </is>
      </c>
    </row>
    <row r="83" ht="48" customHeight="1">
      <c r="A83" s="2" t="inlineStr">
        <is>
          <t>General OD</t>
        </is>
      </c>
      <c r="B83" s="2" t="inlineStr">
        <is>
          <t>Mask R-CNN (R50-FPN)</t>
        </is>
      </c>
      <c r="C83" s="2" t="inlineStr">
        <is>
          <t>He et al.</t>
        </is>
      </c>
      <c r="D83" s="2" t="inlineStr">
        <is>
          <t>ICCV</t>
        </is>
      </c>
      <c r="E83" s="2" t="inlineStr">
        <is>
          <t>2017-10</t>
        </is>
      </c>
      <c r="F83" s="2" t="inlineStr">
        <is>
          <t>Two-stage; box+mask head; baseline; Paper-reported result</t>
        </is>
      </c>
      <c r="G83" s="9" t="inlineStr">
        <is>
          <t>https://arxiv.org/abs/1703.06870</t>
        </is>
      </c>
      <c r="H83" s="9" t="inlineStr">
        <is>
          <t>https://github.com/facebookresearch/maskrcnn-benchmark</t>
        </is>
      </c>
    </row>
    <row r="84" ht="48" customHeight="1">
      <c r="A84" s="2" t="inlineStr">
        <is>
          <t>General OD</t>
        </is>
      </c>
      <c r="B84" s="2" t="inlineStr">
        <is>
          <t>Faster R-CNN (R50-FPN)</t>
        </is>
      </c>
      <c r="C84" s="2" t="inlineStr">
        <is>
          <t>Ren et al.</t>
        </is>
      </c>
      <c r="D84" s="2" t="inlineStr">
        <is>
          <t>NeurIPS</t>
        </is>
      </c>
      <c r="E84" s="2" t="inlineStr">
        <is>
          <t>2015-06</t>
        </is>
      </c>
      <c r="F84" s="2" t="inlineStr">
        <is>
          <t>Two-stage anchor-based; baseline still widely cited; Paper-reported result</t>
        </is>
      </c>
      <c r="G84" s="9" t="inlineStr">
        <is>
          <t>https://arxiv.org/abs/1506.01497</t>
        </is>
      </c>
      <c r="H84" s="9" t="inlineStr">
        <is>
          <t>https://github.com/rbgirshick/py-faster-rcnn</t>
        </is>
      </c>
    </row>
    <row r="85">
      <c r="A85" s="2" t="inlineStr">
        <is>
          <t>Few-Shot OD</t>
        </is>
      </c>
      <c r="B85" s="2" t="inlineStr">
        <is>
          <t>Exploring Hierarchical Consistency and Unbiased Objectness for Open-Vocabulary Object Dete</t>
        </is>
      </c>
      <c r="C85" s="2" t="inlineStr">
        <is>
          <t>Sanghoon Lee, Geon Lee, Hyekang Park, Bumsub Ham</t>
        </is>
      </c>
      <c r="D85" s="2" t="inlineStr">
        <is>
          <t>arXiv</t>
        </is>
      </c>
      <c r="E85" s="2" t="inlineStr">
        <is>
          <t>2026-04</t>
        </is>
      </c>
      <c r="F85" s="2" t="inlineStr">
        <is>
          <t>Auto-fetched from arXiv; metrics To verify</t>
        </is>
      </c>
      <c r="G85" s="9" t="inlineStr">
        <is>
          <t>https://arxiv.org/abs/2604.23344</t>
        </is>
      </c>
      <c r="H85" s="9" t="n"/>
    </row>
    <row r="86">
      <c r="A86" s="2" t="inlineStr">
        <is>
          <t>General OD</t>
        </is>
      </c>
      <c r="B86" s="2" t="inlineStr">
        <is>
          <t>VFM$^{4}$SDG: Unveiling the Power of VFMs for Single-Domain Generalized Object Detection</t>
        </is>
      </c>
      <c r="C86" s="2" t="inlineStr">
        <is>
          <t>Yupeng Zhang, Ruize Han, Ningnan Guo, Wei Feng, Song Wang, Liang Wan</t>
        </is>
      </c>
      <c r="D86" s="2" t="inlineStr">
        <is>
          <t>arXiv</t>
        </is>
      </c>
      <c r="E86" s="2" t="inlineStr">
        <is>
          <t>2026-04</t>
        </is>
      </c>
      <c r="F86" s="2" t="inlineStr">
        <is>
          <t>Auto-fetched from arXiv; metrics To verify</t>
        </is>
      </c>
      <c r="G86" s="9" t="inlineStr">
        <is>
          <t>https://arxiv.org/abs/2604.21502</t>
        </is>
      </c>
      <c r="H86" s="9" t="n"/>
    </row>
    <row r="87">
      <c r="A87" s="2" t="inlineStr">
        <is>
          <t>General OD</t>
        </is>
      </c>
      <c r="B87" s="2" t="inlineStr">
        <is>
          <t>UHR-DETR: Efficient End-to-End Small Object Detection for Ultra-High-Resolution Remote Sen</t>
        </is>
      </c>
      <c r="C87" s="2" t="inlineStr">
        <is>
          <t>Jingfang Li, Haoran Zhu, Wen Yang, Jinrui Zhang, Fang Xu, Haijian Zhang, Gui-Song Xia</t>
        </is>
      </c>
      <c r="D87" s="2" t="inlineStr">
        <is>
          <t>arXiv</t>
        </is>
      </c>
      <c r="E87" s="2" t="inlineStr">
        <is>
          <t>2026-04</t>
        </is>
      </c>
      <c r="F87" s="2" t="inlineStr">
        <is>
          <t>Auto-fetched from arXiv; metrics To verify</t>
        </is>
      </c>
      <c r="G87" s="9" t="inlineStr">
        <is>
          <t>https://arxiv.org/abs/2604.21435</t>
        </is>
      </c>
      <c r="H87" s="9" t="n"/>
    </row>
    <row r="88">
      <c r="A88" s="2" t="inlineStr">
        <is>
          <t>General OD</t>
        </is>
      </c>
      <c r="B88" s="2" t="inlineStr">
        <is>
          <t>PointSR</t>
        </is>
      </c>
      <c r="C88" s="2" t="inlineStr">
        <is>
          <t>—</t>
        </is>
      </c>
      <c r="D88" s="2" t="inlineStr">
        <is>
          <t>CVPR 2025</t>
        </is>
      </c>
      <c r="E88" s="2" t="inlineStr">
        <is>
          <t>2025-06</t>
        </is>
      </c>
      <c r="F88" s="2" t="inlineStr">
        <is>
          <t>CVF Open Access 自動收錄；指標待人工驗證。PointSR: Self-Regularized Point Supervision for Drone-View Object Detection</t>
        </is>
      </c>
      <c r="G88" s="9" t="inlineStr">
        <is>
          <t>https://openaccess.thecvf.com/content/CVPR2025/html/Li_PointSR_Self-Regularized_Point_Supervision_for_Drone-View_Object_Detection_CVPR_2025_paper.html</t>
        </is>
      </c>
      <c r="H88" s="9" t="inlineStr">
        <is>
          <t>N/A</t>
        </is>
      </c>
    </row>
    <row r="89">
      <c r="A89" s="2" t="inlineStr">
        <is>
          <t>General OD</t>
        </is>
      </c>
      <c r="B89" s="2" t="inlineStr">
        <is>
          <t xml:space="preserve">Brain-Inspired Spiking Neural Networks for Energy-Efficient </t>
        </is>
      </c>
      <c r="C89" s="2" t="inlineStr">
        <is>
          <t>—</t>
        </is>
      </c>
      <c r="D89" s="2" t="inlineStr">
        <is>
          <t>CVPR 2025</t>
        </is>
      </c>
      <c r="E89" s="2" t="inlineStr">
        <is>
          <t>2025-06</t>
        </is>
      </c>
      <c r="F89" s="2" t="inlineStr">
        <is>
          <t>CVF Open Access 自動收錄；指標待人工驗證。Brain-Inspired Spiking Neural Networks for Energy-Efficient Object Detection</t>
        </is>
      </c>
      <c r="G89" s="9" t="inlineStr">
        <is>
          <t>https://openaccess.thecvf.com/content/CVPR2025/html/Li_Brain-Inspired_Spiking_Neural_Networks_for_Energy-Efficient_Object_Detection_CVPR_2025_paper.html</t>
        </is>
      </c>
      <c r="H89" s="9" t="inlineStr">
        <is>
          <t>N/A</t>
        </is>
      </c>
    </row>
    <row r="90">
      <c r="A90" s="2" t="inlineStr">
        <is>
          <t>General OD</t>
        </is>
      </c>
      <c r="B90" s="2" t="inlineStr">
        <is>
          <t>ViKIENet</t>
        </is>
      </c>
      <c r="C90" s="2" t="inlineStr">
        <is>
          <t>—</t>
        </is>
      </c>
      <c r="D90" s="2" t="inlineStr">
        <is>
          <t>CVPR 2025</t>
        </is>
      </c>
      <c r="E90" s="2" t="inlineStr">
        <is>
          <t>2025-06</t>
        </is>
      </c>
      <c r="F90" s="2" t="inlineStr">
        <is>
          <t>CVF Open Access 自動收錄；指標待人工驗證。ViKIENet: Towards Efficient 3D Object Detection with Virtual Key Instance Enhanced Network</t>
        </is>
      </c>
      <c r="G90" s="9" t="inlineStr">
        <is>
          <t>https://openaccess.thecvf.com/content/CVPR2025/html/Yu_ViKIENet_Towards_Efficient_3D_Object_Detection_with_Virtual_Key_Instance_CVPR_2025_paper.html</t>
        </is>
      </c>
      <c r="H90" s="9" t="inlineStr">
        <is>
          <t>N/A</t>
        </is>
      </c>
    </row>
    <row r="91">
      <c r="A91" s="2" t="inlineStr">
        <is>
          <t>General OD</t>
        </is>
      </c>
      <c r="B91" s="2" t="inlineStr">
        <is>
          <t>Believing is Seeing</t>
        </is>
      </c>
      <c r="C91" s="2" t="inlineStr">
        <is>
          <t>—</t>
        </is>
      </c>
      <c r="D91" s="2" t="inlineStr">
        <is>
          <t>CVPR 2025</t>
        </is>
      </c>
      <c r="E91" s="2" t="inlineStr">
        <is>
          <t>2025-06</t>
        </is>
      </c>
      <c r="F91" s="2" t="inlineStr">
        <is>
          <t>CVF Open Access 自動收錄；指標待人工驗證。Believing is Seeing: Unobserved Object Detection using Generative Models</t>
        </is>
      </c>
      <c r="G91" s="9" t="inlineStr">
        <is>
          <t>https://openaccess.thecvf.com/content/CVPR2025/html/Bhattacharjee_Believing_is_Seeing_Unobserved_Object_Detection_using_Generative_Models_CVPR_2025_paper.html</t>
        </is>
      </c>
      <c r="H91" s="9" t="inlineStr">
        <is>
          <t>N/A</t>
        </is>
      </c>
    </row>
    <row r="92">
      <c r="A92" s="2" t="inlineStr">
        <is>
          <t>General OD</t>
        </is>
      </c>
      <c r="B92" s="2" t="inlineStr">
        <is>
          <t>OW-OVD</t>
        </is>
      </c>
      <c r="C92" s="2" t="inlineStr">
        <is>
          <t>—</t>
        </is>
      </c>
      <c r="D92" s="2" t="inlineStr">
        <is>
          <t>CVPR 2025</t>
        </is>
      </c>
      <c r="E92" s="2" t="inlineStr">
        <is>
          <t>2025-06</t>
        </is>
      </c>
      <c r="F92" s="2" t="inlineStr">
        <is>
          <t>CVF Open Access 自動收錄；指標待人工驗證。OW-OVD: Unified Open World and Open Vocabulary Object Detection</t>
        </is>
      </c>
      <c r="G92" s="9" t="inlineStr">
        <is>
          <t>https://openaccess.thecvf.com/content/CVPR2025/html/Xi_OW-OVD_Unified_Open_World_and_Open_Vocabulary_Object_Detection_CVPR_2025_paper.html</t>
        </is>
      </c>
      <c r="H92" s="9" t="inlineStr">
        <is>
          <t>N/A</t>
        </is>
      </c>
    </row>
    <row r="93">
      <c r="A93" s="2" t="inlineStr">
        <is>
          <t>General OD</t>
        </is>
      </c>
      <c r="B93" s="2" t="inlineStr">
        <is>
          <t>SEEN-DA</t>
        </is>
      </c>
      <c r="C93" s="2" t="inlineStr">
        <is>
          <t>—</t>
        </is>
      </c>
      <c r="D93" s="2" t="inlineStr">
        <is>
          <t>CVPR 2025</t>
        </is>
      </c>
      <c r="E93" s="2" t="inlineStr">
        <is>
          <t>2025-06</t>
        </is>
      </c>
      <c r="F93" s="2" t="inlineStr">
        <is>
          <t>CVF Open Access 自動收錄；指標待人工驗證。SEEN-DA: SEmantic ENtropy guided Domain-aware Attention for Domain Adaptive Object Detection</t>
        </is>
      </c>
      <c r="G93" s="9" t="inlineStr">
        <is>
          <t>https://openaccess.thecvf.com/content/CVPR2025/html/Li_SEEN-DA_SEmantic_ENtropy_guided_Domain-aware_Attention_for_Domain_Adaptive_Object_CVPR_2025_paper.html</t>
        </is>
      </c>
      <c r="H93" s="9" t="inlineStr">
        <is>
          <t>N/A</t>
        </is>
      </c>
    </row>
    <row r="94">
      <c r="A94" s="2" t="inlineStr">
        <is>
          <t>General OD</t>
        </is>
      </c>
      <c r="B94" s="2" t="inlineStr">
        <is>
          <t>Point2RBox-v2</t>
        </is>
      </c>
      <c r="C94" s="2" t="inlineStr">
        <is>
          <t>—</t>
        </is>
      </c>
      <c r="D94" s="2" t="inlineStr">
        <is>
          <t>CVPR 2025</t>
        </is>
      </c>
      <c r="E94" s="2" t="inlineStr">
        <is>
          <t>2025-06</t>
        </is>
      </c>
      <c r="F94" s="2" t="inlineStr">
        <is>
          <t>CVF Open Access 自動收錄；指標待人工驗證。Point2RBox-v2: Rethinking Point-supervised Oriented Object Detection with Spatial Layout Among Instances</t>
        </is>
      </c>
      <c r="G94" s="9" t="inlineStr">
        <is>
          <t>https://openaccess.thecvf.com/content/CVPR2025/html/Yu_Point2RBox-v2_Rethinking_Point-supervised_Oriented_Object_Detection_with_Spatial_Layout_Among_CVPR_2025_paper.html</t>
        </is>
      </c>
      <c r="H94" s="9" t="inlineStr">
        <is>
          <t>N/A</t>
        </is>
      </c>
    </row>
    <row r="95">
      <c r="A95" s="2" t="inlineStr">
        <is>
          <t>General OD</t>
        </is>
      </c>
      <c r="B95" s="2" t="inlineStr">
        <is>
          <t>SparseAlign</t>
        </is>
      </c>
      <c r="C95" s="2" t="inlineStr">
        <is>
          <t>—</t>
        </is>
      </c>
      <c r="D95" s="2" t="inlineStr">
        <is>
          <t>CVPR 2025</t>
        </is>
      </c>
      <c r="E95" s="2" t="inlineStr">
        <is>
          <t>2025-06</t>
        </is>
      </c>
      <c r="F95" s="2" t="inlineStr">
        <is>
          <t>CVF Open Access 自動收錄；指標待人工驗證。SparseAlign: a Fully Sparse Framework for Cooperative Object Detection</t>
        </is>
      </c>
      <c r="G95" s="9" t="inlineStr">
        <is>
          <t>https://openaccess.thecvf.com/content/CVPR2025/html/Yuan_SparseAlign_a_Fully_Sparse_Framework_for_Cooperative_Object_Detection_CVPR_2025_paper.html</t>
        </is>
      </c>
      <c r="H95" s="9" t="inlineStr">
        <is>
          <t>N/A</t>
        </is>
      </c>
    </row>
    <row r="96">
      <c r="A96" s="2" t="inlineStr">
        <is>
          <t>General OD</t>
        </is>
      </c>
      <c r="B96" s="2" t="inlineStr">
        <is>
          <t>Efficient Test-time Adaptive Object Detection via Sensitivit</t>
        </is>
      </c>
      <c r="C96" s="2" t="inlineStr">
        <is>
          <t>—</t>
        </is>
      </c>
      <c r="D96" s="2" t="inlineStr">
        <is>
          <t>CVPR 2025</t>
        </is>
      </c>
      <c r="E96" s="2" t="inlineStr">
        <is>
          <t>2025-06</t>
        </is>
      </c>
      <c r="F96" s="2" t="inlineStr">
        <is>
          <t>CVF Open Access 自動收錄；指標待人工驗證。Efficient Test-time Adaptive Object Detection via Sensitivity-Guided Pruning</t>
        </is>
      </c>
      <c r="G96" s="9" t="inlineStr">
        <is>
          <t>https://openaccess.thecvf.com/content/CVPR2025/html/Wang_Efficient_Test-time_Adaptive_Object_Detection_via_Sensitivity-Guided_Pruning_CVPR_2025_paper.html</t>
        </is>
      </c>
      <c r="H96" s="9" t="inlineStr">
        <is>
          <t>N/A</t>
        </is>
      </c>
    </row>
    <row r="97">
      <c r="A97" s="2" t="inlineStr">
        <is>
          <t>General OD</t>
        </is>
      </c>
      <c r="B97" s="2" t="inlineStr">
        <is>
          <t>GauCho</t>
        </is>
      </c>
      <c r="C97" s="2" t="inlineStr">
        <is>
          <t>—</t>
        </is>
      </c>
      <c r="D97" s="2" t="inlineStr">
        <is>
          <t>CVPR 2025</t>
        </is>
      </c>
      <c r="E97" s="2" t="inlineStr">
        <is>
          <t>2025-06</t>
        </is>
      </c>
      <c r="F97" s="2" t="inlineStr">
        <is>
          <t>CVF Open Access 自動收錄；指標待人工驗證。GauCho: Gaussian Distributions with Cholesky Decomposition for Oriented Object Detection</t>
        </is>
      </c>
      <c r="G97" s="9" t="inlineStr">
        <is>
          <t>https://openaccess.thecvf.com/content/CVPR2025/html/Marques_GauCho_Gaussian_Distributions_with_Cholesky_Decomposition_for_Oriented_Object_Detection_CVPR_2025_paper.html</t>
        </is>
      </c>
      <c r="H97" s="9" t="inlineStr">
        <is>
          <t>N/A</t>
        </is>
      </c>
    </row>
    <row r="98">
      <c r="A98" s="2" t="inlineStr">
        <is>
          <t>General OD</t>
        </is>
      </c>
      <c r="B98" s="2" t="inlineStr">
        <is>
          <t>Shift the Lens</t>
        </is>
      </c>
      <c r="C98" s="2" t="inlineStr">
        <is>
          <t>—</t>
        </is>
      </c>
      <c r="D98" s="2" t="inlineStr">
        <is>
          <t>CVPR 2025</t>
        </is>
      </c>
      <c r="E98" s="2" t="inlineStr">
        <is>
          <t>2025-06</t>
        </is>
      </c>
      <c r="F98" s="2" t="inlineStr">
        <is>
          <t>CVF Open Access 自動收錄；指標待人工驗證。Shift the Lens: Environment-Aware Unsupervised Camouflaged Object Detection</t>
        </is>
      </c>
      <c r="G98" s="9" t="inlineStr">
        <is>
          <t>https://openaccess.thecvf.com/content/CVPR2025/html/Du_Shift_the_Lens_Environment-Aware_Unsupervised_Camouflaged_Object_Detection_CVPR_2025_paper.html</t>
        </is>
      </c>
      <c r="H98" s="9" t="inlineStr">
        <is>
          <t>N/A</t>
        </is>
      </c>
    </row>
    <row r="99">
      <c r="A99" s="2" t="inlineStr">
        <is>
          <t>General OD</t>
        </is>
      </c>
      <c r="B99" s="2" t="inlineStr">
        <is>
          <t>Mr. DETR</t>
        </is>
      </c>
      <c r="C99" s="2" t="inlineStr">
        <is>
          <t>—</t>
        </is>
      </c>
      <c r="D99" s="2" t="inlineStr">
        <is>
          <t>CVPR 2025</t>
        </is>
      </c>
      <c r="E99" s="2" t="inlineStr">
        <is>
          <t>2025-06</t>
        </is>
      </c>
      <c r="F99" s="2" t="inlineStr">
        <is>
          <t>CVF Open Access 自動收錄；指標待人工驗證。Mr. DETR: Instructive Multi-Route Training for Detection Transformers</t>
        </is>
      </c>
      <c r="G99" s="9" t="inlineStr">
        <is>
          <t>https://openaccess.thecvf.com/content/CVPR2025/html/Zhang_Mr._DETR_Instructive_Multi-Route_Training_for_Detection_Transformers_CVPR_2025_paper.html</t>
        </is>
      </c>
      <c r="H99" s="9" t="inlineStr">
        <is>
          <t>N/A</t>
        </is>
      </c>
    </row>
    <row r="100">
      <c r="A100" s="2" t="inlineStr">
        <is>
          <t>General OD</t>
        </is>
      </c>
      <c r="B100" s="2" t="inlineStr">
        <is>
          <t>Large Self-Supervised Models Bridge the Gap in Domain Adapti</t>
        </is>
      </c>
      <c r="C100" s="2" t="inlineStr">
        <is>
          <t>—</t>
        </is>
      </c>
      <c r="D100" s="2" t="inlineStr">
        <is>
          <t>CVPR 2025</t>
        </is>
      </c>
      <c r="E100" s="2" t="inlineStr">
        <is>
          <t>2025-06</t>
        </is>
      </c>
      <c r="F100" s="2" t="inlineStr">
        <is>
          <t>CVF Open Access 自動收錄；指標待人工驗證。Large Self-Supervised Models Bridge the Gap in Domain Adaptive Object Detection</t>
        </is>
      </c>
      <c r="G100" s="9" t="inlineStr">
        <is>
          <t>https://openaccess.thecvf.com/content/CVPR2025/html/Lavoie_Large_Self-Supervised_Models_Bridge_the_Gap_in_Domain_Adaptive_Object_CVPR_2025_paper.html</t>
        </is>
      </c>
      <c r="H100" s="9" t="inlineStr">
        <is>
          <t>N/A</t>
        </is>
      </c>
    </row>
    <row r="101">
      <c r="A101" s="2" t="inlineStr">
        <is>
          <t>General OD</t>
        </is>
      </c>
      <c r="B101" s="2" t="inlineStr">
        <is>
          <t>Uncertainty Meets Diversity</t>
        </is>
      </c>
      <c r="C101" s="2" t="inlineStr">
        <is>
          <t>—</t>
        </is>
      </c>
      <c r="D101" s="2" t="inlineStr">
        <is>
          <t>CVPR 2025</t>
        </is>
      </c>
      <c r="E101" s="2" t="inlineStr">
        <is>
          <t>2025-06</t>
        </is>
      </c>
      <c r="F101" s="2" t="inlineStr">
        <is>
          <t>CVF Open Access 自動收錄；指標待人工驗證。Uncertainty Meets Diversity: A Comprehensive Active Learning Framework for Indoor 3D Object Detection</t>
        </is>
      </c>
      <c r="G101" s="9" t="inlineStr">
        <is>
          <t>https://openaccess.thecvf.com/content/CVPR2025/html/Wang_Uncertainty_Meets_Diversity_A_Comprehensive_Active_Learning_Framework_for_Indoor_CVPR_2025_paper.html</t>
        </is>
      </c>
      <c r="H101" s="9" t="inlineStr">
        <is>
          <t>N/A</t>
        </is>
      </c>
    </row>
    <row r="102">
      <c r="A102" s="2" t="inlineStr">
        <is>
          <t>RGB Salient OD</t>
        </is>
      </c>
      <c r="B102" s="2" t="inlineStr">
        <is>
          <t>Visual Consensus Prompting for Co-Salient Object Detection</t>
        </is>
      </c>
      <c r="C102" s="2" t="inlineStr">
        <is>
          <t>—</t>
        </is>
      </c>
      <c r="D102" s="2" t="inlineStr">
        <is>
          <t>CVPR 2025</t>
        </is>
      </c>
      <c r="E102" s="2" t="inlineStr">
        <is>
          <t>2025-06</t>
        </is>
      </c>
      <c r="F102" s="2" t="inlineStr">
        <is>
          <t>CVF Open Access 自動收錄；指標待人工驗證。Visual Consensus Prompting for Co-Salient Object Detection</t>
        </is>
      </c>
      <c r="G102" s="9" t="inlineStr">
        <is>
          <t>https://openaccess.thecvf.com/content/CVPR2025/html/Wang_Visual_Consensus_Prompting_for_Co-Salient_Object_Detection_CVPR_2025_paper.html</t>
        </is>
      </c>
      <c r="H102" s="9" t="inlineStr">
        <is>
          <t>N/A</t>
        </is>
      </c>
    </row>
    <row r="103">
      <c r="A103" s="2" t="inlineStr">
        <is>
          <t>General OD</t>
        </is>
      </c>
      <c r="B103" s="2" t="inlineStr">
        <is>
          <t>Language-Guided Salient Object Ranking</t>
        </is>
      </c>
      <c r="C103" s="2" t="inlineStr">
        <is>
          <t>—</t>
        </is>
      </c>
      <c r="D103" s="2" t="inlineStr">
        <is>
          <t>CVPR 2025</t>
        </is>
      </c>
      <c r="E103" s="2" t="inlineStr">
        <is>
          <t>2025-06</t>
        </is>
      </c>
      <c r="F103" s="2" t="inlineStr">
        <is>
          <t>CVF Open Access 自動收錄；指標待人工驗證。Language-Guided Salient Object Ranking</t>
        </is>
      </c>
      <c r="G103" s="9" t="inlineStr">
        <is>
          <t>https://openaccess.thecvf.com/content/CVPR2025/html/Liu_Language-Guided_Salient_Object_Ranking_CVPR_2025_paper.html</t>
        </is>
      </c>
      <c r="H103" s="9" t="inlineStr">
        <is>
          <t>N/A</t>
        </is>
      </c>
    </row>
    <row r="104">
      <c r="A104" s="2" t="inlineStr">
        <is>
          <t>General OD</t>
        </is>
      </c>
      <c r="B104" s="2" t="inlineStr">
        <is>
          <t>SP3D</t>
        </is>
      </c>
      <c r="C104" s="2" t="inlineStr">
        <is>
          <t>—</t>
        </is>
      </c>
      <c r="D104" s="2" t="inlineStr">
        <is>
          <t>CVPR 2025</t>
        </is>
      </c>
      <c r="E104" s="2" t="inlineStr">
        <is>
          <t>2025-06</t>
        </is>
      </c>
      <c r="F104" s="2" t="inlineStr">
        <is>
          <t>CVF Open Access 自動收錄；指標待人工驗證。SP3D: Boosting Sparsely-Supervised 3D Object Detection via Accurate Cross-Modal Semantic Prompts</t>
        </is>
      </c>
      <c r="G104" s="9" t="inlineStr">
        <is>
          <t>https://openaccess.thecvf.com/content/CVPR2025/html/Zhao_SP3D_Boosting_Sparsely-Supervised_3D_Object_Detection_via_Accurate_Cross-Modal_Semantic_CVPR_2025_paper.html</t>
        </is>
      </c>
      <c r="H104" s="9" t="inlineStr">
        <is>
          <t>N/A</t>
        </is>
      </c>
    </row>
    <row r="105">
      <c r="A105" s="2" t="inlineStr">
        <is>
          <t>General OD</t>
        </is>
      </c>
      <c r="B105" s="2" t="inlineStr">
        <is>
          <t>Test-Time Backdoor Detection for Object Detection Models</t>
        </is>
      </c>
      <c r="C105" s="2" t="inlineStr">
        <is>
          <t>—</t>
        </is>
      </c>
      <c r="D105" s="2" t="inlineStr">
        <is>
          <t>CVPR 2025</t>
        </is>
      </c>
      <c r="E105" s="2" t="inlineStr">
        <is>
          <t>2025-06</t>
        </is>
      </c>
      <c r="F105" s="2" t="inlineStr">
        <is>
          <t>CVF Open Access 自動收錄；指標待人工驗證。Test-Time Backdoor Detection for Object Detection Models</t>
        </is>
      </c>
      <c r="G105" s="9" t="inlineStr">
        <is>
          <t>https://openaccess.thecvf.com/content/CVPR2025/html/Zhang_Test-Time_Backdoor_Detection_for_Object_Detection_Models_CVPR_2025_paper.html</t>
        </is>
      </c>
      <c r="H105" s="9" t="inlineStr">
        <is>
          <t>N/A</t>
        </is>
      </c>
    </row>
    <row r="106">
      <c r="A106" s="2" t="inlineStr">
        <is>
          <t>General OD</t>
        </is>
      </c>
      <c r="B106" s="2" t="inlineStr">
        <is>
          <t>RaCFormer</t>
        </is>
      </c>
      <c r="C106" s="2" t="inlineStr">
        <is>
          <t>—</t>
        </is>
      </c>
      <c r="D106" s="2" t="inlineStr">
        <is>
          <t>CVPR 2025</t>
        </is>
      </c>
      <c r="E106" s="2" t="inlineStr">
        <is>
          <t>2025-06</t>
        </is>
      </c>
      <c r="F106" s="2" t="inlineStr">
        <is>
          <t>CVF Open Access 自動收錄；指標待人工驗證。RaCFormer: Towards High-Quality 3D Object Detection via Query-based Radar-Camera Fusion</t>
        </is>
      </c>
      <c r="G106" s="9" t="inlineStr">
        <is>
          <t>https://openaccess.thecvf.com/content/CVPR2025/html/Chu_RaCFormer_Towards_High-Quality_3D_Object_Detection_via_Query-based_Radar-Camera_Fusion_CVPR_2025_paper.html</t>
        </is>
      </c>
      <c r="H106" s="9" t="inlineStr">
        <is>
          <t>N/A</t>
        </is>
      </c>
    </row>
    <row r="107">
      <c r="A107" s="2" t="inlineStr">
        <is>
          <t>RGB Salient OD</t>
        </is>
      </c>
      <c r="B107" s="2" t="inlineStr">
        <is>
          <t>Samba</t>
        </is>
      </c>
      <c r="C107" s="2" t="inlineStr">
        <is>
          <t>—</t>
        </is>
      </c>
      <c r="D107" s="2" t="inlineStr">
        <is>
          <t>CVPR 2025</t>
        </is>
      </c>
      <c r="E107" s="2" t="inlineStr">
        <is>
          <t>2025-06</t>
        </is>
      </c>
      <c r="F107" s="2" t="inlineStr">
        <is>
          <t>CVF Open Access 自動收錄；指標待人工驗證。Samba: A Unified Mamba-based Framework for General Salient Object Detection</t>
        </is>
      </c>
      <c r="G107" s="9" t="inlineStr">
        <is>
          <t>https://openaccess.thecvf.com/content/CVPR2025/html/He_Samba_A_Unified_Mamba-based_Framework_for_General_Salient_Object_Detection_CVPR_2025_paper.html</t>
        </is>
      </c>
      <c r="H107" s="9" t="inlineStr">
        <is>
          <t>N/A</t>
        </is>
      </c>
    </row>
    <row r="108">
      <c r="A108" s="2" t="inlineStr">
        <is>
          <t>General OD</t>
        </is>
      </c>
      <c r="B108" s="2" t="inlineStr">
        <is>
          <t>Search and Detect</t>
        </is>
      </c>
      <c r="C108" s="2" t="inlineStr">
        <is>
          <t>—</t>
        </is>
      </c>
      <c r="D108" s="2" t="inlineStr">
        <is>
          <t>CVPR 2025</t>
        </is>
      </c>
      <c r="E108" s="2" t="inlineStr">
        <is>
          <t>2025-06</t>
        </is>
      </c>
      <c r="F108" s="2" t="inlineStr">
        <is>
          <t>CVF Open Access 自動收錄；指標待人工驗證。Search and Detect: Training-Free Long Tail Object Detection via Web-Image Retrieval</t>
        </is>
      </c>
      <c r="G108" s="9" t="inlineStr">
        <is>
          <t>https://openaccess.thecvf.com/content/CVPR2025/html/Sidhu_Search_and_Detect_Training-Free_Long_Tail_Object_Detection_via_Web-Image_CVPR_2025_paper.html</t>
        </is>
      </c>
      <c r="H108" s="9" t="inlineStr">
        <is>
          <t>N/A</t>
        </is>
      </c>
    </row>
    <row r="109">
      <c r="A109" s="2" t="inlineStr">
        <is>
          <t>General OD</t>
        </is>
      </c>
      <c r="B109" s="2" t="inlineStr">
        <is>
          <t>ROD-MLLM</t>
        </is>
      </c>
      <c r="C109" s="2" t="inlineStr">
        <is>
          <t>—</t>
        </is>
      </c>
      <c r="D109" s="2" t="inlineStr">
        <is>
          <t>CVPR 2025</t>
        </is>
      </c>
      <c r="E109" s="2" t="inlineStr">
        <is>
          <t>2025-06</t>
        </is>
      </c>
      <c r="F109" s="2" t="inlineStr">
        <is>
          <t>CVF Open Access 自動收錄；指標待人工驗證。ROD-MLLM: Towards More Reliable Object Detection in Multimodal Large Language Models</t>
        </is>
      </c>
      <c r="G109" s="9" t="inlineStr">
        <is>
          <t>https://openaccess.thecvf.com/content/CVPR2025/html/Yin_ROD-MLLM_Towards_More_Reliable_Object_Detection_in_Multimodal_Large_Language_CVPR_2025_paper.html</t>
        </is>
      </c>
      <c r="H109" s="9" t="inlineStr">
        <is>
          <t>N/A</t>
        </is>
      </c>
    </row>
    <row r="110">
      <c r="A110" s="2" t="inlineStr">
        <is>
          <t>General OD</t>
        </is>
      </c>
      <c r="B110" s="2" t="inlineStr">
        <is>
          <t>SET</t>
        </is>
      </c>
      <c r="C110" s="2" t="inlineStr">
        <is>
          <t>—</t>
        </is>
      </c>
      <c r="D110" s="2" t="inlineStr">
        <is>
          <t>CVPR 2025</t>
        </is>
      </c>
      <c r="E110" s="2" t="inlineStr">
        <is>
          <t>2025-06</t>
        </is>
      </c>
      <c r="F110" s="2" t="inlineStr">
        <is>
          <t>CVF Open Access 自動收錄；指標待人工驗證。SET: Spectral Enhancement for Tiny Object Detection</t>
        </is>
      </c>
      <c r="G110" s="9" t="inlineStr">
        <is>
          <t>https://openaccess.thecvf.com/content/CVPR2025/html/Sun_SET_Spectral_Enhancement_for_Tiny_Object_Detection_CVPR_2025_paper.html</t>
        </is>
      </c>
      <c r="H110" s="9" t="inlineStr">
        <is>
          <t>N/A</t>
        </is>
      </c>
    </row>
    <row r="111">
      <c r="A111" s="2" t="inlineStr">
        <is>
          <t>General OD</t>
        </is>
      </c>
      <c r="B111" s="2" t="inlineStr">
        <is>
          <t>UCOD-DPL</t>
        </is>
      </c>
      <c r="C111" s="2" t="inlineStr">
        <is>
          <t>—</t>
        </is>
      </c>
      <c r="D111" s="2" t="inlineStr">
        <is>
          <t>CVPR 2025</t>
        </is>
      </c>
      <c r="E111" s="2" t="inlineStr">
        <is>
          <t>2025-06</t>
        </is>
      </c>
      <c r="F111" s="2" t="inlineStr">
        <is>
          <t>CVF Open Access 自動收錄；指標待人工驗證。UCOD-DPL: Unsupervised Camouflaged Object Detection via Dynamic Pseudo-label Learning</t>
        </is>
      </c>
      <c r="G111" s="9" t="inlineStr">
        <is>
          <t>https://openaccess.thecvf.com/content/CVPR2025/html/Yan_UCOD-DPL_Unsupervised_Camouflaged_Object_Detection_via_Dynamic_Pseudo-label_Learning_CVPR_2025_paper.html</t>
        </is>
      </c>
      <c r="H111" s="9" t="inlineStr">
        <is>
          <t>N/A</t>
        </is>
      </c>
    </row>
    <row r="112">
      <c r="A112" s="2" t="inlineStr">
        <is>
          <t>General OD</t>
        </is>
      </c>
      <c r="B112" s="2" t="inlineStr">
        <is>
          <t>Style Evolving along Chain-of-Thought for Unknown-Domain Obj</t>
        </is>
      </c>
      <c r="C112" s="2" t="inlineStr">
        <is>
          <t>—</t>
        </is>
      </c>
      <c r="D112" s="2" t="inlineStr">
        <is>
          <t>CVPR 2025</t>
        </is>
      </c>
      <c r="E112" s="2" t="inlineStr">
        <is>
          <t>2025-06</t>
        </is>
      </c>
      <c r="F112" s="2" t="inlineStr">
        <is>
          <t>CVF Open Access 自動收錄；指標待人工驗證。Style Evolving along Chain-of-Thought for Unknown-Domain Object Detection</t>
        </is>
      </c>
      <c r="G112" s="9" t="inlineStr">
        <is>
          <t>https://openaccess.thecvf.com/content/CVPR2025/html/Zhang_Style_Evolving_along_Chain-of-Thought_for_Unknown-Domain_Object_Detection_CVPR_2025_paper.html</t>
        </is>
      </c>
      <c r="H112" s="9" t="inlineStr">
        <is>
          <t>N/A</t>
        </is>
      </c>
    </row>
    <row r="113">
      <c r="A113" s="2" t="inlineStr">
        <is>
          <t>General OD</t>
        </is>
      </c>
      <c r="B113" s="2" t="inlineStr">
        <is>
          <t>FSHNet</t>
        </is>
      </c>
      <c r="C113" s="2" t="inlineStr">
        <is>
          <t>—</t>
        </is>
      </c>
      <c r="D113" s="2" t="inlineStr">
        <is>
          <t>CVPR 2025</t>
        </is>
      </c>
      <c r="E113" s="2" t="inlineStr">
        <is>
          <t>2025-06</t>
        </is>
      </c>
      <c r="F113" s="2" t="inlineStr">
        <is>
          <t>CVF Open Access 自動收錄；指標待人工驗證。FSHNet: Fully Sparse Hybrid Network for 3D Object Detection</t>
        </is>
      </c>
      <c r="G113" s="9" t="inlineStr">
        <is>
          <t>https://openaccess.thecvf.com/content/CVPR2025/html/Liu_FSHNet_Fully_Sparse_Hybrid_Network_for_3D_Object_Detection_CVPR_2025_paper.html</t>
        </is>
      </c>
      <c r="H113" s="9" t="inlineStr">
        <is>
          <t>N/A</t>
        </is>
      </c>
    </row>
    <row r="114">
      <c r="A114" s="2" t="inlineStr">
        <is>
          <t>General OD</t>
        </is>
      </c>
      <c r="B114" s="2" t="inlineStr">
        <is>
          <t>Object Detection using Event Camera</t>
        </is>
      </c>
      <c r="C114" s="2" t="inlineStr">
        <is>
          <t>—</t>
        </is>
      </c>
      <c r="D114" s="2" t="inlineStr">
        <is>
          <t>CVPR 2025</t>
        </is>
      </c>
      <c r="E114" s="2" t="inlineStr">
        <is>
          <t>2025-06</t>
        </is>
      </c>
      <c r="F114" s="2" t="inlineStr">
        <is>
          <t>CVF Open Access 自動收錄；指標待人工驗證。Object Detection using Event Camera: A MoE Heat Conduction based Detector and A New Benchmark Dataset</t>
        </is>
      </c>
      <c r="G114" s="9" t="inlineStr">
        <is>
          <t>https://openaccess.thecvf.com/content/CVPR2025/html/Wang_Object_Detection_using_Event_Camera_A_MoE_Heat_Conduction_based_CVPR_2025_paper.html</t>
        </is>
      </c>
      <c r="H114" s="9" t="inlineStr">
        <is>
          <t>N/A</t>
        </is>
      </c>
    </row>
    <row r="115">
      <c r="A115" s="2" t="inlineStr">
        <is>
          <t>General OD</t>
        </is>
      </c>
      <c r="B115" s="2" t="inlineStr">
        <is>
          <t>ReDiffDet</t>
        </is>
      </c>
      <c r="C115" s="2" t="inlineStr">
        <is>
          <t>—</t>
        </is>
      </c>
      <c r="D115" s="2" t="inlineStr">
        <is>
          <t>CVPR 2025</t>
        </is>
      </c>
      <c r="E115" s="2" t="inlineStr">
        <is>
          <t>2025-06</t>
        </is>
      </c>
      <c r="F115" s="2" t="inlineStr">
        <is>
          <t>CVF Open Access 自動收錄；指標待人工驗證。ReDiffDet: Rotation-equivariant Diffusion Model for Oriented Object Detection</t>
        </is>
      </c>
      <c r="G115" s="9" t="inlineStr">
        <is>
          <t>https://openaccess.thecvf.com/content/CVPR2025/html/Zhao_ReDiffDet_Rotation-equivariant_Diffusion_Model_for_Oriented_Object_Detection_CVPR_2025_paper.html</t>
        </is>
      </c>
      <c r="H115" s="9" t="inlineStr">
        <is>
          <t>N/A</t>
        </is>
      </c>
    </row>
    <row r="116">
      <c r="A116" s="2" t="inlineStr">
        <is>
          <t>General OD</t>
        </is>
      </c>
      <c r="B116" s="2" t="inlineStr">
        <is>
          <t>Towards RAW Object Detection in Diverse Conditions</t>
        </is>
      </c>
      <c r="C116" s="2" t="inlineStr">
        <is>
          <t>—</t>
        </is>
      </c>
      <c r="D116" s="2" t="inlineStr">
        <is>
          <t>CVPR 2025</t>
        </is>
      </c>
      <c r="E116" s="2" t="inlineStr">
        <is>
          <t>2025-06</t>
        </is>
      </c>
      <c r="F116" s="2" t="inlineStr">
        <is>
          <t>CVF Open Access 自動收錄；指標待人工驗證。Towards RAW Object Detection in Diverse Conditions</t>
        </is>
      </c>
      <c r="G116" s="9" t="inlineStr">
        <is>
          <t>https://openaccess.thecvf.com/content/CVPR2025/html/Li_Towards_RAW_Object_Detection_in_Diverse_Conditions_CVPR_2025_paper.html</t>
        </is>
      </c>
      <c r="H116" s="9" t="inlineStr">
        <is>
          <t>N/A</t>
        </is>
      </c>
    </row>
    <row r="117">
      <c r="A117" s="2" t="inlineStr">
        <is>
          <t>General OD</t>
        </is>
      </c>
      <c r="B117" s="2" t="inlineStr">
        <is>
          <t>Pseudo Visible Feature Fine-Grained Fusion for Thermal Objec</t>
        </is>
      </c>
      <c r="C117" s="2" t="inlineStr">
        <is>
          <t>—</t>
        </is>
      </c>
      <c r="D117" s="2" t="inlineStr">
        <is>
          <t>CVPR 2025</t>
        </is>
      </c>
      <c r="E117" s="2" t="inlineStr">
        <is>
          <t>2025-06</t>
        </is>
      </c>
      <c r="F117" s="2" t="inlineStr">
        <is>
          <t>CVF Open Access 自動收錄；指標待人工驗證。Pseudo Visible Feature Fine-Grained Fusion for Thermal Object Detection</t>
        </is>
      </c>
      <c r="G117" s="9" t="inlineStr">
        <is>
          <t>https://openaccess.thecvf.com/content/CVPR2025/html/Li_Pseudo_Visible_Feature_Fine-Grained_Fusion_for_Thermal_Object_Detection_CVPR_2025_paper.html</t>
        </is>
      </c>
      <c r="H117" s="9" t="inlineStr">
        <is>
          <t>N/A</t>
        </is>
      </c>
    </row>
    <row r="118">
      <c r="A118" s="2" t="inlineStr">
        <is>
          <t>General OD</t>
        </is>
      </c>
      <c r="B118" s="2" t="inlineStr">
        <is>
          <t>ReRAW</t>
        </is>
      </c>
      <c r="C118" s="2" t="inlineStr">
        <is>
          <t>—</t>
        </is>
      </c>
      <c r="D118" s="2" t="inlineStr">
        <is>
          <t>CVPR 2025</t>
        </is>
      </c>
      <c r="E118" s="2" t="inlineStr">
        <is>
          <t>2025-06</t>
        </is>
      </c>
      <c r="F118" s="2" t="inlineStr">
        <is>
          <t>CVF Open Access 自動收錄；指標待人工驗證。ReRAW: RGB-to-RAW Image Reconstruction via Stratified Sampling for Efficient Object Detection on the Edge</t>
        </is>
      </c>
      <c r="G118" s="9" t="inlineStr">
        <is>
          <t>https://openaccess.thecvf.com/content/CVPR2025/html/Berdan_ReRAW_RGB-to-RAW_Image_Reconstruction_via_Stratified_Sampling_for_Efficient_Object_CVPR_2025_paper.html</t>
        </is>
      </c>
      <c r="H118" s="9" t="inlineStr">
        <is>
          <t>N/A</t>
        </is>
      </c>
    </row>
    <row r="119">
      <c r="A119" s="2" t="inlineStr">
        <is>
          <t>General OD</t>
        </is>
      </c>
      <c r="B119" s="2" t="inlineStr">
        <is>
          <t>MonoDGP</t>
        </is>
      </c>
      <c r="C119" s="2" t="inlineStr">
        <is>
          <t>—</t>
        </is>
      </c>
      <c r="D119" s="2" t="inlineStr">
        <is>
          <t>CVPR 2025</t>
        </is>
      </c>
      <c r="E119" s="2" t="inlineStr">
        <is>
          <t>2025-06</t>
        </is>
      </c>
      <c r="F119" s="2" t="inlineStr">
        <is>
          <t>CVF Open Access 自動收錄；指標待人工驗證。MonoDGP: Monocular 3D Object Detection with Decoupled-Query and Geometry-Error Priors</t>
        </is>
      </c>
      <c r="G119" s="9" t="inlineStr">
        <is>
          <t>https://openaccess.thecvf.com/content/CVPR2025/html/Pu_MonoDGP_Monocular_3D_Object_Detection_with_Decoupled-Query_and_Geometry-Error_Priors_CVPR_2025_paper.html</t>
        </is>
      </c>
      <c r="H119" s="9" t="inlineStr">
        <is>
          <t>N/A</t>
        </is>
      </c>
    </row>
    <row r="120">
      <c r="A120" s="2" t="inlineStr">
        <is>
          <t>General OD</t>
        </is>
      </c>
      <c r="B120" s="2" t="inlineStr">
        <is>
          <t>DEIM</t>
        </is>
      </c>
      <c r="C120" s="2" t="inlineStr">
        <is>
          <t>—</t>
        </is>
      </c>
      <c r="D120" s="2" t="inlineStr">
        <is>
          <t>CVPR 2025</t>
        </is>
      </c>
      <c r="E120" s="2" t="inlineStr">
        <is>
          <t>2025-06</t>
        </is>
      </c>
      <c r="F120" s="2" t="inlineStr">
        <is>
          <t>CVF Open Access 自動收錄；指標待人工驗證。DEIM: DETR with Improved Matching for Fast Convergence</t>
        </is>
      </c>
      <c r="G120" s="9" t="inlineStr">
        <is>
          <t>https://openaccess.thecvf.com/content/CVPR2025/html/Huang_DEIM_DETR_with_Improved_Matching_for_Fast_Convergence_CVPR_2025_paper.html</t>
        </is>
      </c>
      <c r="H120" s="9" t="inlineStr">
        <is>
          <t>N/A</t>
        </is>
      </c>
    </row>
    <row r="121">
      <c r="A121" s="2" t="inlineStr">
        <is>
          <t>General OD</t>
        </is>
      </c>
      <c r="B121" s="2" t="inlineStr">
        <is>
          <t>CorrBEV</t>
        </is>
      </c>
      <c r="C121" s="2" t="inlineStr">
        <is>
          <t>—</t>
        </is>
      </c>
      <c r="D121" s="2" t="inlineStr">
        <is>
          <t>CVPR 2025</t>
        </is>
      </c>
      <c r="E121" s="2" t="inlineStr">
        <is>
          <t>2025-06</t>
        </is>
      </c>
      <c r="F121" s="2" t="inlineStr">
        <is>
          <t>CVF Open Access 自動收錄；指標待人工驗證。CorrBEV: Multi-View 3D Object Detection by Correlation Learning with Multi-modal Prototypes</t>
        </is>
      </c>
      <c r="G121" s="9" t="inlineStr">
        <is>
          <t>https://openaccess.thecvf.com/content/CVPR2025/html/Xue_CorrBEV_Multi-View_3D_Object_Detection_by_Correlation_Learning_with_Multi-modal_CVPR_2025_paper.html</t>
        </is>
      </c>
      <c r="H121" s="9" t="inlineStr">
        <is>
          <t>N/A</t>
        </is>
      </c>
    </row>
    <row r="122">
      <c r="A122" s="2" t="inlineStr">
        <is>
          <t>General OD</t>
        </is>
      </c>
      <c r="B122" s="2" t="inlineStr">
        <is>
          <t>Feature Information Driven Position Gaussian Distribution Es</t>
        </is>
      </c>
      <c r="C122" s="2" t="inlineStr">
        <is>
          <t>—</t>
        </is>
      </c>
      <c r="D122" s="2" t="inlineStr">
        <is>
          <t>CVPR 2025</t>
        </is>
      </c>
      <c r="E122" s="2" t="inlineStr">
        <is>
          <t>2025-06</t>
        </is>
      </c>
      <c r="F122" s="2" t="inlineStr">
        <is>
          <t>CVF Open Access 自動收錄；指標待人工驗證。Feature Information Driven Position Gaussian Distribution Estimation for Tiny Object Detection</t>
        </is>
      </c>
      <c r="G122" s="9" t="inlineStr">
        <is>
          <t>https://openaccess.thecvf.com/content/CVPR2025/html/Bian_Feature_Information_Driven_Position_Gaussian_Distribution_Estimation_for_Tiny_Object_CVPR_2025_paper.html</t>
        </is>
      </c>
      <c r="H122" s="9" t="inlineStr">
        <is>
          <t>N/A</t>
        </is>
      </c>
    </row>
    <row r="123">
      <c r="A123" s="2" t="inlineStr">
        <is>
          <t>General OD</t>
        </is>
      </c>
      <c r="B123" s="2" t="inlineStr">
        <is>
          <t>Revisiting Generative Replay for Class Incremental Object De</t>
        </is>
      </c>
      <c r="C123" s="2" t="inlineStr">
        <is>
          <t>—</t>
        </is>
      </c>
      <c r="D123" s="2" t="inlineStr">
        <is>
          <t>CVPR 2025</t>
        </is>
      </c>
      <c r="E123" s="2" t="inlineStr">
        <is>
          <t>2025-06</t>
        </is>
      </c>
      <c r="F123" s="2" t="inlineStr">
        <is>
          <t>CVF Open Access 自動收錄；指標待人工驗證。Revisiting Generative Replay for Class Incremental Object Detection</t>
        </is>
      </c>
      <c r="G123" s="9" t="inlineStr">
        <is>
          <t>https://openaccess.thecvf.com/content/CVPR2025/html/Zhang_Revisiting_Generative_Replay_for_Class_Incremental_Object_Detection_CVPR_2025_paper.html</t>
        </is>
      </c>
      <c r="H123" s="9" t="inlineStr">
        <is>
          <t>N/A</t>
        </is>
      </c>
    </row>
    <row r="124">
      <c r="A124" s="2" t="inlineStr">
        <is>
          <t>General OD</t>
        </is>
      </c>
      <c r="B124" s="2" t="inlineStr">
        <is>
          <t>MI-DETR</t>
        </is>
      </c>
      <c r="C124" s="2" t="inlineStr">
        <is>
          <t>—</t>
        </is>
      </c>
      <c r="D124" s="2" t="inlineStr">
        <is>
          <t>CVPR 2025</t>
        </is>
      </c>
      <c r="E124" s="2" t="inlineStr">
        <is>
          <t>2025-06</t>
        </is>
      </c>
      <c r="F124" s="2" t="inlineStr">
        <is>
          <t>CVF Open Access 自動收錄；指標待人工驗證。MI-DETR: An Object Detection Model with Multi-time Inquiries Mechanism</t>
        </is>
      </c>
      <c r="G124" s="9" t="inlineStr">
        <is>
          <t>https://openaccess.thecvf.com/content/CVPR2025/html/Nan_MI-DETR_An_Object_Detection_Model_with_Multi-time_Inquiries_Mechanism_CVPR_2025_paper.html</t>
        </is>
      </c>
      <c r="H124" s="9" t="inlineStr">
        <is>
          <t>N/A</t>
        </is>
      </c>
    </row>
    <row r="125">
      <c r="A125" s="2" t="inlineStr">
        <is>
          <t>General OD</t>
        </is>
      </c>
      <c r="B125" s="2" t="inlineStr">
        <is>
          <t>Fractal Calibration for Long-tailed Object Detection</t>
        </is>
      </c>
      <c r="C125" s="2" t="inlineStr">
        <is>
          <t>—</t>
        </is>
      </c>
      <c r="D125" s="2" t="inlineStr">
        <is>
          <t>CVPR 2025</t>
        </is>
      </c>
      <c r="E125" s="2" t="inlineStr">
        <is>
          <t>2025-06</t>
        </is>
      </c>
      <c r="F125" s="2" t="inlineStr">
        <is>
          <t>CVF Open Access 自動收錄；指標待人工驗證。Fractal Calibration for Long-tailed Object Detection</t>
        </is>
      </c>
      <c r="G125" s="9" t="inlineStr">
        <is>
          <t>https://openaccess.thecvf.com/content/CVPR2025/html/Alexandridis_Fractal_Calibration_for_Long-tailed_Object_Detection_CVPR_2025_paper.html</t>
        </is>
      </c>
      <c r="H125" s="9" t="inlineStr">
        <is>
          <t>N/A</t>
        </is>
      </c>
    </row>
    <row r="126">
      <c r="A126" s="2" t="inlineStr">
        <is>
          <t>General OD</t>
        </is>
      </c>
      <c r="B126" s="2" t="inlineStr">
        <is>
          <t>Open-World Objectness Modeling Unifies Novel Object Detectio</t>
        </is>
      </c>
      <c r="C126" s="2" t="inlineStr">
        <is>
          <t>—</t>
        </is>
      </c>
      <c r="D126" s="2" t="inlineStr">
        <is>
          <t>CVPR 2025</t>
        </is>
      </c>
      <c r="E126" s="2" t="inlineStr">
        <is>
          <t>2025-06</t>
        </is>
      </c>
      <c r="F126" s="2" t="inlineStr">
        <is>
          <t>CVF Open Access 自動收錄；指標待人工驗證。Open-World Objectness Modeling Unifies Novel Object Detection</t>
        </is>
      </c>
      <c r="G126" s="9" t="inlineStr">
        <is>
          <t>https://openaccess.thecvf.com/content/CVPR2025/html/Zhang_Open-World_Objectness_Modeling_Unifies_Novel_Object_Detection_CVPR_2025_paper.html</t>
        </is>
      </c>
      <c r="H126" s="9" t="inlineStr">
        <is>
          <t>N/A</t>
        </is>
      </c>
    </row>
    <row r="127">
      <c r="A127" s="2" t="inlineStr">
        <is>
          <t>General OD</t>
        </is>
      </c>
      <c r="B127" s="2" t="inlineStr">
        <is>
          <t>MonoTAKD</t>
        </is>
      </c>
      <c r="C127" s="2" t="inlineStr">
        <is>
          <t>—</t>
        </is>
      </c>
      <c r="D127" s="2" t="inlineStr">
        <is>
          <t>CVPR 2025</t>
        </is>
      </c>
      <c r="E127" s="2" t="inlineStr">
        <is>
          <t>2025-06</t>
        </is>
      </c>
      <c r="F127" s="2" t="inlineStr">
        <is>
          <t>CVF Open Access 自動收錄；指標待人工驗證。MonoTAKD: Teaching Assistant Knowledge Distillation for Monocular 3D Object Detection</t>
        </is>
      </c>
      <c r="G127" s="9" t="inlineStr">
        <is>
          <t>https://openaccess.thecvf.com/content/CVPR2025/html/Liu_MonoTAKD_Teaching_Assistant_Knowledge_Distillation_for_Monocular_3D_Object_Detection_CVPR_2025_paper.html</t>
        </is>
      </c>
      <c r="H127" s="9" t="inlineStr">
        <is>
          <t>N/A</t>
        </is>
      </c>
    </row>
    <row r="128">
      <c r="A128" s="2" t="inlineStr">
        <is>
          <t>General OD</t>
        </is>
      </c>
      <c r="B128" s="2" t="inlineStr">
        <is>
          <t>RICCARDO</t>
        </is>
      </c>
      <c r="C128" s="2" t="inlineStr">
        <is>
          <t>—</t>
        </is>
      </c>
      <c r="D128" s="2" t="inlineStr">
        <is>
          <t>CVPR 2025</t>
        </is>
      </c>
      <c r="E128" s="2" t="inlineStr">
        <is>
          <t>2025-06</t>
        </is>
      </c>
      <c r="F128" s="2" t="inlineStr">
        <is>
          <t>CVF Open Access 自動收錄；指標待人工驗證。RICCARDO: Radar Hit Prediction and Convolution for Camera-Radar 3D Object Detection</t>
        </is>
      </c>
      <c r="G128" s="9" t="inlineStr">
        <is>
          <t>https://openaccess.thecvf.com/content/CVPR2025/html/Long_RICCARDO_Radar_Hit_Prediction_and_Convolution_for_Camera-Radar_3D_Object_CVPR_2025_paper.html</t>
        </is>
      </c>
      <c r="H128" s="9" t="inlineStr">
        <is>
          <t>N/A</t>
        </is>
      </c>
    </row>
    <row r="129">
      <c r="A129" s="2" t="inlineStr">
        <is>
          <t>General OD</t>
        </is>
      </c>
      <c r="B129" s="2" t="inlineStr">
        <is>
          <t>Cubify Anything</t>
        </is>
      </c>
      <c r="C129" s="2" t="inlineStr">
        <is>
          <t>—</t>
        </is>
      </c>
      <c r="D129" s="2" t="inlineStr">
        <is>
          <t>CVPR 2025</t>
        </is>
      </c>
      <c r="E129" s="2" t="inlineStr">
        <is>
          <t>2025-06</t>
        </is>
      </c>
      <c r="F129" s="2" t="inlineStr">
        <is>
          <t>CVF Open Access 自動收錄；指標待人工驗證。Cubify Anything: Scaling Indoor 3D Object Detection</t>
        </is>
      </c>
      <c r="G129" s="9" t="inlineStr">
        <is>
          <t>https://openaccess.thecvf.com/content/CVPR2025/html/Lazarow_Cubify_Anything_Scaling_Indoor_3D_Object_Detection_CVPR_2025_paper.html</t>
        </is>
      </c>
      <c r="H129" s="9" t="inlineStr">
        <is>
          <t>N/A</t>
        </is>
      </c>
    </row>
    <row r="130">
      <c r="A130" s="2" t="inlineStr">
        <is>
          <t>General OD</t>
        </is>
      </c>
      <c r="B130" s="2" t="inlineStr">
        <is>
          <t>Learning Class Prototypes for Unified Sparse-Supervised 3D O</t>
        </is>
      </c>
      <c r="C130" s="2" t="inlineStr">
        <is>
          <t>—</t>
        </is>
      </c>
      <c r="D130" s="2" t="inlineStr">
        <is>
          <t>CVPR 2025</t>
        </is>
      </c>
      <c r="E130" s="2" t="inlineStr">
        <is>
          <t>2025-06</t>
        </is>
      </c>
      <c r="F130" s="2" t="inlineStr">
        <is>
          <t>CVF Open Access 自動收錄；指標待人工驗證。Learning Class Prototypes for Unified Sparse-Supervised 3D Object Detection</t>
        </is>
      </c>
      <c r="G130" s="9" t="inlineStr">
        <is>
          <t>https://openaccess.thecvf.com/content/CVPR2025/html/Zhu_Learning_Class_Prototypes_for_Unified_Sparse-Supervised_3D_Object_Detection_CVPR_2025_paper.html</t>
        </is>
      </c>
      <c r="H130" s="9" t="inlineStr">
        <is>
          <t>N/A</t>
        </is>
      </c>
    </row>
    <row r="131">
      <c r="A131" s="2" t="inlineStr">
        <is>
          <t>General OD</t>
        </is>
      </c>
      <c r="B131" s="2" t="inlineStr">
        <is>
          <t>Percept, Memory, and Imagine</t>
        </is>
      </c>
      <c r="C131" s="2" t="inlineStr">
        <is>
          <t>—</t>
        </is>
      </c>
      <c r="D131" s="2" t="inlineStr">
        <is>
          <t>CVPR 2025</t>
        </is>
      </c>
      <c r="E131" s="2" t="inlineStr">
        <is>
          <t>2025-06</t>
        </is>
      </c>
      <c r="F131" s="2" t="inlineStr">
        <is>
          <t>CVF Open Access 自動收錄；指標待人工驗證。Percept, Memory, and Imagine: World Feature Simulating for Open-Domain Unknown Object Detection</t>
        </is>
      </c>
      <c r="G131" s="9" t="inlineStr">
        <is>
          <t>https://openaccess.thecvf.com/content/CVPR2025/html/Wu_Percept_Memory_and_Imagine_World_Feature_Simulating_for_Open-Domain_Unknown_CVPR_2025_paper.html</t>
        </is>
      </c>
      <c r="H131" s="9" t="inlineStr">
        <is>
          <t>N/A</t>
        </is>
      </c>
    </row>
    <row r="132">
      <c r="A132" s="2" t="inlineStr">
        <is>
          <t>General OD</t>
        </is>
      </c>
      <c r="B132" s="2" t="inlineStr">
        <is>
          <t>SimLTD</t>
        </is>
      </c>
      <c r="C132" s="2" t="inlineStr">
        <is>
          <t>—</t>
        </is>
      </c>
      <c r="D132" s="2" t="inlineStr">
        <is>
          <t>CVPR 2025</t>
        </is>
      </c>
      <c r="E132" s="2" t="inlineStr">
        <is>
          <t>2025-06</t>
        </is>
      </c>
      <c r="F132" s="2" t="inlineStr">
        <is>
          <t>CVF Open Access 自動收錄；指標待人工驗證。SimLTD: Simple Supervised and Semi-Supervised Long-Tailed Object Detection</t>
        </is>
      </c>
      <c r="G132" s="9" t="inlineStr">
        <is>
          <t>https://openaccess.thecvf.com/content/CVPR2025/html/Tran_SimLTD_Simple_Supervised_and_Semi-Supervised_Long-Tailed_Object_Detection_CVPR_2025_paper.html</t>
        </is>
      </c>
      <c r="H132" s="9" t="inlineStr">
        <is>
          <t>N/A</t>
        </is>
      </c>
    </row>
    <row r="133">
      <c r="A133" s="2" t="inlineStr">
        <is>
          <t>General OD</t>
        </is>
      </c>
      <c r="B133" s="2" t="inlineStr">
        <is>
          <t>Learning Endogenous Attention for Incremental Object Detecti</t>
        </is>
      </c>
      <c r="C133" s="2" t="inlineStr">
        <is>
          <t>—</t>
        </is>
      </c>
      <c r="D133" s="2" t="inlineStr">
        <is>
          <t>CVPR 2025</t>
        </is>
      </c>
      <c r="E133" s="2" t="inlineStr">
        <is>
          <t>2025-06</t>
        </is>
      </c>
      <c r="F133" s="2" t="inlineStr">
        <is>
          <t>CVF Open Access 自動收錄；指標待人工驗證。Learning Endogenous Attention for Incremental Object Detection</t>
        </is>
      </c>
      <c r="G133" s="9" t="inlineStr">
        <is>
          <t>https://openaccess.thecvf.com/content/CVPR2025/html/Song_Learning_Endogenous_Attention_for_Incremental_Object_Detection_CVPR_2025_paper.html</t>
        </is>
      </c>
      <c r="H133" s="9" t="inlineStr">
        <is>
          <t>N/A</t>
        </is>
      </c>
    </row>
    <row r="134">
      <c r="A134" s="2" t="inlineStr">
        <is>
          <t>General OD</t>
        </is>
      </c>
      <c r="B134" s="2" t="inlineStr">
        <is>
          <t>DiL</t>
        </is>
      </c>
      <c r="C134" s="2" t="inlineStr">
        <is>
          <t>—</t>
        </is>
      </c>
      <c r="D134" s="2" t="inlineStr">
        <is>
          <t>WACV 2025</t>
        </is>
      </c>
      <c r="E134" s="2" t="inlineStr">
        <is>
          <t>2025-01</t>
        </is>
      </c>
      <c r="F134" s="2" t="inlineStr">
        <is>
          <t>CVF Open Access 自動收錄；指標待人工驗證。DiL: An Explainable and Practical Metric for Abnormal Uncertainty in Object Detection</t>
        </is>
      </c>
      <c r="G134" s="9" t="inlineStr">
        <is>
          <t>https://openaccess.thecvf.com/content/WACV2025/html/Giloni_DiL_An_Explainable_and_Practical_Metric_for_Abnormal_Uncertainty_in_WACV_2025_paper.html</t>
        </is>
      </c>
      <c r="H134" s="9" t="inlineStr">
        <is>
          <t>N/A</t>
        </is>
      </c>
    </row>
    <row r="135">
      <c r="A135" s="2" t="inlineStr">
        <is>
          <t>General OD</t>
        </is>
      </c>
      <c r="B135" s="2" t="inlineStr">
        <is>
          <t>HDPNet</t>
        </is>
      </c>
      <c r="C135" s="2" t="inlineStr">
        <is>
          <t>—</t>
        </is>
      </c>
      <c r="D135" s="2" t="inlineStr">
        <is>
          <t>WACV 2025</t>
        </is>
      </c>
      <c r="E135" s="2" t="inlineStr">
        <is>
          <t>2025-01</t>
        </is>
      </c>
      <c r="F135" s="2" t="inlineStr">
        <is>
          <t>CVF Open Access 自動收錄；指標待人工驗證。HDPNet: Hourglass Vision Transformer with Dual-Path Feature Pyramid for Camouflaged Object Detection</t>
        </is>
      </c>
      <c r="G135" s="9" t="inlineStr">
        <is>
          <t>https://openaccess.thecvf.com/content/WACV2025/html/He_HDPNet_Hourglass_Vision_Transformer_with_Dual-Path_Feature_Pyramid_for_Camouflaged_WACV_2025_paper.html</t>
        </is>
      </c>
      <c r="H135" s="9" t="inlineStr">
        <is>
          <t>N/A</t>
        </is>
      </c>
    </row>
    <row r="136">
      <c r="A136" s="2" t="inlineStr">
        <is>
          <t>General OD</t>
        </is>
      </c>
      <c r="B136" s="2" t="inlineStr">
        <is>
          <t>Multispectral Object Detection Enhanced by Cross-Modal Infor</t>
        </is>
      </c>
      <c r="C136" s="2" t="inlineStr">
        <is>
          <t>—</t>
        </is>
      </c>
      <c r="D136" s="2" t="inlineStr">
        <is>
          <t>WACV 2025</t>
        </is>
      </c>
      <c r="E136" s="2" t="inlineStr">
        <is>
          <t>2025-01</t>
        </is>
      </c>
      <c r="F136" s="2" t="inlineStr">
        <is>
          <t>CVF Open Access 自動收錄；指標待人工驗證。Multispectral Object Detection Enhanced by Cross-Modal Information Complementary and Cosine Similarity Channel Resampling Modules</t>
        </is>
      </c>
      <c r="G136" s="9" t="inlineStr">
        <is>
          <t>https://openaccess.thecvf.com/content/WACV2025/html/Jang_Multispectral_Object_Detection_Enhanced_by_Cross-Modal_Information_Complementary_and_Cosine_WACV_2025_paper.html</t>
        </is>
      </c>
      <c r="H136" s="9" t="inlineStr">
        <is>
          <t>N/A</t>
        </is>
      </c>
    </row>
    <row r="137">
      <c r="A137" s="2" t="inlineStr">
        <is>
          <t>General OD</t>
        </is>
      </c>
      <c r="B137" s="2" t="inlineStr">
        <is>
          <t>Bit-Flip Induced Latency Attacks in Object Detection</t>
        </is>
      </c>
      <c r="C137" s="2" t="inlineStr">
        <is>
          <t>—</t>
        </is>
      </c>
      <c r="D137" s="2" t="inlineStr">
        <is>
          <t>WACV 2025</t>
        </is>
      </c>
      <c r="E137" s="2" t="inlineStr">
        <is>
          <t>2025-01</t>
        </is>
      </c>
      <c r="F137" s="2" t="inlineStr">
        <is>
          <t>CVF Open Access 自動收錄；指標待人工驗證。Bit-Flip Induced Latency Attacks in Object Detection</t>
        </is>
      </c>
      <c r="G137" s="9" t="inlineStr">
        <is>
          <t>https://openaccess.thecvf.com/content/WACV2025/html/Sistla_Bit-Flip_Induced_Latency_Attacks_in_Object_Detection_WACV_2025_paper.html</t>
        </is>
      </c>
      <c r="H137" s="9" t="inlineStr">
        <is>
          <t>N/A</t>
        </is>
      </c>
    </row>
    <row r="138">
      <c r="A138" s="2" t="inlineStr">
        <is>
          <t>General OD</t>
        </is>
      </c>
      <c r="B138" s="2" t="inlineStr">
        <is>
          <t>Enhancing Novel Object Detection via Cooperative Foundationa</t>
        </is>
      </c>
      <c r="C138" s="2" t="inlineStr">
        <is>
          <t>—</t>
        </is>
      </c>
      <c r="D138" s="2" t="inlineStr">
        <is>
          <t>WACV 2025</t>
        </is>
      </c>
      <c r="E138" s="2" t="inlineStr">
        <is>
          <t>2025-01</t>
        </is>
      </c>
      <c r="F138" s="2" t="inlineStr">
        <is>
          <t>CVF Open Access 自動收錄；指標待人工驗證。Enhancing Novel Object Detection via Cooperative Foundational Models</t>
        </is>
      </c>
      <c r="G138" s="9" t="inlineStr">
        <is>
          <t>https://openaccess.thecvf.com/content/WACV2025/html/Bharadwaj_Enhancing_Novel_Object_Detection_via_Cooperative_Foundational_Models_WACV_2025_paper.html</t>
        </is>
      </c>
      <c r="H138" s="9" t="inlineStr">
        <is>
          <t>N/A</t>
        </is>
      </c>
    </row>
    <row r="139">
      <c r="A139" s="2" t="inlineStr">
        <is>
          <t>General OD</t>
        </is>
      </c>
      <c r="B139" s="2" t="inlineStr">
        <is>
          <t>On the Importance of Dual-Space Augmentation for Domain Gene</t>
        </is>
      </c>
      <c r="C139" s="2" t="inlineStr">
        <is>
          <t>—</t>
        </is>
      </c>
      <c r="D139" s="2" t="inlineStr">
        <is>
          <t>WACV 2025</t>
        </is>
      </c>
      <c r="E139" s="2" t="inlineStr">
        <is>
          <t>2025-01</t>
        </is>
      </c>
      <c r="F139" s="2" t="inlineStr">
        <is>
          <t>CVF Open Access 自動收錄；指標待人工驗證。On the Importance of Dual-Space Augmentation for Domain Generalized Object Detection</t>
        </is>
      </c>
      <c r="G139" s="9" t="inlineStr">
        <is>
          <t>https://openaccess.thecvf.com/content/WACV2025/html/Park_On_the_Importance_of_Dual-Space_Augmentation_for_Domain_Generalized_Object_WACV_2025_paper.html</t>
        </is>
      </c>
      <c r="H139" s="9" t="inlineStr">
        <is>
          <t>N/A</t>
        </is>
      </c>
    </row>
    <row r="140">
      <c r="A140" s="2" t="inlineStr">
        <is>
          <t>General OD</t>
        </is>
      </c>
      <c r="B140" s="2" t="inlineStr">
        <is>
          <t>DSTR</t>
        </is>
      </c>
      <c r="C140" s="2" t="inlineStr">
        <is>
          <t>—</t>
        </is>
      </c>
      <c r="D140" s="2" t="inlineStr">
        <is>
          <t>WACV 2025</t>
        </is>
      </c>
      <c r="E140" s="2" t="inlineStr">
        <is>
          <t>2025-01</t>
        </is>
      </c>
      <c r="F140" s="2" t="inlineStr">
        <is>
          <t>CVF Open Access 自動收錄；指標待人工驗證。DSTR: Dual Scenes Transformer for Cross-Modal Fusion in 3D Object Detection</t>
        </is>
      </c>
      <c r="G140" s="9" t="inlineStr">
        <is>
          <t>https://openaccess.thecvf.com/content/WACV2025/html/Cai_DSTR_Dual_Scenes_Transformer_for_Cross-Modal_Fusion_in_3D_Object_WACV_2025_paper.html</t>
        </is>
      </c>
      <c r="H140" s="9" t="inlineStr">
        <is>
          <t>N/A</t>
        </is>
      </c>
    </row>
    <row r="141">
      <c r="A141" s="2" t="inlineStr">
        <is>
          <t>Few-Shot OD</t>
        </is>
      </c>
      <c r="B141" s="2" t="inlineStr">
        <is>
          <t>Elemental Composite Prototypical Network</t>
        </is>
      </c>
      <c r="C141" s="2" t="inlineStr">
        <is>
          <t>—</t>
        </is>
      </c>
      <c r="D141" s="2" t="inlineStr">
        <is>
          <t>WACV 2025</t>
        </is>
      </c>
      <c r="E141" s="2" t="inlineStr">
        <is>
          <t>2025-01</t>
        </is>
      </c>
      <c r="F141" s="2" t="inlineStr">
        <is>
          <t>CVF Open Access 自動收錄；指標待人工驗證。Elemental Composite Prototypical Network: Few-Shot Object Detection on Outdoor 3D Point Cloud Scenes</t>
        </is>
      </c>
      <c r="G141" s="9" t="inlineStr">
        <is>
          <t>https://openaccess.thecvf.com/content/WACV2025/html/De_Elemental_Composite_Prototypical_Network_Few-Shot_Object_Detection_on_Outdoor_3D_WACV_2025_paper.html</t>
        </is>
      </c>
      <c r="H141" s="9" t="inlineStr">
        <is>
          <t>N/A</t>
        </is>
      </c>
    </row>
    <row r="142">
      <c r="A142" s="2" t="inlineStr">
        <is>
          <t>General OD</t>
        </is>
      </c>
      <c r="B142" s="2" t="inlineStr">
        <is>
          <t>ALPI</t>
        </is>
      </c>
      <c r="C142" s="2" t="inlineStr">
        <is>
          <t>—</t>
        </is>
      </c>
      <c r="D142" s="2" t="inlineStr">
        <is>
          <t>WACV 2025</t>
        </is>
      </c>
      <c r="E142" s="2" t="inlineStr">
        <is>
          <t>2025-01</t>
        </is>
      </c>
      <c r="F142" s="2" t="inlineStr">
        <is>
          <t>CVF Open Access 自動收錄；指標待人工驗證。ALPI: Auto-Labeller with Proxy Injection for 3D Object Detection using 2D Labels Only</t>
        </is>
      </c>
      <c r="G142" s="9" t="inlineStr">
        <is>
          <t>https://openaccess.thecvf.com/content/WACV2025/html/Lahlali_ALPI_Auto-Labeller_with_Proxy_Injection_for_3D_Object_Detection_using_WACV_2025_paper.html</t>
        </is>
      </c>
      <c r="H142" s="9" t="inlineStr">
        <is>
          <t>N/A</t>
        </is>
      </c>
    </row>
    <row r="143">
      <c r="A143" s="2" t="inlineStr">
        <is>
          <t>General OD</t>
        </is>
      </c>
      <c r="B143" s="2" t="inlineStr">
        <is>
          <t>AIC3DOD</t>
        </is>
      </c>
      <c r="C143" s="2" t="inlineStr">
        <is>
          <t>—</t>
        </is>
      </c>
      <c r="D143" s="2" t="inlineStr">
        <is>
          <t>WACV 2025</t>
        </is>
      </c>
      <c r="E143" s="2" t="inlineStr">
        <is>
          <t>2025-01</t>
        </is>
      </c>
      <c r="F143" s="2" t="inlineStr">
        <is>
          <t>CVF Open Access 自動收錄；指標待人工驗證。AIC3DOD: Advancing Indoor Class-Incremental 3D Object Detection with Point Transformer Architecture and Room Layout Constraints</t>
        </is>
      </c>
      <c r="G143" s="9" t="inlineStr">
        <is>
          <t>https://openaccess.thecvf.com/content/WACV2025/html/Cheng_AIC3DOD_Advancing_Indoor_Class-Incremental_3D_Object_Detection_with_Point_Transformer_WACV_2025_paper.html</t>
        </is>
      </c>
      <c r="H143" s="9" t="inlineStr">
        <is>
          <t>N/A</t>
        </is>
      </c>
    </row>
    <row r="144">
      <c r="A144" s="2" t="inlineStr">
        <is>
          <t>General OD</t>
        </is>
      </c>
      <c r="B144" s="2" t="inlineStr">
        <is>
          <t>Reflective Teacher</t>
        </is>
      </c>
      <c r="C144" s="2" t="inlineStr">
        <is>
          <t>—</t>
        </is>
      </c>
      <c r="D144" s="2" t="inlineStr">
        <is>
          <t>WACV 2025</t>
        </is>
      </c>
      <c r="E144" s="2" t="inlineStr">
        <is>
          <t>2025-01</t>
        </is>
      </c>
      <c r="F144" s="2" t="inlineStr">
        <is>
          <t>CVF Open Access 自動收錄；指標待人工驗證。Reflective Teacher: Semi-Supervised Multimodal 3D Object Detection in Bird&amp;#x27;s-Eye-View via Uncertainty Measure</t>
        </is>
      </c>
      <c r="G144" s="9" t="inlineStr">
        <is>
          <t>https://openaccess.thecvf.com/content/WACV2025/html/Hazra_Reflective_Teacher_Semi-Supervised_Multimodal_3D_Object_Detection_in_Birds-Eye-View_via_WACV_2025_paper.html</t>
        </is>
      </c>
      <c r="H144" s="9" t="inlineStr">
        <is>
          <t>N/A</t>
        </is>
      </c>
    </row>
    <row r="145">
      <c r="A145" s="2" t="inlineStr">
        <is>
          <t>General OD</t>
        </is>
      </c>
      <c r="B145" s="2" t="inlineStr">
        <is>
          <t>MaskVD</t>
        </is>
      </c>
      <c r="C145" s="2" t="inlineStr">
        <is>
          <t>—</t>
        </is>
      </c>
      <c r="D145" s="2" t="inlineStr">
        <is>
          <t>WACV 2025</t>
        </is>
      </c>
      <c r="E145" s="2" t="inlineStr">
        <is>
          <t>2025-01</t>
        </is>
      </c>
      <c r="F145" s="2" t="inlineStr">
        <is>
          <t>CVF Open Access 自動收錄；指標待人工驗證。MaskVD: Region Masking for Efficient Video Object Detection</t>
        </is>
      </c>
      <c r="G145" s="9" t="inlineStr">
        <is>
          <t>https://openaccess.thecvf.com/content/WACV2025/html/Sarkar_MaskVD_Region_Masking_for_Efficient_Video_Object_Detection_WACV_2025_paper.html</t>
        </is>
      </c>
      <c r="H145" s="9" t="inlineStr">
        <is>
          <t>N/A</t>
        </is>
      </c>
    </row>
    <row r="146">
      <c r="A146" s="2" t="inlineStr">
        <is>
          <t>General OD</t>
        </is>
      </c>
      <c r="B146" s="2" t="inlineStr">
        <is>
          <t>Diffusion-Based Particle-DETR for BEV Perception</t>
        </is>
      </c>
      <c r="C146" s="2" t="inlineStr">
        <is>
          <t>—</t>
        </is>
      </c>
      <c r="D146" s="2" t="inlineStr">
        <is>
          <t>WACV 2025</t>
        </is>
      </c>
      <c r="E146" s="2" t="inlineStr">
        <is>
          <t>2025-01</t>
        </is>
      </c>
      <c r="F146" s="2" t="inlineStr">
        <is>
          <t>CVF Open Access 自動收錄；指標待人工驗證。Diffusion-Based Particle-DETR for BEV Perception</t>
        </is>
      </c>
      <c r="G146" s="9" t="inlineStr">
        <is>
          <t>https://openaccess.thecvf.com/content/WACV2025/html/Nachkov_Diffusion-Based_Particle-DETR_for_BEV_Perception_WACV_2025_paper.html</t>
        </is>
      </c>
      <c r="H146" s="9" t="inlineStr">
        <is>
          <t>N/A</t>
        </is>
      </c>
    </row>
    <row r="147">
      <c r="A147" s="2" t="inlineStr">
        <is>
          <t>Real-Time OD</t>
        </is>
      </c>
      <c r="B147" s="2" t="inlineStr">
        <is>
          <t>ERUP-YOLO</t>
        </is>
      </c>
      <c r="C147" s="2" t="inlineStr">
        <is>
          <t>—</t>
        </is>
      </c>
      <c r="D147" s="2" t="inlineStr">
        <is>
          <t>WACV 2025</t>
        </is>
      </c>
      <c r="E147" s="2" t="inlineStr">
        <is>
          <t>2025-01</t>
        </is>
      </c>
      <c r="F147" s="2" t="inlineStr">
        <is>
          <t>CVF Open Access 自動收錄；指標待人工驗證。ERUP-YOLO: Enhancing Object Detection Robustness for Adverse Weather Condition by Unified Image-Adaptive Processing</t>
        </is>
      </c>
      <c r="G147" s="9" t="inlineStr">
        <is>
          <t>https://openaccess.thecvf.com/content/WACV2025/html/Ogino_ERUP-YOLO_Enhancing_Object_Detection_Robustness_for_Adverse_Weather_Condition_by_WACV_2025_paper.html</t>
        </is>
      </c>
      <c r="H147" s="9" t="inlineStr">
        <is>
          <t>N/A</t>
        </is>
      </c>
    </row>
    <row r="148">
      <c r="A148" s="2" t="inlineStr">
        <is>
          <t>Real-Time OD</t>
        </is>
      </c>
      <c r="B148" s="2" t="inlineStr">
        <is>
          <t>PK-YOLO</t>
        </is>
      </c>
      <c r="C148" s="2" t="inlineStr">
        <is>
          <t>—</t>
        </is>
      </c>
      <c r="D148" s="2" t="inlineStr">
        <is>
          <t>WACV 2025</t>
        </is>
      </c>
      <c r="E148" s="2" t="inlineStr">
        <is>
          <t>2025-01</t>
        </is>
      </c>
      <c r="F148" s="2" t="inlineStr">
        <is>
          <t>CVF Open Access 自動收錄；指標待人工驗證。PK-YOLO: Pretrained Knowledge Guided YOLO for Brain Tumor Detection in Multiplanar MRI Slices</t>
        </is>
      </c>
      <c r="G148" s="9" t="inlineStr">
        <is>
          <t>https://openaccess.thecvf.com/content/WACV2025/html/Kang_PK-YOLO_Pretrained_Knowledge_Guided_YOLO_for_Brain_Tumor_Detection_in_WACV_2025_paper.html</t>
        </is>
      </c>
      <c r="H148" s="9" t="inlineStr">
        <is>
          <t>N/A</t>
        </is>
      </c>
    </row>
    <row r="149">
      <c r="A149" s="2" t="inlineStr">
        <is>
          <t>General OD</t>
        </is>
      </c>
      <c r="B149" s="2" t="inlineStr">
        <is>
          <t>Decoupled PROB</t>
        </is>
      </c>
      <c r="C149" s="2" t="inlineStr">
        <is>
          <t>—</t>
        </is>
      </c>
      <c r="D149" s="2" t="inlineStr">
        <is>
          <t>WACV 2025</t>
        </is>
      </c>
      <c r="E149" s="2" t="inlineStr">
        <is>
          <t>2025-01</t>
        </is>
      </c>
      <c r="F149" s="2" t="inlineStr">
        <is>
          <t>CVF Open Access 自動收錄；指標待人工驗證。Decoupled PROB: Decoupled Query Initialization Tasks and Objectness-Class Learning for Open World Object Detection</t>
        </is>
      </c>
      <c r="G149" s="9" t="inlineStr">
        <is>
          <t>https://openaccess.thecvf.com/content/WACV2025/html/Inoue_Decoupled_PROB_Decoupled_Query_Initialization_Tasks_and_Objectness-Class_Learning_for_WACV_2025_paper.html</t>
        </is>
      </c>
      <c r="H149" s="9" t="inlineStr">
        <is>
          <t>N/A</t>
        </is>
      </c>
    </row>
    <row r="150">
      <c r="A150" s="2" t="inlineStr">
        <is>
          <t>Real-Time OD</t>
        </is>
      </c>
      <c r="B150" s="2" t="inlineStr">
        <is>
          <t>RT-DETRv3</t>
        </is>
      </c>
      <c r="C150" s="2" t="inlineStr">
        <is>
          <t>—</t>
        </is>
      </c>
      <c r="D150" s="2" t="inlineStr">
        <is>
          <t>WACV 2025</t>
        </is>
      </c>
      <c r="E150" s="2" t="inlineStr">
        <is>
          <t>2025-01</t>
        </is>
      </c>
      <c r="F150" s="2" t="inlineStr">
        <is>
          <t>CVF Open Access 自動收錄；指標待人工驗證。RT-DETRv3: Real-Time End-to-End Object Detection with Hierarchical Dense Positive Supervision</t>
        </is>
      </c>
      <c r="G150" s="9" t="inlineStr">
        <is>
          <t>https://openaccess.thecvf.com/content/WACV2025/html/Wang_RT-DETRv3_Real-Time_End-to-End_Object_Detection_with_Hierarchical_Dense_Positive_Supervision_WACV_2025_paper.html</t>
        </is>
      </c>
      <c r="H150" s="9" t="inlineStr">
        <is>
          <t>N/A</t>
        </is>
      </c>
    </row>
    <row r="151">
      <c r="A151" s="2" t="inlineStr">
        <is>
          <t>General OD</t>
        </is>
      </c>
      <c r="B151" s="2" t="inlineStr">
        <is>
          <t>Mixed Patch Visible-Infrared Modality Agnostic Object Detect</t>
        </is>
      </c>
      <c r="C151" s="2" t="inlineStr">
        <is>
          <t>—</t>
        </is>
      </c>
      <c r="D151" s="2" t="inlineStr">
        <is>
          <t>WACV 2025</t>
        </is>
      </c>
      <c r="E151" s="2" t="inlineStr">
        <is>
          <t>2025-01</t>
        </is>
      </c>
      <c r="F151" s="2" t="inlineStr">
        <is>
          <t>CVF Open Access 自動收錄；指標待人工驗證。Mixed Patch Visible-Infrared Modality Agnostic Object Detection</t>
        </is>
      </c>
      <c r="G151" s="9" t="inlineStr">
        <is>
          <t>https://openaccess.thecvf.com/content/WACV2025/html/Medeiros_Mixed_Patch_Visible-Infrared_Modality_Agnostic_Object_Detection_WACV_2025_paper.html</t>
        </is>
      </c>
      <c r="H151" s="9" t="inlineStr">
        <is>
          <t>N/A</t>
        </is>
      </c>
    </row>
    <row r="152">
      <c r="A152" s="2" t="inlineStr">
        <is>
          <t>Real-Time OD</t>
        </is>
      </c>
      <c r="B152" s="2" t="inlineStr">
        <is>
          <t>Generalist YOLO</t>
        </is>
      </c>
      <c r="C152" s="2" t="inlineStr">
        <is>
          <t>—</t>
        </is>
      </c>
      <c r="D152" s="2" t="inlineStr">
        <is>
          <t>WACV 2025</t>
        </is>
      </c>
      <c r="E152" s="2" t="inlineStr">
        <is>
          <t>2025-01</t>
        </is>
      </c>
      <c r="F152" s="2" t="inlineStr">
        <is>
          <t>CVF Open Access 自動收錄；指標待人工驗證。Generalist YOLO: Towards Real-Time End-to-End Multi-Task Visual Language Models</t>
        </is>
      </c>
      <c r="G152" s="9" t="inlineStr">
        <is>
          <t>https://openaccess.thecvf.com/content/WACV2025/html/Chang_Generalist_YOLO_Towards_Real-Time_End-to-End_Multi-Task_Visual_Language_Models_WACV_2025_paper.html</t>
        </is>
      </c>
      <c r="H152" s="9" t="inlineStr">
        <is>
          <t>N/A</t>
        </is>
      </c>
    </row>
    <row r="153">
      <c r="A153" s="2" t="inlineStr">
        <is>
          <t>General OD</t>
        </is>
      </c>
      <c r="B153" s="2" t="inlineStr">
        <is>
          <t>Enhancing Embodied Object Detection with Spatial Feature Mem</t>
        </is>
      </c>
      <c r="C153" s="2" t="inlineStr">
        <is>
          <t>—</t>
        </is>
      </c>
      <c r="D153" s="2" t="inlineStr">
        <is>
          <t>WACV 2025</t>
        </is>
      </c>
      <c r="E153" s="2" t="inlineStr">
        <is>
          <t>2025-01</t>
        </is>
      </c>
      <c r="F153" s="2" t="inlineStr">
        <is>
          <t>CVF Open Access 自動收錄；指標待人工驗證。Enhancing Embodied Object Detection with Spatial Feature Memory</t>
        </is>
      </c>
      <c r="G153" s="9" t="inlineStr">
        <is>
          <t>https://openaccess.thecvf.com/content/WACV2025/html/Chapman_Enhancing_Embodied_Object_Detection_with_Spatial_Feature_Memory_WACV_2025_paper.html</t>
        </is>
      </c>
      <c r="H153" s="9" t="inlineStr">
        <is>
          <t>N/A</t>
        </is>
      </c>
    </row>
    <row r="154">
      <c r="A154" s="2" t="inlineStr">
        <is>
          <t>General OD</t>
        </is>
      </c>
      <c r="B154" s="2" t="inlineStr">
        <is>
          <t>Interactive Object Detection for Tiny Objects in Large Remot</t>
        </is>
      </c>
      <c r="C154" s="2" t="inlineStr">
        <is>
          <t>—</t>
        </is>
      </c>
      <c r="D154" s="2" t="inlineStr">
        <is>
          <t>WACV 2025</t>
        </is>
      </c>
      <c r="E154" s="2" t="inlineStr">
        <is>
          <t>2025-01</t>
        </is>
      </c>
      <c r="F154" s="2" t="inlineStr">
        <is>
          <t>CVF Open Access 自動收錄；指標待人工驗證。Interactive Object Detection for Tiny Objects in Large Remotely Sensed Images</t>
        </is>
      </c>
      <c r="G154" s="9" t="inlineStr">
        <is>
          <t>https://openaccess.thecvf.com/content/WACV2025/html/Burges_Interactive_Object_Detection_for_Tiny_Objects_in_Large_Remotely_Sensed_WACV_2025_paper.html</t>
        </is>
      </c>
      <c r="H154" s="9" t="inlineStr">
        <is>
          <t>N/A</t>
        </is>
      </c>
    </row>
    <row r="155">
      <c r="A155" s="2" t="inlineStr">
        <is>
          <t>Few-Shot OD</t>
        </is>
      </c>
      <c r="B155" s="2" t="inlineStr">
        <is>
          <t xml:space="preserve">Cross-Domain Multi-Modal Few-Shot Object Detection via Rich </t>
        </is>
      </c>
      <c r="C155" s="2" t="inlineStr">
        <is>
          <t>—</t>
        </is>
      </c>
      <c r="D155" s="2" t="inlineStr">
        <is>
          <t>WACV 2025</t>
        </is>
      </c>
      <c r="E155" s="2" t="inlineStr">
        <is>
          <t>2025-01</t>
        </is>
      </c>
      <c r="F155" s="2" t="inlineStr">
        <is>
          <t>CVF Open Access 自動收錄；指標待人工驗證。Cross-Domain Multi-Modal Few-Shot Object Detection via Rich Text</t>
        </is>
      </c>
      <c r="G155" s="9" t="inlineStr">
        <is>
          <t>https://openaccess.thecvf.com/content/WACV2025/html/Shangguan_Cross-Domain_Multi-Modal_Few-Shot_Object_Detection_via_Rich_Text_WACV_2025_paper.html</t>
        </is>
      </c>
      <c r="H155" s="9" t="inlineStr">
        <is>
          <t>N/A</t>
        </is>
      </c>
    </row>
    <row r="156">
      <c r="A156" s="2" t="inlineStr">
        <is>
          <t>General OD</t>
        </is>
      </c>
      <c r="B156" s="2" t="inlineStr">
        <is>
          <t>No Annotations for Object Detection in Art through Stable Di</t>
        </is>
      </c>
      <c r="C156" s="2" t="inlineStr">
        <is>
          <t>—</t>
        </is>
      </c>
      <c r="D156" s="2" t="inlineStr">
        <is>
          <t>WACV 2025</t>
        </is>
      </c>
      <c r="E156" s="2" t="inlineStr">
        <is>
          <t>2025-01</t>
        </is>
      </c>
      <c r="F156" s="2" t="inlineStr">
        <is>
          <t>CVF Open Access 自動收錄；指標待人工驗證。No Annotations for Object Detection in Art through Stable Diffusion</t>
        </is>
      </c>
      <c r="G156" s="9" t="inlineStr">
        <is>
          <t>https://openaccess.thecvf.com/content/WACV2025/html/Ramos_No_Annotations_for_Object_Detection_in_Art_through_Stable_Diffusion_WACV_2025_paper.html</t>
        </is>
      </c>
      <c r="H156" s="9" t="inlineStr">
        <is>
          <t>N/A</t>
        </is>
      </c>
    </row>
    <row r="157">
      <c r="A157" s="2" t="inlineStr">
        <is>
          <t>Real-Time OD</t>
        </is>
      </c>
      <c r="B157" s="2" t="inlineStr">
        <is>
          <t>ECF-YOLOv7-Tiny</t>
        </is>
      </c>
      <c r="C157" s="2" t="inlineStr">
        <is>
          <t>—</t>
        </is>
      </c>
      <c r="D157" s="2" t="inlineStr">
        <is>
          <t>WACV 2025</t>
        </is>
      </c>
      <c r="E157" s="2" t="inlineStr">
        <is>
          <t>2025-01</t>
        </is>
      </c>
      <c r="F157" s="2" t="inlineStr">
        <is>
          <t>CVF Open Access 自動收錄；指標待人工驗證。ECF-YOLOv7-Tiny: Improving Feature Fusion and the Receptive Field for Lightweight Object Detectors</t>
        </is>
      </c>
      <c r="G157" s="9" t="inlineStr">
        <is>
          <t>https://openaccess.thecvf.com/content/WACV2025/html/Bacea_ECF-YOLOv7-Tiny_Improving_Feature_Fusion_and_the_Receptive_Field_for_Lightweight_WACV_2025_paper.html</t>
        </is>
      </c>
      <c r="H157" s="9" t="inlineStr">
        <is>
          <t>N/A</t>
        </is>
      </c>
    </row>
    <row r="158">
      <c r="A158" s="2" t="inlineStr">
        <is>
          <t>General OD</t>
        </is>
      </c>
      <c r="B158" s="2" t="inlineStr">
        <is>
          <t>Shape-Biased Texture Agnostic Representations for Improved T</t>
        </is>
      </c>
      <c r="C158" s="2" t="inlineStr">
        <is>
          <t>—</t>
        </is>
      </c>
      <c r="D158" s="2" t="inlineStr">
        <is>
          <t>WACV 2025</t>
        </is>
      </c>
      <c r="E158" s="2" t="inlineStr">
        <is>
          <t>2025-01</t>
        </is>
      </c>
      <c r="F158" s="2" t="inlineStr">
        <is>
          <t>CVF Open Access 自動收錄；指標待人工驗證。Shape-Biased Texture Agnostic Representations for Improved Textureless and Metallic Object Detection and 6D Pose Estimation</t>
        </is>
      </c>
      <c r="G158" s="9" t="inlineStr">
        <is>
          <t>https://openaccess.thecvf.com/content/WACV2025/html/Honig_Shape-Biased_Texture_Agnostic_Representations_for_Improved_Textureless_and_Metallic_Object_WACV_2025_paper.html</t>
        </is>
      </c>
      <c r="H158" s="9" t="inlineStr">
        <is>
          <t>N/A</t>
        </is>
      </c>
    </row>
    <row r="159">
      <c r="A159" s="2" t="inlineStr">
        <is>
          <t>General OD</t>
        </is>
      </c>
      <c r="B159" s="2" t="inlineStr">
        <is>
          <t xml:space="preserve">Gradient Decomposition and Alignment for Incremental Object </t>
        </is>
      </c>
      <c r="C159" s="2" t="inlineStr">
        <is>
          <t>—</t>
        </is>
      </c>
      <c r="D159" s="2" t="inlineStr">
        <is>
          <t>ICCV 2025</t>
        </is>
      </c>
      <c r="E159" s="2" t="inlineStr">
        <is>
          <t>2025-10</t>
        </is>
      </c>
      <c r="F159" s="2" t="inlineStr">
        <is>
          <t>CVF Open Access 自動收錄；指標待人工驗證。Gradient Decomposition and Alignment for Incremental Object Detection</t>
        </is>
      </c>
      <c r="G159" s="9" t="inlineStr">
        <is>
          <t>https://openaccess.thecvf.com/content/ICCV2025/html/Luo_Gradient_Decomposition_and_Alignment_for_Incremental_Object_Detection_ICCV_2025_paper.html</t>
        </is>
      </c>
      <c r="H159" s="9" t="inlineStr">
        <is>
          <t>N/A</t>
        </is>
      </c>
    </row>
    <row r="160">
      <c r="A160" s="2" t="inlineStr">
        <is>
          <t>General OD</t>
        </is>
      </c>
      <c r="B160" s="2" t="inlineStr">
        <is>
          <t>SFUOD</t>
        </is>
      </c>
      <c r="C160" s="2" t="inlineStr">
        <is>
          <t>—</t>
        </is>
      </c>
      <c r="D160" s="2" t="inlineStr">
        <is>
          <t>ICCV 2025</t>
        </is>
      </c>
      <c r="E160" s="2" t="inlineStr">
        <is>
          <t>2025-10</t>
        </is>
      </c>
      <c r="F160" s="2" t="inlineStr">
        <is>
          <t>CVF Open Access 自動收錄；指標待人工驗證。SFUOD: Source-Free Unknown Object Detection</t>
        </is>
      </c>
      <c r="G160" s="9" t="inlineStr">
        <is>
          <t>https://openaccess.thecvf.com/content/ICCV2025/html/Park_SFUOD_Source-Free_Unknown_Object_Detection_ICCV_2025_paper.html</t>
        </is>
      </c>
      <c r="H160" s="9" t="inlineStr">
        <is>
          <t>N/A</t>
        </is>
      </c>
    </row>
    <row r="161">
      <c r="A161" s="2" t="inlineStr">
        <is>
          <t>General OD</t>
        </is>
      </c>
      <c r="B161" s="2" t="inlineStr">
        <is>
          <t>ESCNet</t>
        </is>
      </c>
      <c r="C161" s="2" t="inlineStr">
        <is>
          <t>—</t>
        </is>
      </c>
      <c r="D161" s="2" t="inlineStr">
        <is>
          <t>ICCV 2025</t>
        </is>
      </c>
      <c r="E161" s="2" t="inlineStr">
        <is>
          <t>2025-10</t>
        </is>
      </c>
      <c r="F161" s="2" t="inlineStr">
        <is>
          <t>CVF Open Access 自動收錄；指標待人工驗證。ESCNet:Edge-Semantic Collaborative Network for Camouflaged Object Detection</t>
        </is>
      </c>
      <c r="G161" s="9" t="inlineStr">
        <is>
          <t>https://openaccess.thecvf.com/content/ICCV2025/html/Ye_ESCNetEdge-Semantic_Collaborative_Network_for_Camouflaged_Object_Detection_ICCV_2025_paper.html</t>
        </is>
      </c>
      <c r="H161" s="9" t="inlineStr">
        <is>
          <t>N/A</t>
        </is>
      </c>
    </row>
    <row r="162">
      <c r="A162" s="2" t="inlineStr">
        <is>
          <t>General OD</t>
        </is>
      </c>
      <c r="B162" s="2" t="inlineStr">
        <is>
          <t>Event-based Tiny Object Detection</t>
        </is>
      </c>
      <c r="C162" s="2" t="inlineStr">
        <is>
          <t>—</t>
        </is>
      </c>
      <c r="D162" s="2" t="inlineStr">
        <is>
          <t>ICCV 2025</t>
        </is>
      </c>
      <c r="E162" s="2" t="inlineStr">
        <is>
          <t>2025-10</t>
        </is>
      </c>
      <c r="F162" s="2" t="inlineStr">
        <is>
          <t>CVF Open Access 自動收錄；指標待人工驗證。Event-based Tiny Object Detection: A Benchmark Dataset and Baseline</t>
        </is>
      </c>
      <c r="G162" s="9" t="inlineStr">
        <is>
          <t>https://openaccess.thecvf.com/content/ICCV2025/html/Chen_Event-based_Tiny_Object_Detection_A_Benchmark_Dataset_and_Baseline_ICCV_2025_paper.html</t>
        </is>
      </c>
      <c r="H162" s="9" t="inlineStr">
        <is>
          <t>N/A</t>
        </is>
      </c>
    </row>
    <row r="163">
      <c r="A163" s="2" t="inlineStr">
        <is>
          <t>General OD</t>
        </is>
      </c>
      <c r="B163" s="2" t="inlineStr">
        <is>
          <t>Motal</t>
        </is>
      </c>
      <c r="C163" s="2" t="inlineStr">
        <is>
          <t>—</t>
        </is>
      </c>
      <c r="D163" s="2" t="inlineStr">
        <is>
          <t>ICCV 2025</t>
        </is>
      </c>
      <c r="E163" s="2" t="inlineStr">
        <is>
          <t>2025-10</t>
        </is>
      </c>
      <c r="F163" s="2" t="inlineStr">
        <is>
          <t>CVF Open Access 自動收錄；指標待人工驗證。Motal: Unsupervised 3D Object Detection by Modality and Task-specific Knowledge Transfer</t>
        </is>
      </c>
      <c r="G163" s="9" t="inlineStr">
        <is>
          <t>https://openaccess.thecvf.com/content/ICCV2025/html/Wu_Motal_Unsupervised_3D_Object_Detection_by_Modality_and_Task-specific_Knowledge_ICCV_2025_paper.html</t>
        </is>
      </c>
      <c r="H163" s="9" t="inlineStr">
        <is>
          <t>N/A</t>
        </is>
      </c>
    </row>
    <row r="164">
      <c r="A164" s="2" t="inlineStr">
        <is>
          <t>General OD</t>
        </is>
      </c>
      <c r="B164" s="2" t="inlineStr">
        <is>
          <t>Dual-Rate Dynamic Teacher for Source-Free Domain Adaptive Ob</t>
        </is>
      </c>
      <c r="C164" s="2" t="inlineStr">
        <is>
          <t>—</t>
        </is>
      </c>
      <c r="D164" s="2" t="inlineStr">
        <is>
          <t>ICCV 2025</t>
        </is>
      </c>
      <c r="E164" s="2" t="inlineStr">
        <is>
          <t>2025-10</t>
        </is>
      </c>
      <c r="F164" s="2" t="inlineStr">
        <is>
          <t>CVF Open Access 自動收錄；指標待人工驗證。Dual-Rate Dynamic Teacher for Source-Free Domain Adaptive Object Detection</t>
        </is>
      </c>
      <c r="G164" s="9" t="inlineStr">
        <is>
          <t>https://openaccess.thecvf.com/content/ICCV2025/html/He_Dual-Rate_Dynamic_Teacher_for_Source-Free_Domain_Adaptive_Object_Detection_ICCV_2025_paper.html</t>
        </is>
      </c>
      <c r="H164" s="9" t="inlineStr">
        <is>
          <t>N/A</t>
        </is>
      </c>
    </row>
    <row r="165">
      <c r="A165" s="2" t="inlineStr">
        <is>
          <t>General OD</t>
        </is>
      </c>
      <c r="B165" s="2" t="inlineStr">
        <is>
          <t>UPRE</t>
        </is>
      </c>
      <c r="C165" s="2" t="inlineStr">
        <is>
          <t>—</t>
        </is>
      </c>
      <c r="D165" s="2" t="inlineStr">
        <is>
          <t>ICCV 2025</t>
        </is>
      </c>
      <c r="E165" s="2" t="inlineStr">
        <is>
          <t>2025-10</t>
        </is>
      </c>
      <c r="F165" s="2" t="inlineStr">
        <is>
          <t>CVF Open Access 自動收錄；指標待人工驗證。UPRE: Zero-Shot Domain Adaptation for Object Detection via Unified Prompt and Representation Enhancement</t>
        </is>
      </c>
      <c r="G165" s="9" t="inlineStr">
        <is>
          <t>https://openaccess.thecvf.com/content/ICCV2025/html/Zhang_UPRE_Zero-Shot_Domain_Adaptation_for_Object_Detection_via_Unified_Prompt_ICCV_2025_paper.html</t>
        </is>
      </c>
      <c r="H165" s="9" t="inlineStr">
        <is>
          <t>N/A</t>
        </is>
      </c>
    </row>
    <row r="166">
      <c r="A166" s="2" t="inlineStr">
        <is>
          <t>General OD</t>
        </is>
      </c>
      <c r="B166" s="2" t="inlineStr">
        <is>
          <t>ASGS</t>
        </is>
      </c>
      <c r="C166" s="2" t="inlineStr">
        <is>
          <t>—</t>
        </is>
      </c>
      <c r="D166" s="2" t="inlineStr">
        <is>
          <t>ICCV 2025</t>
        </is>
      </c>
      <c r="E166" s="2" t="inlineStr">
        <is>
          <t>2025-10</t>
        </is>
      </c>
      <c r="F166" s="2" t="inlineStr">
        <is>
          <t>CVF Open Access 自動收錄；指標待人工驗證。ASGS: Single-Domain Generalizable Open-Set Object Detection via Adaptive Subgraph Searching</t>
        </is>
      </c>
      <c r="G166" s="9" t="inlineStr">
        <is>
          <t>https://openaccess.thecvf.com/content/ICCV2025/html/Yuan_ASGS_Single-Domain_Generalizable_Open-Set_Object_Detection_via_Adaptive_Subgraph_Searching_ICCV_2025_paper.html</t>
        </is>
      </c>
      <c r="H166" s="9" t="inlineStr">
        <is>
          <t>N/A</t>
        </is>
      </c>
    </row>
    <row r="167">
      <c r="A167" s="2" t="inlineStr">
        <is>
          <t>General OD</t>
        </is>
      </c>
      <c r="B167" s="2" t="inlineStr">
        <is>
          <t>Uncertainty-Aware Gradient Stabilization for Small Object De</t>
        </is>
      </c>
      <c r="C167" s="2" t="inlineStr">
        <is>
          <t>—</t>
        </is>
      </c>
      <c r="D167" s="2" t="inlineStr">
        <is>
          <t>ICCV 2025</t>
        </is>
      </c>
      <c r="E167" s="2" t="inlineStr">
        <is>
          <t>2025-10</t>
        </is>
      </c>
      <c r="F167" s="2" t="inlineStr">
        <is>
          <t>CVF Open Access 自動收錄；指標待人工驗證。Uncertainty-Aware Gradient Stabilization for Small Object Detection</t>
        </is>
      </c>
      <c r="G167" s="9" t="inlineStr">
        <is>
          <t>https://openaccess.thecvf.com/content/ICCV2025/html/Sun_Uncertainty-Aware_Gradient_Stabilization_for_Small_Object_Detection_ICCV_2025_paper.html</t>
        </is>
      </c>
      <c r="H167" s="9" t="inlineStr">
        <is>
          <t>N/A</t>
        </is>
      </c>
    </row>
    <row r="168">
      <c r="A168" s="2" t="inlineStr">
        <is>
          <t>General OD</t>
        </is>
      </c>
      <c r="B168" s="2" t="inlineStr">
        <is>
          <t>Debiased Teacher for Day-to-Night Domain Adaptive Object Det</t>
        </is>
      </c>
      <c r="C168" s="2" t="inlineStr">
        <is>
          <t>—</t>
        </is>
      </c>
      <c r="D168" s="2" t="inlineStr">
        <is>
          <t>ICCV 2025</t>
        </is>
      </c>
      <c r="E168" s="2" t="inlineStr">
        <is>
          <t>2025-10</t>
        </is>
      </c>
      <c r="F168" s="2" t="inlineStr">
        <is>
          <t>CVF Open Access 自動收錄；指標待人工驗證。Debiased Teacher for Day-to-Night Domain Adaptive Object Detection</t>
        </is>
      </c>
      <c r="G168" s="9" t="inlineStr">
        <is>
          <t>https://openaccess.thecvf.com/content/ICCV2025/html/Cui_Debiased_Teacher_for_Day-to-Night_Domain_Adaptive_Object_Detection_ICCV_2025_paper.html</t>
        </is>
      </c>
      <c r="H168" s="9" t="inlineStr">
        <is>
          <t>N/A</t>
        </is>
      </c>
    </row>
    <row r="169">
      <c r="A169" s="2" t="inlineStr">
        <is>
          <t>General OD</t>
        </is>
      </c>
      <c r="B169" s="2" t="inlineStr">
        <is>
          <t>Adversarial Attention Perturbations for Large Object Detecti</t>
        </is>
      </c>
      <c r="C169" s="2" t="inlineStr">
        <is>
          <t>—</t>
        </is>
      </c>
      <c r="D169" s="2" t="inlineStr">
        <is>
          <t>ICCV 2025</t>
        </is>
      </c>
      <c r="E169" s="2" t="inlineStr">
        <is>
          <t>2025-10</t>
        </is>
      </c>
      <c r="F169" s="2" t="inlineStr">
        <is>
          <t>CVF Open Access 自動收錄；指標待人工驗證。Adversarial Attention Perturbations for Large Object Detection Transformers</t>
        </is>
      </c>
      <c r="G169" s="9" t="inlineStr">
        <is>
          <t>https://openaccess.thecvf.com/content/ICCV2025/html/Yahn_Adversarial_Attention_Perturbations_for_Large_Object_Detection_Transformers_ICCV_2025_paper.html</t>
        </is>
      </c>
      <c r="H169" s="9" t="inlineStr">
        <is>
          <t>N/A</t>
        </is>
      </c>
    </row>
    <row r="170">
      <c r="A170" s="2" t="inlineStr">
        <is>
          <t>General OD</t>
        </is>
      </c>
      <c r="B170" s="2" t="inlineStr">
        <is>
          <t>PBCAT</t>
        </is>
      </c>
      <c r="C170" s="2" t="inlineStr">
        <is>
          <t>—</t>
        </is>
      </c>
      <c r="D170" s="2" t="inlineStr">
        <is>
          <t>ICCV 2025</t>
        </is>
      </c>
      <c r="E170" s="2" t="inlineStr">
        <is>
          <t>2025-10</t>
        </is>
      </c>
      <c r="F170" s="2" t="inlineStr">
        <is>
          <t>CVF Open Access 自動收錄；指標待人工驗證。PBCAT: Patch-Based Composite Adversarial Training against Physically Realizable Attacks on Object Detection</t>
        </is>
      </c>
      <c r="G170" s="9" t="inlineStr">
        <is>
          <t>https://openaccess.thecvf.com/content/ICCV2025/html/Li_PBCAT_Patch-Based_Composite_Adversarial_Training_against_Physically_Realizable_Attacks_on_ICCV_2025_paper.html</t>
        </is>
      </c>
      <c r="H170" s="9" t="inlineStr">
        <is>
          <t>N/A</t>
        </is>
      </c>
    </row>
    <row r="171">
      <c r="A171" s="2" t="inlineStr">
        <is>
          <t>General OD</t>
        </is>
      </c>
      <c r="B171" s="2" t="inlineStr">
        <is>
          <t>STEP-DETR</t>
        </is>
      </c>
      <c r="C171" s="2" t="inlineStr">
        <is>
          <t>—</t>
        </is>
      </c>
      <c r="D171" s="2" t="inlineStr">
        <is>
          <t>ICCV 2025</t>
        </is>
      </c>
      <c r="E171" s="2" t="inlineStr">
        <is>
          <t>2025-10</t>
        </is>
      </c>
      <c r="F171" s="2" t="inlineStr">
        <is>
          <t>CVF Open Access 自動收錄；指標待人工驗證。STEP-DETR: Advancing DETR-based Semi-Supervised Object Detection with Super Teacher and Pseudo-Label Guided Text Queries</t>
        </is>
      </c>
      <c r="G171" s="9" t="inlineStr">
        <is>
          <t>https://openaccess.thecvf.com/content/ICCV2025/html/Shehzadi_STEP-DETR_Advancing_DETR-based_Semi-Supervised_Object_Detection_with_Super_Teacher_and_ICCV_2025_paper.html</t>
        </is>
      </c>
      <c r="H171" s="9" t="inlineStr">
        <is>
          <t>N/A</t>
        </is>
      </c>
    </row>
    <row r="172">
      <c r="A172" s="2" t="inlineStr">
        <is>
          <t>General OD</t>
        </is>
      </c>
      <c r="B172" s="2" t="inlineStr">
        <is>
          <t>Accelerate 3D Object Detection Models via Zero-Shot Attentio</t>
        </is>
      </c>
      <c r="C172" s="2" t="inlineStr">
        <is>
          <t>—</t>
        </is>
      </c>
      <c r="D172" s="2" t="inlineStr">
        <is>
          <t>ICCV 2025</t>
        </is>
      </c>
      <c r="E172" s="2" t="inlineStr">
        <is>
          <t>2025-10</t>
        </is>
      </c>
      <c r="F172" s="2" t="inlineStr">
        <is>
          <t>CVF Open Access 自動收錄；指標待人工驗證。Accelerate 3D Object Detection Models via Zero-Shot Attention Key Pruning</t>
        </is>
      </c>
      <c r="G172" s="9" t="inlineStr">
        <is>
          <t>https://openaccess.thecvf.com/content/ICCV2025/html/Xu_Accelerate_3D_Object_Detection_Models_via_Zero-Shot_Attention_Key_Pruning_ICCV_2025_paper.html</t>
        </is>
      </c>
      <c r="H172" s="9" t="inlineStr">
        <is>
          <t>N/A</t>
        </is>
      </c>
    </row>
    <row r="173">
      <c r="A173" s="2" t="inlineStr">
        <is>
          <t>General OD</t>
        </is>
      </c>
      <c r="B173" s="2" t="inlineStr">
        <is>
          <t>Enhancing Prompt Generation with Adaptive Refinement for Cam</t>
        </is>
      </c>
      <c r="C173" s="2" t="inlineStr">
        <is>
          <t>—</t>
        </is>
      </c>
      <c r="D173" s="2" t="inlineStr">
        <is>
          <t>ICCV 2025</t>
        </is>
      </c>
      <c r="E173" s="2" t="inlineStr">
        <is>
          <t>2025-10</t>
        </is>
      </c>
      <c r="F173" s="2" t="inlineStr">
        <is>
          <t>CVF Open Access 自動收錄；指標待人工驗證。Enhancing Prompt Generation with Adaptive Refinement for Camouflaged Object Detection</t>
        </is>
      </c>
      <c r="G173" s="9" t="inlineStr">
        <is>
          <t>https://openaccess.thecvf.com/content/ICCV2025/html/Chen_Enhancing_Prompt_Generation_with_Adaptive_Refinement_for_Camouflaged_Object_Detection_ICCV_2025_paper.html</t>
        </is>
      </c>
      <c r="H173" s="9" t="inlineStr">
        <is>
          <t>N/A</t>
        </is>
      </c>
    </row>
    <row r="174">
      <c r="A174" s="2" t="inlineStr">
        <is>
          <t>General OD</t>
        </is>
      </c>
      <c r="B174" s="2" t="inlineStr">
        <is>
          <t>GeoFormer</t>
        </is>
      </c>
      <c r="C174" s="2" t="inlineStr">
        <is>
          <t>—</t>
        </is>
      </c>
      <c r="D174" s="2" t="inlineStr">
        <is>
          <t>ICCV 2025</t>
        </is>
      </c>
      <c r="E174" s="2" t="inlineStr">
        <is>
          <t>2025-10</t>
        </is>
      </c>
      <c r="F174" s="2" t="inlineStr">
        <is>
          <t>CVF Open Access 自動收錄；指標待人工驗證。GeoFormer: Geometry Point Encoder for 3D Object Detection with Graph-based Transformer</t>
        </is>
      </c>
      <c r="G174" s="9" t="inlineStr">
        <is>
          <t>https://openaccess.thecvf.com/content/ICCV2025/html/Jin_GeoFormer_Geometry_Point_Encoder_for_3D_Object_Detection_with_Graph-based_ICCV_2025_paper.html</t>
        </is>
      </c>
      <c r="H174" s="9" t="inlineStr">
        <is>
          <t>N/A</t>
        </is>
      </c>
    </row>
    <row r="175">
      <c r="A175" s="2" t="inlineStr">
        <is>
          <t>General OD</t>
        </is>
      </c>
      <c r="B175" s="2" t="inlineStr">
        <is>
          <t>Beyond Single Images</t>
        </is>
      </c>
      <c r="C175" s="2" t="inlineStr">
        <is>
          <t>—</t>
        </is>
      </c>
      <c r="D175" s="2" t="inlineStr">
        <is>
          <t>ICCV 2025</t>
        </is>
      </c>
      <c r="E175" s="2" t="inlineStr">
        <is>
          <t>2025-10</t>
        </is>
      </c>
      <c r="F175" s="2" t="inlineStr">
        <is>
          <t>CVF Open Access 自動收錄；指標待人工驗證。Beyond Single Images: Retrieval Self-Augmented Unsupervised Camouflaged Object Detection</t>
        </is>
      </c>
      <c r="G175" s="9" t="inlineStr">
        <is>
          <t>https://openaccess.thecvf.com/content/ICCV2025/html/Du_Beyond_Single_Images_Retrieval_Self-Augmented_Unsupervised_Camouflaged_Object_Detection_ICCV_2025_paper.html</t>
        </is>
      </c>
      <c r="H175" s="9" t="inlineStr">
        <is>
          <t>N/A</t>
        </is>
      </c>
    </row>
    <row r="176">
      <c r="A176" s="2" t="inlineStr">
        <is>
          <t>General OD</t>
        </is>
      </c>
      <c r="B176" s="2" t="inlineStr">
        <is>
          <t>LMM-Det</t>
        </is>
      </c>
      <c r="C176" s="2" t="inlineStr">
        <is>
          <t>—</t>
        </is>
      </c>
      <c r="D176" s="2" t="inlineStr">
        <is>
          <t>ICCV 2025</t>
        </is>
      </c>
      <c r="E176" s="2" t="inlineStr">
        <is>
          <t>2025-10</t>
        </is>
      </c>
      <c r="F176" s="2" t="inlineStr">
        <is>
          <t>CVF Open Access 自動收錄；指標待人工驗證。LMM-Det: Make Large Multimodal Models Excel in Object Detection</t>
        </is>
      </c>
      <c r="G176" s="9" t="inlineStr">
        <is>
          <t>https://openaccess.thecvf.com/content/ICCV2025/html/Li_LMM-Det_Make_Large_Multimodal_Models_Excel_in_Object_Detection_ICCV_2025_paper.html</t>
        </is>
      </c>
      <c r="H176" s="9" t="inlineStr">
        <is>
          <t>N/A</t>
        </is>
      </c>
    </row>
    <row r="177">
      <c r="A177" s="2" t="inlineStr">
        <is>
          <t>General OD</t>
        </is>
      </c>
      <c r="B177" s="2" t="inlineStr">
        <is>
          <t>Gradient-Reweighted Adversarial Camouflage for Physical Obje</t>
        </is>
      </c>
      <c r="C177" s="2" t="inlineStr">
        <is>
          <t>—</t>
        </is>
      </c>
      <c r="D177" s="2" t="inlineStr">
        <is>
          <t>ICCV 2025</t>
        </is>
      </c>
      <c r="E177" s="2" t="inlineStr">
        <is>
          <t>2025-10</t>
        </is>
      </c>
      <c r="F177" s="2" t="inlineStr">
        <is>
          <t>CVF Open Access 自動收錄；指標待人工驗證。Gradient-Reweighted Adversarial Camouflage for Physical Object Detection Evasion</t>
        </is>
      </c>
      <c r="G177" s="9" t="inlineStr">
        <is>
          <t>https://openaccess.thecvf.com/content/ICCV2025/html/Liang_Gradient-Reweighted_Adversarial_Camouflage_for_Physical_Object_Detection_Evasion_ICCV_2025_paper.html</t>
        </is>
      </c>
      <c r="H177" s="9" t="inlineStr">
        <is>
          <t>N/A</t>
        </is>
      </c>
    </row>
    <row r="178">
      <c r="A178" s="2" t="inlineStr">
        <is>
          <t>General OD</t>
        </is>
      </c>
      <c r="B178" s="2" t="inlineStr">
        <is>
          <t>DuET</t>
        </is>
      </c>
      <c r="C178" s="2" t="inlineStr">
        <is>
          <t>—</t>
        </is>
      </c>
      <c r="D178" s="2" t="inlineStr">
        <is>
          <t>ICCV 2025</t>
        </is>
      </c>
      <c r="E178" s="2" t="inlineStr">
        <is>
          <t>2025-10</t>
        </is>
      </c>
      <c r="F178" s="2" t="inlineStr">
        <is>
          <t>CVF Open Access 自動收錄；指標待人工驗證。DuET: Dual Incremental Object Detection via Exemplar-Free Task Arithmetic</t>
        </is>
      </c>
      <c r="G178" s="9" t="inlineStr">
        <is>
          <t>https://openaccess.thecvf.com/content/ICCV2025/html/Monga_DuET_Dual_Incremental_Object_Detection_via_Exemplar-Free_Task_Arithmetic_ICCV_2025_paper.html</t>
        </is>
      </c>
      <c r="H178" s="9" t="inlineStr">
        <is>
          <t>N/A</t>
        </is>
      </c>
    </row>
    <row r="179">
      <c r="A179" s="2" t="inlineStr">
        <is>
          <t>General OD</t>
        </is>
      </c>
      <c r="B179" s="2" t="inlineStr">
        <is>
          <t xml:space="preserve">Boosting Multi-View Indoor 3D Object Detection via Adaptive </t>
        </is>
      </c>
      <c r="C179" s="2" t="inlineStr">
        <is>
          <t>—</t>
        </is>
      </c>
      <c r="D179" s="2" t="inlineStr">
        <is>
          <t>ICCV 2025</t>
        </is>
      </c>
      <c r="E179" s="2" t="inlineStr">
        <is>
          <t>2025-10</t>
        </is>
      </c>
      <c r="F179" s="2" t="inlineStr">
        <is>
          <t>CVF Open Access 自動收錄；指標待人工驗證。Boosting Multi-View Indoor 3D Object Detection via Adaptive 3D Volume Construction</t>
        </is>
      </c>
      <c r="G179" s="9" t="inlineStr">
        <is>
          <t>https://openaccess.thecvf.com/content/ICCV2025/html/Zhang_Boosting_Multi-View_Indoor_3D_Object_Detection_via_Adaptive_3D_Volume_ICCV_2025_paper.html</t>
        </is>
      </c>
      <c r="H179" s="9" t="inlineStr">
        <is>
          <t>N/A</t>
        </is>
      </c>
    </row>
    <row r="180">
      <c r="A180" s="2" t="inlineStr">
        <is>
          <t>General OD</t>
        </is>
      </c>
      <c r="B180" s="2" t="inlineStr">
        <is>
          <t xml:space="preserve">Unified Category-Level Object Detection and Pose Estimation </t>
        </is>
      </c>
      <c r="C180" s="2" t="inlineStr">
        <is>
          <t>—</t>
        </is>
      </c>
      <c r="D180" s="2" t="inlineStr">
        <is>
          <t>ICCV 2025</t>
        </is>
      </c>
      <c r="E180" s="2" t="inlineStr">
        <is>
          <t>2025-10</t>
        </is>
      </c>
      <c r="F180" s="2" t="inlineStr">
        <is>
          <t>CVF Open Access 自動收錄；指標待人工驗證。Unified Category-Level Object Detection and Pose Estimation from RGB Images using 3D Prototypes</t>
        </is>
      </c>
      <c r="G180" s="9" t="inlineStr">
        <is>
          <t>https://openaccess.thecvf.com/content/ICCV2025/html/Fischer_Unified_Category-Level_Object_Detection_and_Pose_Estimation_from_RGB_Images_ICCV_2025_paper.html</t>
        </is>
      </c>
      <c r="H180" s="9" t="inlineStr">
        <is>
          <t>N/A</t>
        </is>
      </c>
    </row>
    <row r="181">
      <c r="A181" s="2" t="inlineStr">
        <is>
          <t>General OD</t>
        </is>
      </c>
      <c r="B181" s="2" t="inlineStr">
        <is>
          <t>Adaptive Dual Uncertainty Optimization</t>
        </is>
      </c>
      <c r="C181" s="2" t="inlineStr">
        <is>
          <t>—</t>
        </is>
      </c>
      <c r="D181" s="2" t="inlineStr">
        <is>
          <t>ICCV 2025</t>
        </is>
      </c>
      <c r="E181" s="2" t="inlineStr">
        <is>
          <t>2025-10</t>
        </is>
      </c>
      <c r="F181" s="2" t="inlineStr">
        <is>
          <t>CVF Open Access 自動收錄；指標待人工驗證。Adaptive Dual Uncertainty Optimization: Boosting Monocular 3D Object Detection under Test-Time Shifts</t>
        </is>
      </c>
      <c r="G181" s="9" t="inlineStr">
        <is>
          <t>https://openaccess.thecvf.com/content/ICCV2025/html/Hu_Adaptive_Dual_Uncertainty_Optimization_Boosting_Monocular_3D_Object_Detection_under_ICCV_2025_paper.html</t>
        </is>
      </c>
      <c r="H181" s="9" t="inlineStr">
        <is>
          <t>N/A</t>
        </is>
      </c>
    </row>
    <row r="182">
      <c r="A182" s="2" t="inlineStr">
        <is>
          <t>Real-Time OD</t>
        </is>
      </c>
      <c r="B182" s="2" t="inlineStr">
        <is>
          <t>YOLO-Count</t>
        </is>
      </c>
      <c r="C182" s="2" t="inlineStr">
        <is>
          <t>—</t>
        </is>
      </c>
      <c r="D182" s="2" t="inlineStr">
        <is>
          <t>ICCV 2025</t>
        </is>
      </c>
      <c r="E182" s="2" t="inlineStr">
        <is>
          <t>2025-10</t>
        </is>
      </c>
      <c r="F182" s="2" t="inlineStr">
        <is>
          <t>CVF Open Access 自動收錄；指標待人工驗證。YOLO-Count: Differentiable Object Counting for Text-to-Image Generation</t>
        </is>
      </c>
      <c r="G182" s="9" t="inlineStr">
        <is>
          <t>https://openaccess.thecvf.com/content/ICCV2025/html/Zeng_YOLO-Count_Differentiable_Object_Counting_for_Text-to-Image_Generation_ICCV_2025_paper.html</t>
        </is>
      </c>
      <c r="H182" s="9" t="inlineStr">
        <is>
          <t>N/A</t>
        </is>
      </c>
    </row>
    <row r="183">
      <c r="A183" s="2" t="inlineStr">
        <is>
          <t>General OD</t>
        </is>
      </c>
      <c r="B183" s="2" t="inlineStr">
        <is>
          <t>EVT</t>
        </is>
      </c>
      <c r="C183" s="2" t="inlineStr">
        <is>
          <t>—</t>
        </is>
      </c>
      <c r="D183" s="2" t="inlineStr">
        <is>
          <t>ICCV 2025</t>
        </is>
      </c>
      <c r="E183" s="2" t="inlineStr">
        <is>
          <t>2025-10</t>
        </is>
      </c>
      <c r="F183" s="2" t="inlineStr">
        <is>
          <t>CVF Open Access 自動收錄；指標待人工驗證。EVT: Efficient View Transformation for Multi-Modal 3D Object Detection</t>
        </is>
      </c>
      <c r="G183" s="9" t="inlineStr">
        <is>
          <t>https://openaccess.thecvf.com/content/ICCV2025/html/Lee_EVT_Efficient_View_Transformation_for_Multi-Modal_3D_Object_Detection_ICCV_2025_paper.html</t>
        </is>
      </c>
      <c r="H183" s="9" t="inlineStr">
        <is>
          <t>N/A</t>
        </is>
      </c>
    </row>
    <row r="184">
      <c r="A184" s="2" t="inlineStr">
        <is>
          <t>General OD</t>
        </is>
      </c>
      <c r="B184" s="2" t="inlineStr">
        <is>
          <t>Measuring the Impact of Rotation Equivariance on Aerial Obje</t>
        </is>
      </c>
      <c r="C184" s="2" t="inlineStr">
        <is>
          <t>—</t>
        </is>
      </c>
      <c r="D184" s="2" t="inlineStr">
        <is>
          <t>ICCV 2025</t>
        </is>
      </c>
      <c r="E184" s="2" t="inlineStr">
        <is>
          <t>2025-10</t>
        </is>
      </c>
      <c r="F184" s="2" t="inlineStr">
        <is>
          <t>CVF Open Access 自動收錄；指標待人工驗證。Measuring the Impact of Rotation Equivariance on Aerial Object Detection</t>
        </is>
      </c>
      <c r="G184" s="9" t="inlineStr">
        <is>
          <t>https://openaccess.thecvf.com/content/ICCV2025/html/Wu_Measuring_the_Impact_of_Rotation_Equivariance_on_Aerial_Object_Detection_ICCV_2025_paper.html</t>
        </is>
      </c>
      <c r="H184" s="9" t="inlineStr">
        <is>
          <t>N/A</t>
        </is>
      </c>
    </row>
    <row r="185">
      <c r="A185" s="2" t="inlineStr">
        <is>
          <t>General OD</t>
        </is>
      </c>
      <c r="B185" s="2" t="inlineStr">
        <is>
          <t>CVFusion</t>
        </is>
      </c>
      <c r="C185" s="2" t="inlineStr">
        <is>
          <t>—</t>
        </is>
      </c>
      <c r="D185" s="2" t="inlineStr">
        <is>
          <t>ICCV 2025</t>
        </is>
      </c>
      <c r="E185" s="2" t="inlineStr">
        <is>
          <t>2025-10</t>
        </is>
      </c>
      <c r="F185" s="2" t="inlineStr">
        <is>
          <t>CVF Open Access 自動收錄；指標待人工驗證。CVFusion: Cross-View Fusion of 4D Radar and Camera for 3D Object Detection</t>
        </is>
      </c>
      <c r="G185" s="9" t="inlineStr">
        <is>
          <t>https://openaccess.thecvf.com/content/ICCV2025/html/Zhong_CVFusion_Cross-View_Fusion_of_4D_Radar_and_Camera_for_3D_ICCV_2025_paper.html</t>
        </is>
      </c>
      <c r="H185" s="9" t="inlineStr">
        <is>
          <t>N/A</t>
        </is>
      </c>
    </row>
    <row r="186">
      <c r="A186" s="2" t="inlineStr">
        <is>
          <t>General OD</t>
        </is>
      </c>
      <c r="B186" s="2" t="inlineStr">
        <is>
          <t>Fusion Meets Diverse Conditions</t>
        </is>
      </c>
      <c r="C186" s="2" t="inlineStr">
        <is>
          <t>—</t>
        </is>
      </c>
      <c r="D186" s="2" t="inlineStr">
        <is>
          <t>ICCV 2025</t>
        </is>
      </c>
      <c r="E186" s="2" t="inlineStr">
        <is>
          <t>2025-10</t>
        </is>
      </c>
      <c r="F186" s="2" t="inlineStr">
        <is>
          <t>CVF Open Access 自動收錄；指標待人工驗證。Fusion Meets Diverse Conditions: A High-diversity Benchmark and Baseline for UAV-based Multimodal Object Detection with Condition Cues</t>
        </is>
      </c>
      <c r="G186" s="9" t="inlineStr">
        <is>
          <t>https://openaccess.thecvf.com/content/ICCV2025/html/Chen_Fusion_Meets_Diverse_Conditions_A_High-diversity_Benchmark_and_Baseline_for_ICCV_2025_paper.html</t>
        </is>
      </c>
      <c r="H186" s="9" t="inlineStr">
        <is>
          <t>N/A</t>
        </is>
      </c>
    </row>
    <row r="187">
      <c r="A187" s="2" t="inlineStr">
        <is>
          <t>General OD</t>
        </is>
      </c>
      <c r="B187" s="2" t="inlineStr">
        <is>
          <t>OV-SCAN</t>
        </is>
      </c>
      <c r="C187" s="2" t="inlineStr">
        <is>
          <t>—</t>
        </is>
      </c>
      <c r="D187" s="2" t="inlineStr">
        <is>
          <t>ICCV 2025</t>
        </is>
      </c>
      <c r="E187" s="2" t="inlineStr">
        <is>
          <t>2025-10</t>
        </is>
      </c>
      <c r="F187" s="2" t="inlineStr">
        <is>
          <t>CVF Open Access 自動收錄；指標待人工驗證。OV-SCAN: Semantically Consistent Alignment for Novel Object Discovery in Open-Vocabulary 3D Object Detection</t>
        </is>
      </c>
      <c r="G187" s="9" t="inlineStr">
        <is>
          <t>https://openaccess.thecvf.com/content/ICCV2025/html/Chow_OV-SCAN_Semantically_Consistent_Alignment_for_Novel_Object_Discovery_in_Open-Vocabulary_ICCV_2025_paper.html</t>
        </is>
      </c>
      <c r="H187" s="9" t="inlineStr">
        <is>
          <t>N/A</t>
        </is>
      </c>
    </row>
    <row r="188">
      <c r="A188" s="2" t="inlineStr">
        <is>
          <t>General OD</t>
        </is>
      </c>
      <c r="B188" s="2" t="inlineStr">
        <is>
          <t>DM-EFS</t>
        </is>
      </c>
      <c r="C188" s="2" t="inlineStr">
        <is>
          <t>—</t>
        </is>
      </c>
      <c r="D188" s="2" t="inlineStr">
        <is>
          <t>ICCV 2025</t>
        </is>
      </c>
      <c r="E188" s="2" t="inlineStr">
        <is>
          <t>2025-10</t>
        </is>
      </c>
      <c r="F188" s="2" t="inlineStr">
        <is>
          <t>CVF Open Access 自動收錄；指標待人工驗證。DM-EFS: Dynamically Multiplexed Expanded Features Set Form for Robust and Efficient Small Object Detection</t>
        </is>
      </c>
      <c r="G188" s="9" t="inlineStr">
        <is>
          <t>https://openaccess.thecvf.com/content/ICCV2025/html/Sharma_DM-EFS_Dynamically_Multiplexed_Expanded_Features_Set_Form_for_Robust_and_ICCV_2025_paper.html</t>
        </is>
      </c>
      <c r="H188" s="9" t="inlineStr">
        <is>
          <t>N/A</t>
        </is>
      </c>
    </row>
    <row r="189">
      <c r="A189" s="2" t="inlineStr">
        <is>
          <t>Real-Time OD</t>
        </is>
      </c>
      <c r="B189" s="2" t="inlineStr">
        <is>
          <t>EvRT-DETR</t>
        </is>
      </c>
      <c r="C189" s="2" t="inlineStr">
        <is>
          <t>—</t>
        </is>
      </c>
      <c r="D189" s="2" t="inlineStr">
        <is>
          <t>ICCV 2025</t>
        </is>
      </c>
      <c r="E189" s="2" t="inlineStr">
        <is>
          <t>2025-10</t>
        </is>
      </c>
      <c r="F189" s="2" t="inlineStr">
        <is>
          <t>CVF Open Access 自動收錄；指標待人工驗證。EvRT-DETR: Latent Space Adaptation of Image Detectors for Event-based Vision</t>
        </is>
      </c>
      <c r="G189" s="9" t="inlineStr">
        <is>
          <t>https://openaccess.thecvf.com/content/ICCV2025/html/Torbunov_EvRT-DETR_Latent_Space_Adaptation_of_Image_Detectors_for_Event-based_Vision_ICCV_2025_paper.html</t>
        </is>
      </c>
      <c r="H189" s="9" t="inlineStr">
        <is>
          <t>N/A</t>
        </is>
      </c>
    </row>
    <row r="190">
      <c r="A190" s="2" t="inlineStr">
        <is>
          <t>General OD</t>
        </is>
      </c>
      <c r="B190" s="2" t="inlineStr">
        <is>
          <t>Cycle-Consistent Learning for Joint Layout-to-Image Generati</t>
        </is>
      </c>
      <c r="C190" s="2" t="inlineStr">
        <is>
          <t>—</t>
        </is>
      </c>
      <c r="D190" s="2" t="inlineStr">
        <is>
          <t>ICCV 2025</t>
        </is>
      </c>
      <c r="E190" s="2" t="inlineStr">
        <is>
          <t>2025-10</t>
        </is>
      </c>
      <c r="F190" s="2" t="inlineStr">
        <is>
          <t>CVF Open Access 自動收錄；指標待人工驗證。Cycle-Consistent Learning for Joint Layout-to-Image Generation and Object Detection</t>
        </is>
      </c>
      <c r="G190" s="9" t="inlineStr">
        <is>
          <t>https://openaccess.thecvf.com/content/ICCV2025/html/Cai_Cycle-Consistent_Learning_for_Joint_Layout-to-Image_Generation_and_Object_Detection_ICCV_2025_paper.html</t>
        </is>
      </c>
      <c r="H190" s="9" t="inlineStr">
        <is>
          <t>N/A</t>
        </is>
      </c>
    </row>
    <row r="191">
      <c r="A191" s="2" t="inlineStr">
        <is>
          <t>General OD</t>
        </is>
      </c>
      <c r="B191" s="2" t="inlineStr">
        <is>
          <t>Rethinking Multi-modal Object Detection from the Perspective</t>
        </is>
      </c>
      <c r="C191" s="2" t="inlineStr">
        <is>
          <t>—</t>
        </is>
      </c>
      <c r="D191" s="2" t="inlineStr">
        <is>
          <t>ICCV 2025</t>
        </is>
      </c>
      <c r="E191" s="2" t="inlineStr">
        <is>
          <t>2025-10</t>
        </is>
      </c>
      <c r="F191" s="2" t="inlineStr">
        <is>
          <t>CVF Open Access 自動收錄；指標待人工驗證。Rethinking Multi-modal Object Detection from the Perspective of Mono-Modality Feature Learning</t>
        </is>
      </c>
      <c r="G191" s="9" t="inlineStr">
        <is>
          <t>https://openaccess.thecvf.com/content/ICCV2025/html/Zhao_Rethinking_Multi-modal_Object_Detection_from_the_Perspective_of_Mono-Modality_Feature_ICCV_2025_paper.html</t>
        </is>
      </c>
      <c r="H191" s="9" t="inlineStr">
        <is>
          <t>N/A</t>
        </is>
      </c>
    </row>
    <row r="192">
      <c r="A192" s="2" t="inlineStr">
        <is>
          <t>Few-Shot OD</t>
        </is>
      </c>
      <c r="B192" s="2" t="inlineStr">
        <is>
          <t>Benefit From Seen</t>
        </is>
      </c>
      <c r="C192" s="2" t="inlineStr">
        <is>
          <t>—</t>
        </is>
      </c>
      <c r="D192" s="2" t="inlineStr">
        <is>
          <t>ICCV 2025</t>
        </is>
      </c>
      <c r="E192" s="2" t="inlineStr">
        <is>
          <t>2025-10</t>
        </is>
      </c>
      <c r="F192" s="2" t="inlineStr">
        <is>
          <t>CVF Open Access 自動收錄；指標待人工驗證。Benefit From Seen: Enhancing Open-Vocabulary Object Detection by Bridging Visual and Textual Co-Occurrence Knowledge</t>
        </is>
      </c>
      <c r="G192" s="9" t="inlineStr">
        <is>
          <t>https://openaccess.thecvf.com/content/ICCV2025/html/Li_Benefit_From_Seen_Enhancing_Open-Vocabulary_Object_Detection_by_Bridging_Visual_ICCV_2025_paper.html</t>
        </is>
      </c>
      <c r="H192" s="9" t="inlineStr">
        <is>
          <t>N/A</t>
        </is>
      </c>
    </row>
    <row r="193">
      <c r="A193" s="2" t="inlineStr">
        <is>
          <t>General OD</t>
        </is>
      </c>
      <c r="B193" s="2" t="inlineStr">
        <is>
          <t>Automated Model Evaluation for Object Detection via Predicti</t>
        </is>
      </c>
      <c r="C193" s="2" t="inlineStr">
        <is>
          <t>—</t>
        </is>
      </c>
      <c r="D193" s="2" t="inlineStr">
        <is>
          <t>ICCV 2025</t>
        </is>
      </c>
      <c r="E193" s="2" t="inlineStr">
        <is>
          <t>2025-10</t>
        </is>
      </c>
      <c r="F193" s="2" t="inlineStr">
        <is>
          <t>CVF Open Access 自動收錄；指標待人工驗證。Automated Model Evaluation for Object Detection via Prediction Consistency and Reliability</t>
        </is>
      </c>
      <c r="G193" s="9" t="inlineStr">
        <is>
          <t>https://openaccess.thecvf.com/content/ICCV2025/html/Yoo_Automated_Model_Evaluation_for_Object_Detection_via_Prediction_Consistency_and_ICCV_2025_paper.html</t>
        </is>
      </c>
      <c r="H193" s="9" t="inlineStr">
        <is>
          <t>N/A</t>
        </is>
      </c>
    </row>
    <row r="194">
      <c r="A194" s="2" t="inlineStr">
        <is>
          <t>General OD</t>
        </is>
      </c>
      <c r="B194" s="2" t="inlineStr">
        <is>
          <t>Diffusion-based Source-biased Model for Single Domain Genera</t>
        </is>
      </c>
      <c r="C194" s="2" t="inlineStr">
        <is>
          <t>—</t>
        </is>
      </c>
      <c r="D194" s="2" t="inlineStr">
        <is>
          <t>ICCV 2025</t>
        </is>
      </c>
      <c r="E194" s="2" t="inlineStr">
        <is>
          <t>2025-10</t>
        </is>
      </c>
      <c r="F194" s="2" t="inlineStr">
        <is>
          <t>CVF Open Access 自動收錄；指標待人工驗證。Diffusion-based Source-biased Model for Single Domain Generalized Object Detection</t>
        </is>
      </c>
      <c r="G194" s="9" t="inlineStr">
        <is>
          <t>https://openaccess.thecvf.com/content/ICCV2025/html/Jiang_Diffusion-based_Source-biased_Model_for_Single_Domain_Generalized_Object_Detection_ICCV_2025_paper.html</t>
        </is>
      </c>
      <c r="H194" s="9" t="inlineStr">
        <is>
          <t>N/A</t>
        </is>
      </c>
    </row>
    <row r="195">
      <c r="A195" s="2" t="inlineStr">
        <is>
          <t>Few-Shot OD</t>
        </is>
      </c>
      <c r="B195" s="2" t="inlineStr">
        <is>
          <t>When Pixel Difference Patterns Meet ViT: PiDiViT for Few-Sho</t>
        </is>
      </c>
      <c r="C195" s="2" t="inlineStr">
        <is>
          <t>—</t>
        </is>
      </c>
      <c r="D195" s="2" t="inlineStr">
        <is>
          <t>ICCV 2025</t>
        </is>
      </c>
      <c r="E195" s="2" t="inlineStr">
        <is>
          <t>2025-10</t>
        </is>
      </c>
      <c r="F195" s="2" t="inlineStr">
        <is>
          <t>CVF Open Access 自動收錄；指標待人工驗證。When Pixel Difference Patterns Meet ViT: PiDiViT for Few-Shot Object Detection</t>
        </is>
      </c>
      <c r="G195" s="9" t="inlineStr">
        <is>
          <t>https://openaccess.thecvf.com/content/ICCV2025/html/Zhou_When_Pixel_Difference_Patterns_Meet_ViT_PiDiViT_for_Few-Shot_Object_ICCV_2025_paper.html</t>
        </is>
      </c>
      <c r="H195" s="9" t="inlineStr">
        <is>
          <t>N/A</t>
        </is>
      </c>
    </row>
    <row r="196">
      <c r="A196" s="2" t="inlineStr">
        <is>
          <t>General OD</t>
        </is>
      </c>
      <c r="B196" s="2" t="inlineStr">
        <is>
          <t>FreqPDE</t>
        </is>
      </c>
      <c r="C196" s="2" t="inlineStr">
        <is>
          <t>—</t>
        </is>
      </c>
      <c r="D196" s="2" t="inlineStr">
        <is>
          <t>ICCV 2025</t>
        </is>
      </c>
      <c r="E196" s="2" t="inlineStr">
        <is>
          <t>2025-10</t>
        </is>
      </c>
      <c r="F196" s="2" t="inlineStr">
        <is>
          <t>CVF Open Access 自動收錄；指標待人工驗證。FreqPDE: Rethinking Positional Depth Embedding for Multi-View 3D Object Detection Transformers</t>
        </is>
      </c>
      <c r="G196" s="9" t="inlineStr">
        <is>
          <t>https://openaccess.thecvf.com/content/ICCV2025/html/Su_FreqPDE_Rethinking_Positional_Depth_Embedding_for_Multi-View_3D_Object_Detection_ICCV_2025_paper.html</t>
        </is>
      </c>
      <c r="H196" s="9" t="inlineStr">
        <is>
          <t>N/A</t>
        </is>
      </c>
    </row>
    <row r="197">
      <c r="A197" s="2" t="inlineStr">
        <is>
          <t>General OD</t>
        </is>
      </c>
      <c r="B197" s="2" t="inlineStr">
        <is>
          <t>Height-Fidelity Dense Global Fusion for Multi-modal 3D Objec</t>
        </is>
      </c>
      <c r="C197" s="2" t="inlineStr">
        <is>
          <t>—</t>
        </is>
      </c>
      <c r="D197" s="2" t="inlineStr">
        <is>
          <t>ICCV 2025</t>
        </is>
      </c>
      <c r="E197" s="2" t="inlineStr">
        <is>
          <t>2025-10</t>
        </is>
      </c>
      <c r="F197" s="2" t="inlineStr">
        <is>
          <t>CVF Open Access 自動收錄；指標待人工驗證。Height-Fidelity Dense Global Fusion for Multi-modal 3D Object Detection</t>
        </is>
      </c>
      <c r="G197" s="9" t="inlineStr">
        <is>
          <t>https://openaccess.thecvf.com/content/ICCV2025/html/Wang_Height-Fidelity_Dense_Global_Fusion_for_Multi-modal_3D_Object_Detection_ICCV_2025_paper.html</t>
        </is>
      </c>
      <c r="H197" s="9" t="inlineStr">
        <is>
          <t>N/A</t>
        </is>
      </c>
    </row>
    <row r="198">
      <c r="A198" s="2" t="inlineStr">
        <is>
          <t>General OD</t>
        </is>
      </c>
      <c r="B198" s="2" t="inlineStr">
        <is>
          <t>Harnessing Uncertainty-aware Bounding Boxes for Unsupervised</t>
        </is>
      </c>
      <c r="C198" s="2" t="inlineStr">
        <is>
          <t>—</t>
        </is>
      </c>
      <c r="D198" s="2" t="inlineStr">
        <is>
          <t>ICCV 2025</t>
        </is>
      </c>
      <c r="E198" s="2" t="inlineStr">
        <is>
          <t>2025-10</t>
        </is>
      </c>
      <c r="F198" s="2" t="inlineStr">
        <is>
          <t>CVF Open Access 自動收錄；指標待人工驗證。Harnessing Uncertainty-aware Bounding Boxes for Unsupervised 3D Object Detection</t>
        </is>
      </c>
      <c r="G198" s="9" t="inlineStr">
        <is>
          <t>https://openaccess.thecvf.com/content/ICCV2025/html/Zhang_Harnessing_Uncertainty-aware_Bounding_Boxes_for_Unsupervised_3D_Object_Detection_ICCV_2025_paper.html</t>
        </is>
      </c>
      <c r="H198" s="9" t="inlineStr">
        <is>
          <t>N/A</t>
        </is>
      </c>
    </row>
    <row r="199">
      <c r="A199" s="2" t="inlineStr">
        <is>
          <t>General OD</t>
        </is>
      </c>
      <c r="B199" s="2" t="inlineStr">
        <is>
          <t>DiffRefine</t>
        </is>
      </c>
      <c r="C199" s="2" t="inlineStr">
        <is>
          <t>—</t>
        </is>
      </c>
      <c r="D199" s="2" t="inlineStr">
        <is>
          <t>ICCV 2025</t>
        </is>
      </c>
      <c r="E199" s="2" t="inlineStr">
        <is>
          <t>2025-10</t>
        </is>
      </c>
      <c r="F199" s="2" t="inlineStr">
        <is>
          <t>CVF Open Access 自動收錄；指標待人工驗證。DiffRefine: Diffusion-based Proposal Specific Point Cloud Densification for Cross-Domain Object Detection</t>
        </is>
      </c>
      <c r="G199" s="9" t="inlineStr">
        <is>
          <t>https://openaccess.thecvf.com/content/ICCV2025/html/Shin_DiffRefine_Diffusion-based_Proposal_Specific_Point_Cloud_Densification_for_Cross-Domain_Object_ICCV_2025_paper.html</t>
        </is>
      </c>
      <c r="H199" s="9" t="inlineStr">
        <is>
          <t>N/A</t>
        </is>
      </c>
    </row>
    <row r="200">
      <c r="A200" s="2" t="inlineStr">
        <is>
          <t>General OD</t>
        </is>
      </c>
      <c r="B200" s="2" t="inlineStr">
        <is>
          <t>Visual Textualization for Image Prompted Object Detection</t>
        </is>
      </c>
      <c r="C200" s="2" t="inlineStr">
        <is>
          <t>—</t>
        </is>
      </c>
      <c r="D200" s="2" t="inlineStr">
        <is>
          <t>ICCV 2025</t>
        </is>
      </c>
      <c r="E200" s="2" t="inlineStr">
        <is>
          <t>2025-10</t>
        </is>
      </c>
      <c r="F200" s="2" t="inlineStr">
        <is>
          <t>CVF Open Access 自動收錄；指標待人工驗證。Visual Textualization for Image Prompted Object Detection</t>
        </is>
      </c>
      <c r="G200" s="9" t="inlineStr">
        <is>
          <t>https://openaccess.thecvf.com/content/ICCV2025/html/Wu_Visual_Textualization_for_Image_Prompted_Object_Detection_ICCV_2025_paper.html</t>
        </is>
      </c>
      <c r="H200" s="9" t="inlineStr">
        <is>
          <t>N/A</t>
        </is>
      </c>
    </row>
    <row r="201">
      <c r="A201" s="2" t="inlineStr">
        <is>
          <t>General OD</t>
        </is>
      </c>
      <c r="B201" s="2" t="inlineStr">
        <is>
          <t>VISO</t>
        </is>
      </c>
      <c r="C201" s="2" t="inlineStr">
        <is>
          <t>—</t>
        </is>
      </c>
      <c r="D201" s="2" t="inlineStr">
        <is>
          <t>ICCV 2025</t>
        </is>
      </c>
      <c r="E201" s="2" t="inlineStr">
        <is>
          <t>2025-10</t>
        </is>
      </c>
      <c r="F201" s="2" t="inlineStr">
        <is>
          <t>CVF Open Access 自動收錄；指標待人工驗證。VISO: Accelerating In-orbit Object Detection with Language-Guided Mask Learning and Sparse Inference</t>
        </is>
      </c>
      <c r="G201" s="9" t="inlineStr">
        <is>
          <t>https://openaccess.thecvf.com/content/ICCV2025/html/Wang_VISO_Accelerating_In-orbit_Object_Detection_with_Language-Guided_Mask_Learning_and_ICCV_2025_paper.html</t>
        </is>
      </c>
      <c r="H201" s="9" t="inlineStr">
        <is>
          <t>N/A</t>
        </is>
      </c>
    </row>
    <row r="202">
      <c r="A202" s="2" t="inlineStr">
        <is>
          <t>General OD</t>
        </is>
      </c>
      <c r="B202" s="2" t="inlineStr">
        <is>
          <t>Power of Cooperative Supervision</t>
        </is>
      </c>
      <c r="C202" s="2" t="inlineStr">
        <is>
          <t>—</t>
        </is>
      </c>
      <c r="D202" s="2" t="inlineStr">
        <is>
          <t>ICCV 2025</t>
        </is>
      </c>
      <c r="E202" s="2" t="inlineStr">
        <is>
          <t>2025-10</t>
        </is>
      </c>
      <c r="F202" s="2" t="inlineStr">
        <is>
          <t>CVF Open Access 自動收錄；指標待人工驗證。Power of Cooperative Supervision: Multiple Teachers Framework for Advanced 3D Semi-Supervised Object Detection</t>
        </is>
      </c>
      <c r="G202" s="9" t="inlineStr">
        <is>
          <t>https://openaccess.thecvf.com/content/ICCV2025/html/Lee_Power_of_Cooperative_Supervision_Multiple_Teachers_Framework_for_Advanced_3D_ICCV_2025_paper.html</t>
        </is>
      </c>
      <c r="H202" s="9" t="inlineStr">
        <is>
          <t>N/A</t>
        </is>
      </c>
    </row>
    <row r="203">
      <c r="A203" s="2" t="inlineStr">
        <is>
          <t>General OD</t>
        </is>
      </c>
      <c r="B203" s="2" t="inlineStr">
        <is>
          <t>3D-MOOD</t>
        </is>
      </c>
      <c r="C203" s="2" t="inlineStr">
        <is>
          <t>—</t>
        </is>
      </c>
      <c r="D203" s="2" t="inlineStr">
        <is>
          <t>ICCV 2025</t>
        </is>
      </c>
      <c r="E203" s="2" t="inlineStr">
        <is>
          <t>2025-10</t>
        </is>
      </c>
      <c r="F203" s="2" t="inlineStr">
        <is>
          <t>CVF Open Access 自動收錄；指標待人工驗證。3D-MOOD: Lifting 2D to 3D for Monocular Open-Set Object Detection</t>
        </is>
      </c>
      <c r="G203" s="9" t="inlineStr">
        <is>
          <t>https://openaccess.thecvf.com/content/ICCV2025/html/Yang_3D-MOOD_Lifting_2D_to_3D_for_Monocular_Open-Set_Object_Detection_ICCV_2025_paper.html</t>
        </is>
      </c>
      <c r="H203" s="9" t="inlineStr">
        <is>
          <t>N/A</t>
        </is>
      </c>
    </row>
    <row r="204">
      <c r="A204" s="2" t="inlineStr">
        <is>
          <t>General OD</t>
        </is>
      </c>
      <c r="B204" s="2" t="inlineStr">
        <is>
          <t>OpenM3D</t>
        </is>
      </c>
      <c r="C204" s="2" t="inlineStr">
        <is>
          <t>—</t>
        </is>
      </c>
      <c r="D204" s="2" t="inlineStr">
        <is>
          <t>ICCV 2025</t>
        </is>
      </c>
      <c r="E204" s="2" t="inlineStr">
        <is>
          <t>2025-10</t>
        </is>
      </c>
      <c r="F204" s="2" t="inlineStr">
        <is>
          <t>CVF Open Access 自動收錄；指標待人工驗證。OpenM3D: Open Vocabulary Multi-view Indoor 3D Object Detection without Human Annotations</t>
        </is>
      </c>
      <c r="G204" s="9" t="inlineStr">
        <is>
          <t>https://openaccess.thecvf.com/content/ICCV2025/html/Hsu_OpenM3D_Open_Vocabulary_Multi-view_Indoor_3D_Object_Detection_without_Human_ICCV_2025_paper.html</t>
        </is>
      </c>
      <c r="H204" s="9" t="inlineStr">
        <is>
          <t>N/A</t>
        </is>
      </c>
    </row>
    <row r="205">
      <c r="A205" s="2" t="inlineStr">
        <is>
          <t>General OD</t>
        </is>
      </c>
      <c r="B205" s="2" t="inlineStr">
        <is>
          <t>Beyond RGB</t>
        </is>
      </c>
      <c r="C205" s="2" t="inlineStr">
        <is>
          <t>—</t>
        </is>
      </c>
      <c r="D205" s="2" t="inlineStr">
        <is>
          <t>ICCV 2025</t>
        </is>
      </c>
      <c r="E205" s="2" t="inlineStr">
        <is>
          <t>2025-10</t>
        </is>
      </c>
      <c r="F205" s="2" t="inlineStr">
        <is>
          <t>CVF Open Access 自動收錄；指標待人工驗證。Beyond RGB: Adaptive Parallel Processing for RAW Object Detection</t>
        </is>
      </c>
      <c r="G205" s="9" t="inlineStr">
        <is>
          <t>https://openaccess.thecvf.com/content/ICCV2025/html/Gamrian_Beyond_RGB_Adaptive_Parallel_Processing_for_RAW_Object_Detection_ICCV_2025_paper.html</t>
        </is>
      </c>
      <c r="H205" s="9" t="inlineStr">
        <is>
          <t>N/A</t>
        </is>
      </c>
    </row>
    <row r="206">
      <c r="A206" s="2" t="inlineStr">
        <is>
          <t>General OD</t>
        </is>
      </c>
      <c r="B206" s="2" t="inlineStr">
        <is>
          <t>Task-Specific Zero-shot Quantization-Aware Training for Obje</t>
        </is>
      </c>
      <c r="C206" s="2" t="inlineStr">
        <is>
          <t>—</t>
        </is>
      </c>
      <c r="D206" s="2" t="inlineStr">
        <is>
          <t>ICCV 2025</t>
        </is>
      </c>
      <c r="E206" s="2" t="inlineStr">
        <is>
          <t>2025-10</t>
        </is>
      </c>
      <c r="F206" s="2" t="inlineStr">
        <is>
          <t>CVF Open Access 自動收錄；指標待人工驗證。Task-Specific Zero-shot Quantization-Aware Training for Object Detection</t>
        </is>
      </c>
      <c r="G206" s="9" t="inlineStr">
        <is>
          <t>https://openaccess.thecvf.com/content/ICCV2025/html/Li_Task-Specific_Zero-shot_Quantization-Aware_Training_for_Object_Detection_ICCV_2025_paper.html</t>
        </is>
      </c>
      <c r="H206" s="9" t="inlineStr">
        <is>
          <t>N/A</t>
        </is>
      </c>
    </row>
    <row r="207">
      <c r="A207" s="2" t="inlineStr">
        <is>
          <t>General OD</t>
        </is>
      </c>
      <c r="B207" s="2" t="inlineStr">
        <is>
          <t>Dark-ISP</t>
        </is>
      </c>
      <c r="C207" s="2" t="inlineStr">
        <is>
          <t>—</t>
        </is>
      </c>
      <c r="D207" s="2" t="inlineStr">
        <is>
          <t>ICCV 2025</t>
        </is>
      </c>
      <c r="E207" s="2" t="inlineStr">
        <is>
          <t>2025-10</t>
        </is>
      </c>
      <c r="F207" s="2" t="inlineStr">
        <is>
          <t>CVF Open Access 自動收錄；指標待人工驗證。Dark-ISP: Enhancing RAW Image Processing for Low-Light Object Detection</t>
        </is>
      </c>
      <c r="G207" s="9" t="inlineStr">
        <is>
          <t>https://openaccess.thecvf.com/content/ICCV2025/html/Guo_Dark-ISP_Enhancing_RAW_Image_Processing_for_Low-Light_Object_Detection_ICCV_2025_paper.html</t>
        </is>
      </c>
      <c r="H207" s="9" t="inlineStr">
        <is>
          <t>N/A</t>
        </is>
      </c>
    </row>
    <row r="208">
      <c r="A208" s="2" t="inlineStr">
        <is>
          <t>General OD</t>
        </is>
      </c>
      <c r="B208" s="2" t="inlineStr">
        <is>
          <t>WaveMamba</t>
        </is>
      </c>
      <c r="C208" s="2" t="inlineStr">
        <is>
          <t>—</t>
        </is>
      </c>
      <c r="D208" s="2" t="inlineStr">
        <is>
          <t>ICCV 2025</t>
        </is>
      </c>
      <c r="E208" s="2" t="inlineStr">
        <is>
          <t>2025-10</t>
        </is>
      </c>
      <c r="F208" s="2" t="inlineStr">
        <is>
          <t>CVF Open Access 自動收錄；指標待人工驗證。WaveMamba: Wavelet-Driven Mamba Fusion for RGB-Infrared Object Detection</t>
        </is>
      </c>
      <c r="G208" s="9" t="inlineStr">
        <is>
          <t>https://openaccess.thecvf.com/content/ICCV2025/html/Zhu_WaveMamba_Wavelet-Driven_Mamba_Fusion_for_RGB-Infrared_Object_Detection_ICCV_2025_paper.html</t>
        </is>
      </c>
      <c r="H208" s="9" t="inlineStr">
        <is>
          <t>N/A</t>
        </is>
      </c>
    </row>
    <row r="209">
      <c r="A209" s="2" t="inlineStr">
        <is>
          <t>General OD</t>
        </is>
      </c>
      <c r="B209" s="2" t="inlineStr">
        <is>
          <t>Improving SAM for Camouflaged Object Detection via Dual Stre</t>
        </is>
      </c>
      <c r="C209" s="2" t="inlineStr">
        <is>
          <t>—</t>
        </is>
      </c>
      <c r="D209" s="2" t="inlineStr">
        <is>
          <t>ICCV 2025</t>
        </is>
      </c>
      <c r="E209" s="2" t="inlineStr">
        <is>
          <t>2025-10</t>
        </is>
      </c>
      <c r="F209" s="2" t="inlineStr">
        <is>
          <t>CVF Open Access 自動收錄；指標待人工驗證。Improving SAM for Camouflaged Object Detection via Dual Stream Adapters</t>
        </is>
      </c>
      <c r="G209" s="9" t="inlineStr">
        <is>
          <t>https://openaccess.thecvf.com/content/ICCV2025/html/Liu_Improving_SAM_for_Camouflaged_Object_Detection_via_Dual_Stream_Adapters_ICCV_2025_paper.html</t>
        </is>
      </c>
      <c r="H209" s="9" t="inlineStr">
        <is>
          <t>N/A</t>
        </is>
      </c>
    </row>
    <row r="210">
      <c r="A210" s="2" t="inlineStr">
        <is>
          <t>General OD</t>
        </is>
      </c>
      <c r="B210" s="2" t="inlineStr">
        <is>
          <t>ForeSight</t>
        </is>
      </c>
      <c r="C210" s="2" t="inlineStr">
        <is>
          <t>—</t>
        </is>
      </c>
      <c r="D210" s="2" t="inlineStr">
        <is>
          <t>ICCV 2025</t>
        </is>
      </c>
      <c r="E210" s="2" t="inlineStr">
        <is>
          <t>2025-10</t>
        </is>
      </c>
      <c r="F210" s="2" t="inlineStr">
        <is>
          <t>CVF Open Access 自動收錄；指標待人工驗證。ForeSight: Multi-View Streaming Joint Object Detection and Trajectory Forecasting</t>
        </is>
      </c>
      <c r="G210" s="9" t="inlineStr">
        <is>
          <t>https://openaccess.thecvf.com/content/ICCV2025/html/Papais_ForeSight_Multi-View_Streaming_Joint_Object_Detection_and_Trajectory_Forecasting_ICCV_2025_paper.html</t>
        </is>
      </c>
      <c r="H210" s="9" t="inlineStr">
        <is>
          <t>N/A</t>
        </is>
      </c>
    </row>
    <row r="211">
      <c r="A211" s="2" t="inlineStr">
        <is>
          <t>Few-Shot OD</t>
        </is>
      </c>
      <c r="B211" s="2" t="inlineStr">
        <is>
          <t>Dynamic-DINO</t>
        </is>
      </c>
      <c r="C211" s="2" t="inlineStr">
        <is>
          <t>—</t>
        </is>
      </c>
      <c r="D211" s="2" t="inlineStr">
        <is>
          <t>ICCV 2025</t>
        </is>
      </c>
      <c r="E211" s="2" t="inlineStr">
        <is>
          <t>2025-10</t>
        </is>
      </c>
      <c r="F211" s="2" t="inlineStr">
        <is>
          <t>CVF Open Access 自動收錄；指標待人工驗證。Dynamic-DINO: Fine-Grained Mixture of Experts Tuning for Real-time Open-Vocabulary Object Detection</t>
        </is>
      </c>
      <c r="G211" s="9" t="inlineStr">
        <is>
          <t>https://openaccess.thecvf.com/content/ICCV2025/html/Lu_Dynamic-DINO_Fine-Grained_Mixture_of_Experts_Tuning_for_Real-time_Open-Vocabulary_Object_ICCV_2025_paper.html</t>
        </is>
      </c>
      <c r="H211" s="9" t="inlineStr">
        <is>
          <t>N/A</t>
        </is>
      </c>
    </row>
    <row r="212">
      <c r="A212" s="2" t="inlineStr">
        <is>
          <t>General OD</t>
        </is>
      </c>
      <c r="B212" s="2" t="inlineStr">
        <is>
          <t>Perspective-Invariant 3D Object Detection</t>
        </is>
      </c>
      <c r="C212" s="2" t="inlineStr">
        <is>
          <t>—</t>
        </is>
      </c>
      <c r="D212" s="2" t="inlineStr">
        <is>
          <t>ICCV 2025</t>
        </is>
      </c>
      <c r="E212" s="2" t="inlineStr">
        <is>
          <t>2025-10</t>
        </is>
      </c>
      <c r="F212" s="2" t="inlineStr">
        <is>
          <t>CVF Open Access 自動收錄；指標待人工驗證。Perspective-Invariant 3D Object Detection</t>
        </is>
      </c>
      <c r="G212" s="9" t="inlineStr">
        <is>
          <t>https://openaccess.thecvf.com/content/ICCV2025/html/Liang_Perspective-Invariant_3D_Object_Detection_ICCV_2025_paper.html</t>
        </is>
      </c>
      <c r="H212" s="9" t="inlineStr">
        <is>
          <t>N/A</t>
        </is>
      </c>
    </row>
    <row r="213">
      <c r="A213" s="2" t="inlineStr">
        <is>
          <t>Real-Time OD</t>
        </is>
      </c>
      <c r="B213" s="2" t="inlineStr">
        <is>
          <t>YOLOE</t>
        </is>
      </c>
      <c r="C213" s="2" t="inlineStr">
        <is>
          <t>—</t>
        </is>
      </c>
      <c r="D213" s="2" t="inlineStr">
        <is>
          <t>ICCV 2025</t>
        </is>
      </c>
      <c r="E213" s="2" t="inlineStr">
        <is>
          <t>2025-10</t>
        </is>
      </c>
      <c r="F213" s="2" t="inlineStr">
        <is>
          <t>CVF Open Access 自動收錄；指標待人工驗證。YOLOE: Real-Time Seeing Anything</t>
        </is>
      </c>
      <c r="G213" s="9" t="inlineStr">
        <is>
          <t>https://openaccess.thecvf.com/content/ICCV2025/html/Wang_YOLOE_Real-Time_Seeing_Anything_ICCV_2025_paper.html</t>
        </is>
      </c>
      <c r="H213" s="9" t="inlineStr">
        <is>
          <t>N/A</t>
        </is>
      </c>
    </row>
    <row r="214">
      <c r="A214" s="2" t="inlineStr">
        <is>
          <t>General OD</t>
        </is>
      </c>
      <c r="B214" s="2" t="inlineStr">
        <is>
          <t>Continual Adaptation</t>
        </is>
      </c>
      <c r="C214" s="2" t="inlineStr">
        <is>
          <t>—</t>
        </is>
      </c>
      <c r="D214" s="2" t="inlineStr">
        <is>
          <t>ICCV 2025</t>
        </is>
      </c>
      <c r="E214" s="2" t="inlineStr">
        <is>
          <t>2025-10</t>
        </is>
      </c>
      <c r="F214" s="2" t="inlineStr">
        <is>
          <t>CVF Open Access 自動收錄；指標待人工驗證。Continual Adaptation: Environment-Conditional Parameter Generation for Object Detection in Dynamic Scenarios</t>
        </is>
      </c>
      <c r="G214" s="9" t="inlineStr">
        <is>
          <t>https://openaccess.thecvf.com/content/ICCV2025/html/Li_Continual_Adaptation_Environment-Conditional_Parameter_Generation_for_Object_Detection_in_Dynamic_ICCV_2025_paper.html</t>
        </is>
      </c>
      <c r="H214" s="9" t="inlineStr">
        <is>
          <t>N/A</t>
        </is>
      </c>
    </row>
    <row r="215">
      <c r="A215" s="2" t="inlineStr">
        <is>
          <t>General OD</t>
        </is>
      </c>
      <c r="B215" s="2" t="inlineStr">
        <is>
          <t>OW-Rep</t>
        </is>
      </c>
      <c r="C215" s="2" t="inlineStr">
        <is>
          <t>—</t>
        </is>
      </c>
      <c r="D215" s="2" t="inlineStr">
        <is>
          <t>WACV 2026</t>
        </is>
      </c>
      <c r="E215" s="2" t="inlineStr">
        <is>
          <t>2025-01</t>
        </is>
      </c>
      <c r="F215" s="2" t="inlineStr">
        <is>
          <t>CVF Open Access 自動收錄；指標待人工驗證。OW-Rep: Open World Object Detection with Instance Representation Learning</t>
        </is>
      </c>
      <c r="G215" s="9" t="inlineStr">
        <is>
          <t>https://openaccess.thecvf.com/content/WACV2026/html/Lee_OW-Rep_Open_World_Object_Detection_with_Instance_Representation_Learning_WACV_2026_paper.html</t>
        </is>
      </c>
      <c r="H215" s="9" t="inlineStr">
        <is>
          <t>N/A</t>
        </is>
      </c>
    </row>
    <row r="216">
      <c r="A216" s="2" t="inlineStr">
        <is>
          <t>General OD</t>
        </is>
      </c>
      <c r="B216" s="2" t="inlineStr">
        <is>
          <t>MUSE</t>
        </is>
      </c>
      <c r="C216" s="2" t="inlineStr">
        <is>
          <t>—</t>
        </is>
      </c>
      <c r="D216" s="2" t="inlineStr">
        <is>
          <t>WACV 2026</t>
        </is>
      </c>
      <c r="E216" s="2" t="inlineStr">
        <is>
          <t>2025-01</t>
        </is>
      </c>
      <c r="F216" s="2" t="inlineStr">
        <is>
          <t>CVF Open Access 自動收錄；指標待人工驗證。MUSE: Model-based Uncertainty-aware Similarity Estimation for zero-shot 2D Object Detection and Segmentation</t>
        </is>
      </c>
      <c r="G216" s="9" t="inlineStr">
        <is>
          <t>https://openaccess.thecvf.com/content/WACV2026/html/Cho_MUSE_Model-based_Uncertainty-aware_Similarity_Estimation_for_zero-shot_2D_Object_Detection_WACV_2026_paper.html</t>
        </is>
      </c>
      <c r="H216" s="9" t="inlineStr">
        <is>
          <t>N/A</t>
        </is>
      </c>
    </row>
    <row r="217">
      <c r="A217" s="2" t="inlineStr">
        <is>
          <t>General OD</t>
        </is>
      </c>
      <c r="B217" s="2" t="inlineStr">
        <is>
          <t>Modeling and Learning Multiple Hypotheses for Monocular 3D O</t>
        </is>
      </c>
      <c r="C217" s="2" t="inlineStr">
        <is>
          <t>—</t>
        </is>
      </c>
      <c r="D217" s="2" t="inlineStr">
        <is>
          <t>WACV 2026</t>
        </is>
      </c>
      <c r="E217" s="2" t="inlineStr">
        <is>
          <t>2025-01</t>
        </is>
      </c>
      <c r="F217" s="2" t="inlineStr">
        <is>
          <t>CVF Open Access 自動收錄；指標待人工驗證。Modeling and Learning Multiple Hypotheses for Monocular 3D Object Detection</t>
        </is>
      </c>
      <c r="G217" s="9" t="inlineStr">
        <is>
          <t>https://openaccess.thecvf.com/content/WACV2026/html/Park_Modeling_and_Learning_Multiple_Hypotheses_for_Monocular_3D_Object_Detection_WACV_2026_paper.html</t>
        </is>
      </c>
      <c r="H217" s="9" t="inlineStr">
        <is>
          <t>N/A</t>
        </is>
      </c>
    </row>
    <row r="218">
      <c r="A218" s="2" t="inlineStr">
        <is>
          <t>General OD</t>
        </is>
      </c>
      <c r="B218" s="2" t="inlineStr">
        <is>
          <t>SeaClips</t>
        </is>
      </c>
      <c r="C218" s="2" t="inlineStr">
        <is>
          <t>—</t>
        </is>
      </c>
      <c r="D218" s="2" t="inlineStr">
        <is>
          <t>WACV 2026</t>
        </is>
      </c>
      <c r="E218" s="2" t="inlineStr">
        <is>
          <t>2025-01</t>
        </is>
      </c>
      <c r="F218" s="2" t="inlineStr">
        <is>
          <t>CVF Open Access 自動收錄；指標待人工驗證。SeaClips: A Video Dataset for Maritime Object Detection.</t>
        </is>
      </c>
      <c r="G218" s="9" t="inlineStr">
        <is>
          <t>https://openaccess.thecvf.com/content/WACV2026/html/Denk_SeaClips_A_Video_Dataset_for_Maritime_Object_Detection._WACV_2026_paper.html</t>
        </is>
      </c>
      <c r="H218" s="9" t="inlineStr">
        <is>
          <t>N/A</t>
        </is>
      </c>
    </row>
    <row r="219">
      <c r="A219" s="2" t="inlineStr">
        <is>
          <t>General OD</t>
        </is>
      </c>
      <c r="B219" s="2" t="inlineStr">
        <is>
          <t>Enhancing Object Detection Training via Joint Image-Annotati</t>
        </is>
      </c>
      <c r="C219" s="2" t="inlineStr">
        <is>
          <t>—</t>
        </is>
      </c>
      <c r="D219" s="2" t="inlineStr">
        <is>
          <t>WACV 2026</t>
        </is>
      </c>
      <c r="E219" s="2" t="inlineStr">
        <is>
          <t>2025-01</t>
        </is>
      </c>
      <c r="F219" s="2" t="inlineStr">
        <is>
          <t>CVF Open Access 自動收錄；指標待人工驗證。Enhancing Object Detection Training via Joint Image-Annotation Generation</t>
        </is>
      </c>
      <c r="G219" s="9" t="inlineStr">
        <is>
          <t>https://openaccess.thecvf.com/content/WACV2026/html/Uziel_Enhancing_Object_Detection_Training_via_Joint_Image-Annotation_Generation_WACV_2026_paper.html</t>
        </is>
      </c>
      <c r="H219" s="9" t="inlineStr">
        <is>
          <t>N/A</t>
        </is>
      </c>
    </row>
    <row r="220">
      <c r="A220" s="2" t="inlineStr">
        <is>
          <t>General OD</t>
        </is>
      </c>
      <c r="B220" s="2" t="inlineStr">
        <is>
          <t>SSMRadNet</t>
        </is>
      </c>
      <c r="C220" s="2" t="inlineStr">
        <is>
          <t>—</t>
        </is>
      </c>
      <c r="D220" s="2" t="inlineStr">
        <is>
          <t>WACV 2026</t>
        </is>
      </c>
      <c r="E220" s="2" t="inlineStr">
        <is>
          <t>2025-01</t>
        </is>
      </c>
      <c r="F220" s="2" t="inlineStr">
        <is>
          <t>CVF Open Access 自動收錄；指標待人工驗證。SSMRadNet : A Sample-wise State-Space Framework for Efficient and Ultra-Light Radar Segmentation and Object Detection</t>
        </is>
      </c>
      <c r="G220" s="9" t="inlineStr">
        <is>
          <t>https://openaccess.thecvf.com/content/WACV2026/html/Sen_SSMRadNet__A_Sample-wise_State-Space_Framework_for_Efficient_and_Ultra-Light_WACV_2026_paper.html</t>
        </is>
      </c>
      <c r="H220" s="9" t="inlineStr">
        <is>
          <t>N/A</t>
        </is>
      </c>
    </row>
    <row r="221">
      <c r="A221" s="2" t="inlineStr">
        <is>
          <t>General OD</t>
        </is>
      </c>
      <c r="B221" s="2" t="inlineStr">
        <is>
          <t>High-Level Semantics and Low-Level Features Fusion for Multi</t>
        </is>
      </c>
      <c r="C221" s="2" t="inlineStr">
        <is>
          <t>—</t>
        </is>
      </c>
      <c r="D221" s="2" t="inlineStr">
        <is>
          <t>WACV 2026</t>
        </is>
      </c>
      <c r="E221" s="2" t="inlineStr">
        <is>
          <t>2025-01</t>
        </is>
      </c>
      <c r="F221" s="2" t="inlineStr">
        <is>
          <t>CVF Open Access 自動收錄；指標待人工驗證。High-Level Semantics and Low-Level Features Fusion for Multi-Scale Object Detection in Dynamic Construction Environments</t>
        </is>
      </c>
      <c r="G221" s="9" t="inlineStr">
        <is>
          <t>https://openaccess.thecvf.com/content/WACV2026/html/Bonyani_High-Level_Semantics_and_Low-Level_Features_Fusion_for_Multi-Scale_Object_Detection_WACV_2026_paper.html</t>
        </is>
      </c>
      <c r="H221" s="9" t="inlineStr">
        <is>
          <t>N/A</t>
        </is>
      </c>
    </row>
    <row r="222">
      <c r="A222" s="2" t="inlineStr">
        <is>
          <t>General OD</t>
        </is>
      </c>
      <c r="B222" s="2" t="inlineStr">
        <is>
          <t>MVAT</t>
        </is>
      </c>
      <c r="C222" s="2" t="inlineStr">
        <is>
          <t>—</t>
        </is>
      </c>
      <c r="D222" s="2" t="inlineStr">
        <is>
          <t>WACV 2026</t>
        </is>
      </c>
      <c r="E222" s="2" t="inlineStr">
        <is>
          <t>2025-01</t>
        </is>
      </c>
      <c r="F222" s="2" t="inlineStr">
        <is>
          <t>CVF Open Access 自動收錄；指標待人工驗證。MVAT: Multi-View Aware Teacher for Weakly Supervised 3D Object Detection</t>
        </is>
      </c>
      <c r="G222" s="9" t="inlineStr">
        <is>
          <t>https://openaccess.thecvf.com/content/WACV2026/html/Lahlali_MVAT_Multi-View_Aware_Teacher_for_Weakly_Supervised_3D_Object_Detection_WACV_2026_paper.html</t>
        </is>
      </c>
      <c r="H222" s="9" t="inlineStr">
        <is>
          <t>N/A</t>
        </is>
      </c>
    </row>
    <row r="223">
      <c r="A223" s="2" t="inlineStr">
        <is>
          <t>General OD</t>
        </is>
      </c>
      <c r="B223" s="2" t="inlineStr">
        <is>
          <t>CLoCKDistill</t>
        </is>
      </c>
      <c r="C223" s="2" t="inlineStr">
        <is>
          <t>—</t>
        </is>
      </c>
      <c r="D223" s="2" t="inlineStr">
        <is>
          <t>WACV 2026</t>
        </is>
      </c>
      <c r="E223" s="2" t="inlineStr">
        <is>
          <t>2025-01</t>
        </is>
      </c>
      <c r="F223" s="2" t="inlineStr">
        <is>
          <t>CVF Open Access 自動收錄；指標待人工驗證。CLoCKDistill: Consistent Location and Context aware Knowledge Distillation for DETRs</t>
        </is>
      </c>
      <c r="G223" s="9" t="inlineStr">
        <is>
          <t>https://openaccess.thecvf.com/content/WACV2026/html/Lan_CLoCKDistill_Consistent_Location_and_Context_aware_Knowledge_Distillation_for_DETRs_WACV_2026_paper.html</t>
        </is>
      </c>
      <c r="H223" s="9" t="inlineStr">
        <is>
          <t>N/A</t>
        </is>
      </c>
    </row>
    <row r="224">
      <c r="A224" s="2" t="inlineStr">
        <is>
          <t>General OD</t>
        </is>
      </c>
      <c r="B224" s="2" t="inlineStr">
        <is>
          <t>DMAT</t>
        </is>
      </c>
      <c r="C224" s="2" t="inlineStr">
        <is>
          <t>—</t>
        </is>
      </c>
      <c r="D224" s="2" t="inlineStr">
        <is>
          <t>WACV 2026</t>
        </is>
      </c>
      <c r="E224" s="2" t="inlineStr">
        <is>
          <t>2025-01</t>
        </is>
      </c>
      <c r="F224" s="2" t="inlineStr">
        <is>
          <t>CVF Open Access 自動收錄；指標待人工驗證。DMAT: An End-to-End Framework for Joint Atmospheric Turbulence Mitigation and Object Detection</t>
        </is>
      </c>
      <c r="G224" s="9" t="inlineStr">
        <is>
          <t>https://openaccess.thecvf.com/content/WACV2026/html/Hill_DMAT_An_End-to-End_Framework_for_Joint_Atmospheric_Turbulence_Mitigation_and_WACV_2026_paper.html</t>
        </is>
      </c>
      <c r="H224" s="9" t="inlineStr">
        <is>
          <t>N/A</t>
        </is>
      </c>
    </row>
    <row r="225">
      <c r="A225" s="2" t="inlineStr">
        <is>
          <t>General OD</t>
        </is>
      </c>
      <c r="B225" s="2" t="inlineStr">
        <is>
          <t>SFMNet</t>
        </is>
      </c>
      <c r="C225" s="2" t="inlineStr">
        <is>
          <t>—</t>
        </is>
      </c>
      <c r="D225" s="2" t="inlineStr">
        <is>
          <t>WACV 2026</t>
        </is>
      </c>
      <c r="E225" s="2" t="inlineStr">
        <is>
          <t>2025-01</t>
        </is>
      </c>
      <c r="F225" s="2" t="inlineStr">
        <is>
          <t>CVF Open Access 自動收錄；指標待人工驗證。SFMNet: Sparse Focal Modulation for 3D Object Detection</t>
        </is>
      </c>
      <c r="G225" s="9" t="inlineStr">
        <is>
          <t>https://openaccess.thecvf.com/content/WACV2026/html/Shrout_SFMNet_Sparse_Focal_Modulation_for_3D_Object_Detection_WACV_2026_paper.html</t>
        </is>
      </c>
      <c r="H225" s="9" t="inlineStr">
        <is>
          <t>N/A</t>
        </is>
      </c>
    </row>
    <row r="226">
      <c r="A226" s="2" t="inlineStr">
        <is>
          <t>General OD</t>
        </is>
      </c>
      <c r="B226" s="2" t="inlineStr">
        <is>
          <t>Graph Query Networks for Object Detection with Automotive Ra</t>
        </is>
      </c>
      <c r="C226" s="2" t="inlineStr">
        <is>
          <t>—</t>
        </is>
      </c>
      <c r="D226" s="2" t="inlineStr">
        <is>
          <t>WACV 2026</t>
        </is>
      </c>
      <c r="E226" s="2" t="inlineStr">
        <is>
          <t>2025-01</t>
        </is>
      </c>
      <c r="F226" s="2" t="inlineStr">
        <is>
          <t>CVF Open Access 自動收錄；指標待人工驗證。Graph Query Networks for Object Detection with Automotive Radar</t>
        </is>
      </c>
      <c r="G226" s="9" t="inlineStr">
        <is>
          <t>https://openaccess.thecvf.com/content/WACV2026/html/Saini_Graph_Query_Networks_for_Object_Detection_with_Automotive_Radar_WACV_2026_paper.html</t>
        </is>
      </c>
      <c r="H226" s="9" t="inlineStr">
        <is>
          <t>N/A</t>
        </is>
      </c>
    </row>
    <row r="227">
      <c r="A227" s="2" t="inlineStr">
        <is>
          <t>General OD</t>
        </is>
      </c>
      <c r="B227" s="2" t="inlineStr">
        <is>
          <t>Event-based Graph Representation with Spatial and Motion Vec</t>
        </is>
      </c>
      <c r="C227" s="2" t="inlineStr">
        <is>
          <t>—</t>
        </is>
      </c>
      <c r="D227" s="2" t="inlineStr">
        <is>
          <t>WACV 2026</t>
        </is>
      </c>
      <c r="E227" s="2" t="inlineStr">
        <is>
          <t>2025-01</t>
        </is>
      </c>
      <c r="F227" s="2" t="inlineStr">
        <is>
          <t>CVF Open Access 自動收錄；指標待人工驗證。Event-based Graph Representation with Spatial and Motion Vectors for Asynchronous Object Detection</t>
        </is>
      </c>
      <c r="G227" s="9" t="inlineStr">
        <is>
          <t>https://openaccess.thecvf.com/content/WACV2026/html/Verma_Event-based_Graph_Representation_with_Spatial_and_Motion_Vectors_for_Asynchronous_WACV_2026_paper.html</t>
        </is>
      </c>
      <c r="H227" s="9" t="inlineStr">
        <is>
          <t>N/A</t>
        </is>
      </c>
    </row>
    <row r="228">
      <c r="A228" s="2" t="inlineStr">
        <is>
          <t>General OD</t>
        </is>
      </c>
      <c r="B228" s="2" t="inlineStr">
        <is>
          <t>MomentMix Augmentation with Length-Aware DETR for Temporally</t>
        </is>
      </c>
      <c r="C228" s="2" t="inlineStr">
        <is>
          <t>—</t>
        </is>
      </c>
      <c r="D228" s="2" t="inlineStr">
        <is>
          <t>WACV 2026</t>
        </is>
      </c>
      <c r="E228" s="2" t="inlineStr">
        <is>
          <t>2025-01</t>
        </is>
      </c>
      <c r="F228" s="2" t="inlineStr">
        <is>
          <t>CVF Open Access 自動收錄；指標待人工驗證。MomentMix Augmentation with Length-Aware DETR for Temporally Robust Moment Retrieval</t>
        </is>
      </c>
      <c r="G228" s="9" t="inlineStr">
        <is>
          <t>https://openaccess.thecvf.com/content/WACV2026/html/Park_MomentMix_Augmentation_with_Length-Aware_DETR_for_Temporally_Robust_Moment_Retrieval_WACV_2026_paper.html</t>
        </is>
      </c>
      <c r="H228" s="9" t="inlineStr">
        <is>
          <t>N/A</t>
        </is>
      </c>
    </row>
    <row r="229">
      <c r="A229" s="2" t="inlineStr">
        <is>
          <t>General OD</t>
        </is>
      </c>
      <c r="B229" s="2" t="inlineStr">
        <is>
          <t>SPAR-Det</t>
        </is>
      </c>
      <c r="C229" s="2" t="inlineStr">
        <is>
          <t>—</t>
        </is>
      </c>
      <c r="D229" s="2" t="inlineStr">
        <is>
          <t>WACV 2026</t>
        </is>
      </c>
      <c r="E229" s="2" t="inlineStr">
        <is>
          <t>2025-01</t>
        </is>
      </c>
      <c r="F229" s="2" t="inlineStr">
        <is>
          <t>CVF Open Access 自動收錄；指標待人工驗證。SPAR-Det: Segmentation-guided and Prior-Aided Routing for Small Object Detection</t>
        </is>
      </c>
      <c r="G229" s="9" t="inlineStr">
        <is>
          <t>https://openaccess.thecvf.com/content/WACV2026/html/Kwon_SPAR-Det_Segmentation-guided_and_Prior-Aided_Routing_for_Small_Object_Detection_WACV_2026_paper.html</t>
        </is>
      </c>
      <c r="H229" s="9" t="inlineStr">
        <is>
          <t>N/A</t>
        </is>
      </c>
    </row>
    <row r="230">
      <c r="A230" s="2" t="inlineStr">
        <is>
          <t>General OD</t>
        </is>
      </c>
      <c r="B230" s="2" t="inlineStr">
        <is>
          <t>A Deep Network for Object Detection on Inland Waters</t>
        </is>
      </c>
      <c r="C230" s="2" t="inlineStr">
        <is>
          <t>—</t>
        </is>
      </c>
      <c r="D230" s="2" t="inlineStr">
        <is>
          <t>WACV 2026</t>
        </is>
      </c>
      <c r="E230" s="2" t="inlineStr">
        <is>
          <t>2025-01</t>
        </is>
      </c>
      <c r="F230" s="2" t="inlineStr">
        <is>
          <t>CVF Open Access 自動收錄；指標待人工驗證。A Deep Network for Object Detection on Inland Waters</t>
        </is>
      </c>
      <c r="G230" s="9" t="inlineStr">
        <is>
          <t>https://openaccess.thecvf.com/content/WACV2026/html/Griesser_A_Deep_Network_for_Object_Detection_on_Inland_Waters_WACV_2026_paper.html</t>
        </is>
      </c>
      <c r="H230" s="9" t="inlineStr">
        <is>
          <t>N/A</t>
        </is>
      </c>
    </row>
    <row r="231">
      <c r="A231" s="2" t="inlineStr">
        <is>
          <t>General OD</t>
        </is>
      </c>
      <c r="B231" s="2" t="inlineStr">
        <is>
          <t>Saliency-Guided DETR for Moment Retrieval and Highlight Dete</t>
        </is>
      </c>
      <c r="C231" s="2" t="inlineStr">
        <is>
          <t>—</t>
        </is>
      </c>
      <c r="D231" s="2" t="inlineStr">
        <is>
          <t>WACV 2026</t>
        </is>
      </c>
      <c r="E231" s="2" t="inlineStr">
        <is>
          <t>2025-01</t>
        </is>
      </c>
      <c r="F231" s="2" t="inlineStr">
        <is>
          <t>CVF Open Access 自動收錄；指標待人工驗證。Saliency-Guided DETR for Moment Retrieval and Highlight Detection</t>
        </is>
      </c>
      <c r="G231" s="9" t="inlineStr">
        <is>
          <t>https://openaccess.thecvf.com/content/WACV2026/html/Gordeev_Saliency-Guided_DETR_for_Moment_Retrieval_and_Highlight_Detection_WACV_2026_paper.html</t>
        </is>
      </c>
      <c r="H231" s="9" t="inlineStr">
        <is>
          <t>N/A</t>
        </is>
      </c>
    </row>
    <row r="232">
      <c r="A232" s="2" t="inlineStr">
        <is>
          <t>General OD</t>
        </is>
      </c>
      <c r="B232" s="2" t="inlineStr">
        <is>
          <t>WiSE-OD</t>
        </is>
      </c>
      <c r="C232" s="2" t="inlineStr">
        <is>
          <t>—</t>
        </is>
      </c>
      <c r="D232" s="2" t="inlineStr">
        <is>
          <t>WACV 2026</t>
        </is>
      </c>
      <c r="E232" s="2" t="inlineStr">
        <is>
          <t>2025-01</t>
        </is>
      </c>
      <c r="F232" s="2" t="inlineStr">
        <is>
          <t>CVF Open Access 自動收錄；指標待人工驗證。WiSE-OD: Benchmarking Robustness in Infrared Object Detection</t>
        </is>
      </c>
      <c r="G232" s="9" t="inlineStr">
        <is>
          <t>https://openaccess.thecvf.com/content/WACV2026/html/Medeiros_WiSE-OD_Benchmarking_Robustness_in_Infrared_Object_Detection_WACV_2026_paper.html</t>
        </is>
      </c>
      <c r="H232" s="9" t="inlineStr">
        <is>
          <t>N/A</t>
        </is>
      </c>
    </row>
    <row r="233">
      <c r="A233" s="2" t="inlineStr">
        <is>
          <t>General OD</t>
        </is>
      </c>
      <c r="B233" s="2" t="inlineStr">
        <is>
          <t>TRACE</t>
        </is>
      </c>
      <c r="C233" s="2" t="inlineStr">
        <is>
          <t>—</t>
        </is>
      </c>
      <c r="D233" s="2" t="inlineStr">
        <is>
          <t>WACV 2026</t>
        </is>
      </c>
      <c r="E233" s="2" t="inlineStr">
        <is>
          <t>2025-01</t>
        </is>
      </c>
      <c r="F233" s="2" t="inlineStr">
        <is>
          <t>CVF Open Access 自動收錄；指標待人工驗證。TRACE: Confounder-free Adversarial Fine-tuning for Robust Object Detection</t>
        </is>
      </c>
      <c r="G233" s="9" t="inlineStr">
        <is>
          <t>https://openaccess.thecvf.com/content/WACV2026/html/Lee_TRACE_Confounder-free_Adversarial_Fine-tuning_for_Robust_Object_Detection_WACV_2026_paper.html</t>
        </is>
      </c>
      <c r="H233" s="9" t="inlineStr">
        <is>
          <t>N/A</t>
        </is>
      </c>
    </row>
    <row r="234">
      <c r="A234" s="2" t="inlineStr">
        <is>
          <t>General OD</t>
        </is>
      </c>
      <c r="B234" s="2" t="inlineStr">
        <is>
          <t>CropAT</t>
        </is>
      </c>
      <c r="C234" s="2" t="inlineStr">
        <is>
          <t>—</t>
        </is>
      </c>
      <c r="D234" s="2" t="inlineStr">
        <is>
          <t>WACV 2026</t>
        </is>
      </c>
      <c r="E234" s="2" t="inlineStr">
        <is>
          <t>2025-01</t>
        </is>
      </c>
      <c r="F234" s="2" t="inlineStr">
        <is>
          <t>CVF Open Access 自動收錄；指標待人工驗證。CropAT: Leveraging Diffusion-Generated Target-Like Cropped Objects for Pseudo-Label Refinement in Domain-Adaptive Object Detection</t>
        </is>
      </c>
      <c r="G234" s="9" t="inlineStr">
        <is>
          <t>https://openaccess.thecvf.com/content/WACV2026/html/Huang_CropAT_Leveraging_Diffusion-Generated_Target-Like_Cropped_Objects_for_Pseudo-Label_Refinement_in_WACV_2026_paper.html</t>
        </is>
      </c>
      <c r="H234" s="9" t="inlineStr">
        <is>
          <t>N/A</t>
        </is>
      </c>
    </row>
    <row r="235">
      <c r="A235" s="2" t="inlineStr">
        <is>
          <t>General OD</t>
        </is>
      </c>
      <c r="B235" s="2" t="inlineStr">
        <is>
          <t>DualRes</t>
        </is>
      </c>
      <c r="C235" s="2" t="inlineStr">
        <is>
          <t>—</t>
        </is>
      </c>
      <c r="D235" s="2" t="inlineStr">
        <is>
          <t>WACV 2026</t>
        </is>
      </c>
      <c r="E235" s="2" t="inlineStr">
        <is>
          <t>2025-01</t>
        </is>
      </c>
      <c r="F235" s="2" t="inlineStr">
        <is>
          <t>CVF Open Access 自動收錄；指標待人工驗證。DualRes: Production-ready Dynamic Object Detection</t>
        </is>
      </c>
      <c r="G235" s="9" t="inlineStr">
        <is>
          <t>https://openaccess.thecvf.com/content/WACV2026/html/Hassani_DualRes_Production-ready_Dynamic_Object_Detection_WACV_2026_paper.html</t>
        </is>
      </c>
      <c r="H235" s="9" t="inlineStr">
        <is>
          <t>N/A</t>
        </is>
      </c>
    </row>
    <row r="236">
      <c r="A236" s="2" t="inlineStr">
        <is>
          <t>Real-Time OD</t>
        </is>
      </c>
      <c r="B236" s="2" t="inlineStr">
        <is>
          <t>Meta-YOLO</t>
        </is>
      </c>
      <c r="C236" s="2" t="inlineStr">
        <is>
          <t>—</t>
        </is>
      </c>
      <c r="D236" s="2" t="inlineStr">
        <is>
          <t>WACV 2026</t>
        </is>
      </c>
      <c r="E236" s="2" t="inlineStr">
        <is>
          <t>2025-01</t>
        </is>
      </c>
      <c r="F236" s="2" t="inlineStr">
        <is>
          <t>CVF Open Access 自動收錄；指標待人工驗證。Meta-YOLO: Metadata-Guided Real-Time Object Detector in Aerial Imagery</t>
        </is>
      </c>
      <c r="G236" s="9" t="inlineStr">
        <is>
          <t>https://openaccess.thecvf.com/content/WACV2026/html/Yoon_Meta-YOLO_Metadata-Guided_Real-Time_Object_Detector_in_Aerial_Imagery_WACV_2026_paper.html</t>
        </is>
      </c>
      <c r="H236" s="9" t="inlineStr">
        <is>
          <t>N/A</t>
        </is>
      </c>
    </row>
    <row r="237">
      <c r="A237" s="2" t="inlineStr">
        <is>
          <t>General OD</t>
        </is>
      </c>
      <c r="B237" s="2" t="inlineStr">
        <is>
          <t>FSP-DETR</t>
        </is>
      </c>
      <c r="C237" s="2" t="inlineStr">
        <is>
          <t>—</t>
        </is>
      </c>
      <c r="D237" s="2" t="inlineStr">
        <is>
          <t>WACV 2026</t>
        </is>
      </c>
      <c r="E237" s="2" t="inlineStr">
        <is>
          <t>2025-01</t>
        </is>
      </c>
      <c r="F237" s="2" t="inlineStr">
        <is>
          <t>CVF Open Access 自動收錄；指標待人工驗證。FSP-DETR: Few-Shot Prototypical Parasitic Ova Detection</t>
        </is>
      </c>
      <c r="G237" s="9" t="inlineStr">
        <is>
          <t>https://openaccess.thecvf.com/content/WACV2026/html/Trehan_FSP-DETR_Few-Shot_Prototypical_Parasitic_Ova_Detection_WACV_2026_paper.html</t>
        </is>
      </c>
      <c r="H237" s="9" t="inlineStr">
        <is>
          <t>N/A</t>
        </is>
      </c>
    </row>
  </sheetData>
  <autoFilter ref="A1:H84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pane ySplit="1" topLeftCell="A3" activePane="bottomLeft" state="frozen"/>
      <selection pane="bottomLeft" activeCell="B13" sqref="B13"/>
    </sheetView>
  </sheetViews>
  <sheetFormatPr baseColWidth="8" defaultRowHeight="15.75"/>
  <cols>
    <col width="28" customWidth="1" min="1" max="2"/>
    <col width="40" customWidth="1" min="3" max="4"/>
    <col width="70" customWidth="1" min="5" max="5"/>
  </cols>
  <sheetData>
    <row r="1" ht="36" customHeight="1">
      <c r="A1" s="1" t="inlineStr">
        <is>
          <t>分類 / Category</t>
        </is>
      </c>
      <c r="B1" s="1" t="inlineStr">
        <is>
          <t>資料集 Sheet</t>
        </is>
      </c>
      <c r="C1" s="1" t="inlineStr">
        <is>
          <t>主要排序指標 Primary Metric</t>
        </is>
      </c>
      <c r="D1" s="1" t="inlineStr">
        <is>
          <t>補充指標 Supplementary</t>
        </is>
      </c>
      <c r="E1" s="1" t="inlineStr">
        <is>
          <t>備註 Notes</t>
        </is>
      </c>
    </row>
    <row r="2" ht="32.1" customHeight="1">
      <c r="A2" s="2" t="inlineStr">
        <is>
          <t>General OD</t>
        </is>
      </c>
      <c r="B2" s="9">
        <f>HYPERLINK("#'COCO test-dev'!A1","COCO test-dev")</f>
        <v/>
      </c>
      <c r="C2" s="2" t="inlineStr">
        <is>
          <t>COCO box AP / mAP (IoU 0.50:0.95)</t>
        </is>
      </c>
      <c r="D2" s="2" t="inlineStr">
        <is>
          <t>AP50, AP75</t>
        </is>
      </c>
      <c r="E2" s="2" t="inlineStr">
        <is>
          <t>Standard supervised benchmark</t>
        </is>
      </c>
    </row>
    <row r="3" ht="32.1" customHeight="1">
      <c r="A3" s="2" t="inlineStr">
        <is>
          <t>General OD</t>
        </is>
      </c>
      <c r="B3" s="9">
        <f>HYPERLINK("#'COCO minival'!A1","COCO minival")</f>
        <v/>
      </c>
      <c r="C3" s="2" t="inlineStr">
        <is>
          <t>COCO box AP</t>
        </is>
      </c>
      <c r="D3" s="2" t="n"/>
      <c r="E3" s="2" t="inlineStr">
        <is>
          <t>Different split from test-dev — do not mix</t>
        </is>
      </c>
    </row>
    <row r="4" ht="32.1" customHeight="1">
      <c r="A4" s="2" t="inlineStr">
        <is>
          <t>General OD</t>
        </is>
      </c>
      <c r="B4" s="9">
        <f>HYPERLINK("#'COCO 2017 val'!A1","COCO 2017 val")</f>
        <v/>
      </c>
      <c r="C4" s="2" t="inlineStr">
        <is>
          <t>COCO box AP</t>
        </is>
      </c>
      <c r="D4" s="2" t="n"/>
      <c r="E4" s="2" t="inlineStr">
        <is>
          <t>val2017</t>
        </is>
      </c>
    </row>
    <row r="5" ht="32.1" customHeight="1">
      <c r="A5" s="2" t="inlineStr">
        <is>
          <t>General OD</t>
        </is>
      </c>
      <c r="B5" s="9">
        <f>HYPERLINK("#'COCO 2017'!A1","COCO 2017")</f>
        <v/>
      </c>
      <c r="C5" s="2" t="inlineStr">
        <is>
          <t>COCO box AP</t>
        </is>
      </c>
      <c r="D5" s="2" t="n"/>
      <c r="E5" s="2" t="inlineStr">
        <is>
          <t>Combined 2017 train/val results</t>
        </is>
      </c>
    </row>
    <row r="6" ht="32.1" customHeight="1">
      <c r="A6" s="2" t="inlineStr">
        <is>
          <t>General OD</t>
        </is>
      </c>
      <c r="B6" s="9">
        <f>HYPERLINK("#'COCO-O'!A1","COCO-O")</f>
        <v/>
      </c>
      <c r="C6" s="2" t="inlineStr">
        <is>
          <t>Effective robustness AP</t>
        </is>
      </c>
      <c r="D6" s="2" t="n"/>
      <c r="E6" s="2" t="inlineStr">
        <is>
          <t>Out-of-distribution; numbers not comparable to standard COCO</t>
        </is>
      </c>
    </row>
    <row r="7" ht="32.1" customHeight="1">
      <c r="A7" s="2" t="inlineStr">
        <is>
          <t>General OD</t>
        </is>
      </c>
      <c r="B7" s="9">
        <f>HYPERLINK("#'PASCAL VOC 2007'!A1","PASCAL VOC 2007")</f>
        <v/>
      </c>
      <c r="C7" s="2" t="inlineStr">
        <is>
          <t>mAP@0.5 (AP50)</t>
        </is>
      </c>
      <c r="D7" s="2" t="n"/>
      <c r="E7" s="2" t="inlineStr">
        <is>
          <t>AP50 is the dataset's primary metric — not COCO mAP</t>
        </is>
      </c>
    </row>
    <row r="8" ht="32.1" customHeight="1">
      <c r="A8" s="2" t="inlineStr">
        <is>
          <t>General OD</t>
        </is>
      </c>
      <c r="B8" s="9">
        <f>HYPERLINK("#'CrowdHuman'!A1","CrowdHuman")</f>
        <v/>
      </c>
      <c r="C8" s="2" t="inlineStr">
        <is>
          <t>AP / log-MR</t>
        </is>
      </c>
      <c r="D8" s="2" t="inlineStr">
        <is>
          <t>JI, MR-2</t>
        </is>
      </c>
      <c r="E8" s="2" t="inlineStr">
        <is>
          <t>Crowd detection metric; MR lower is better</t>
        </is>
      </c>
    </row>
    <row r="9" ht="32.1" customHeight="1">
      <c r="A9" s="2" t="inlineStr">
        <is>
          <t>General OD</t>
        </is>
      </c>
      <c r="B9" s="9">
        <f>HYPERLINK("#'GraZPEDWRI-DX'!A1","GraZPEDWRI-DX")</f>
        <v/>
      </c>
      <c r="C9" s="2" t="inlineStr">
        <is>
          <t>mAP@0.5</t>
        </is>
      </c>
      <c r="D9" s="2" t="n"/>
      <c r="E9" s="2" t="inlineStr">
        <is>
          <t>Pediatric wrist X-ray; AP50-style metric</t>
        </is>
      </c>
    </row>
    <row r="10" ht="32.1" customHeight="1">
      <c r="A10" s="2" t="inlineStr">
        <is>
          <t>General OD</t>
        </is>
      </c>
      <c r="B10" s="9">
        <f>HYPERLINK("#'CPPE-5'!A1","CPPE-5")</f>
        <v/>
      </c>
      <c r="C10" s="2" t="inlineStr">
        <is>
          <t>mAP@0.5</t>
        </is>
      </c>
      <c r="D10" s="2" t="n"/>
      <c r="E10" s="2" t="inlineStr">
        <is>
          <t>Medical PPE detection; AP50-style</t>
        </is>
      </c>
    </row>
    <row r="11" ht="32.1" customHeight="1">
      <c r="A11" s="2" t="inlineStr">
        <is>
          <t>General OD</t>
        </is>
      </c>
      <c r="B11" s="9">
        <f>HYPERLINK("#'Waymo 2D'!A1","Waymo 2D")</f>
        <v/>
      </c>
      <c r="C11" s="2" t="inlineStr">
        <is>
          <t>Waymo 2D AP</t>
        </is>
      </c>
      <c r="D11" s="2" t="n"/>
      <c r="E11" s="2" t="inlineStr">
        <is>
          <t>Waymo Open Dataset 2D detection (NOT 3D)</t>
        </is>
      </c>
    </row>
    <row r="12" ht="32.1" customHeight="1">
      <c r="A12" s="3" t="inlineStr">
        <is>
          <t>Real-Time OD</t>
        </is>
      </c>
      <c r="B12" s="6">
        <f>HYPERLINK("#'Argoverse-HD FS Val'!A1","Argoverse-HD FS Val")</f>
        <v/>
      </c>
      <c r="C12" s="3" t="inlineStr">
        <is>
          <t>Streaming AP (sAP)</t>
        </is>
      </c>
      <c r="D12" s="3" t="inlineStr">
        <is>
          <t>FPS, latency, hardware</t>
        </is>
      </c>
      <c r="E12" s="3" t="inlineStr">
        <is>
          <t>Full-Stack Val split</t>
        </is>
      </c>
    </row>
    <row r="13" ht="32.1" customHeight="1">
      <c r="A13" s="3" t="inlineStr">
        <is>
          <t>Real-Time OD</t>
        </is>
      </c>
      <c r="B13" s="6">
        <f>HYPERLINK("#'Argoverse-HD DO Val'!A1","Argoverse-HD DO Val")</f>
        <v/>
      </c>
      <c r="C13" s="3" t="inlineStr">
        <is>
          <t>Streaming AP (sAP)</t>
        </is>
      </c>
      <c r="D13" s="3" t="inlineStr">
        <is>
          <t>FPS, latency, hardware</t>
        </is>
      </c>
      <c r="E13" s="3" t="inlineStr">
        <is>
          <t>Detection-Only Val split</t>
        </is>
      </c>
    </row>
    <row r="14" ht="32.1" customHeight="1">
      <c r="A14" s="3" t="inlineStr">
        <is>
          <t>Real-Time OD</t>
        </is>
      </c>
      <c r="B14" s="6">
        <f>HYPERLINK("#'Argoverse-HD DO Test'!A1","Argoverse-HD DO Test")</f>
        <v/>
      </c>
      <c r="C14" s="3" t="inlineStr">
        <is>
          <t>Streaming AP (sAP)</t>
        </is>
      </c>
      <c r="D14" s="3" t="inlineStr">
        <is>
          <t>FPS, latency, hardware</t>
        </is>
      </c>
      <c r="E14" s="3" t="inlineStr">
        <is>
          <t>Detection-Only Test split</t>
        </is>
      </c>
    </row>
    <row r="15" ht="32.1" customHeight="1">
      <c r="A15" s="3" t="inlineStr">
        <is>
          <t>Real-Time OD</t>
        </is>
      </c>
      <c r="B15" s="6">
        <f>HYPERLINK("#'Argoverse-HD FS Test'!A1","Argoverse-HD FS Test")</f>
        <v/>
      </c>
      <c r="C15" s="3" t="inlineStr">
        <is>
          <t>Streaming AP (sAP)</t>
        </is>
      </c>
      <c r="D15" s="3" t="inlineStr">
        <is>
          <t>FPS, latency, hardware</t>
        </is>
      </c>
      <c r="E15" s="3" t="inlineStr">
        <is>
          <t>Full-Stack Test split</t>
        </is>
      </c>
    </row>
    <row r="16" ht="32.1" customHeight="1">
      <c r="A16" s="4" t="inlineStr">
        <is>
          <t>RGB Salient OD</t>
        </is>
      </c>
      <c r="B16" s="7">
        <f>HYPERLINK("#'DUTS-TE'!A1","DUTS-TE")</f>
        <v/>
      </c>
      <c r="C16" s="4" t="inlineStr">
        <is>
          <t>S-measure / Fβ / E-measure / MAE</t>
        </is>
      </c>
      <c r="D16" s="4" t="n"/>
      <c r="E16" s="4" t="inlineStr">
        <is>
          <t>S/E/F higher better; MAE lower better</t>
        </is>
      </c>
    </row>
    <row r="17" ht="32.1" customHeight="1">
      <c r="A17" s="4" t="inlineStr">
        <is>
          <t>RGB Salient OD</t>
        </is>
      </c>
      <c r="B17" s="7">
        <f>HYPERLINK("#'DUT-OMRON'!A1","DUT-OMRON")</f>
        <v/>
      </c>
      <c r="C17" s="4" t="inlineStr">
        <is>
          <t>S / Fβ / E / MAE</t>
        </is>
      </c>
      <c r="D17" s="4" t="n"/>
      <c r="E17" s="4" t="inlineStr">
        <is>
          <t>Same metric set as DUTS-TE</t>
        </is>
      </c>
    </row>
    <row r="18" ht="32.1" customHeight="1">
      <c r="A18" s="4" t="inlineStr">
        <is>
          <t>RGB Salient OD</t>
        </is>
      </c>
      <c r="B18" s="7">
        <f>HYPERLINK("#'ECSSD'!A1","ECSSD")</f>
        <v/>
      </c>
      <c r="C18" s="4" t="inlineStr">
        <is>
          <t>S / Fβ / E / MAE</t>
        </is>
      </c>
      <c r="D18" s="4" t="n"/>
      <c r="E18" s="4" t="n"/>
    </row>
    <row r="19" ht="32.1" customHeight="1">
      <c r="A19" s="4" t="inlineStr">
        <is>
          <t>RGB Salient OD</t>
        </is>
      </c>
      <c r="B19" s="7">
        <f>HYPERLINK("#'HKU-IS'!A1","HKU-IS")</f>
        <v/>
      </c>
      <c r="C19" s="4" t="inlineStr">
        <is>
          <t>S / Fβ / E / MAE</t>
        </is>
      </c>
      <c r="D19" s="4" t="n"/>
      <c r="E19" s="4" t="n"/>
    </row>
    <row r="20" ht="32.1" customHeight="1">
      <c r="A20" s="4" t="inlineStr">
        <is>
          <t>RGB Salient OD</t>
        </is>
      </c>
      <c r="B20" s="7">
        <f>HYPERLINK("#'PASCAL-S'!A1","PASCAL-S")</f>
        <v/>
      </c>
      <c r="C20" s="4" t="inlineStr">
        <is>
          <t>S / Fβ / E / MAE</t>
        </is>
      </c>
      <c r="D20" s="4" t="n"/>
      <c r="E20" s="4" t="n"/>
    </row>
    <row r="21" ht="32.1" customHeight="1">
      <c r="A21" s="4" t="inlineStr">
        <is>
          <t>RGB Salient OD</t>
        </is>
      </c>
      <c r="B21" s="7">
        <f>HYPERLINK("#'HRSOD'!A1","HRSOD")</f>
        <v/>
      </c>
      <c r="C21" s="4" t="inlineStr">
        <is>
          <t>S / Fβ / E / MAE</t>
        </is>
      </c>
      <c r="D21" s="4" t="n"/>
      <c r="E21" s="4" t="inlineStr">
        <is>
          <t>High-resolution SOD</t>
        </is>
      </c>
    </row>
    <row r="22" ht="32.1" customHeight="1">
      <c r="A22" s="4" t="inlineStr">
        <is>
          <t>RGB Salient OD</t>
        </is>
      </c>
      <c r="B22" s="7">
        <f>HYPERLINK("#'DAVIS-S'!A1","DAVIS-S")</f>
        <v/>
      </c>
      <c r="C22" s="4" t="inlineStr">
        <is>
          <t>S / Fβ / E / MAE</t>
        </is>
      </c>
      <c r="D22" s="4" t="n"/>
      <c r="E22" s="4" t="inlineStr">
        <is>
          <t>Sequence-derived SOD</t>
        </is>
      </c>
    </row>
    <row r="23" ht="32.1" customHeight="1">
      <c r="A23" s="4" t="inlineStr">
        <is>
          <t>RGB Salient OD</t>
        </is>
      </c>
      <c r="B23" s="7">
        <f>HYPERLINK("#'UHRSD'!A1","UHRSD")</f>
        <v/>
      </c>
      <c r="C23" s="4" t="inlineStr">
        <is>
          <t>S / Fβ / E / MAE</t>
        </is>
      </c>
      <c r="D23" s="4" t="n"/>
      <c r="E23" s="4" t="inlineStr">
        <is>
          <t>Ultra-high-res SOD</t>
        </is>
      </c>
    </row>
    <row r="24" ht="32.1" customHeight="1">
      <c r="A24" s="4" t="inlineStr">
        <is>
          <t>RGB Salient OD</t>
        </is>
      </c>
      <c r="B24" s="7">
        <f>HYPERLINK("#'SBU-Refine'!A1","SBU-Refine")</f>
        <v/>
      </c>
      <c r="C24" s="4" t="inlineStr">
        <is>
          <t>S / Fβ / E / MAE</t>
        </is>
      </c>
      <c r="D24" s="4" t="n"/>
      <c r="E24" s="4" t="inlineStr">
        <is>
          <t>Shadow detection adjacent; verify per paper</t>
        </is>
      </c>
    </row>
    <row r="25" ht="32.1" customHeight="1">
      <c r="A25" s="4" t="inlineStr">
        <is>
          <t>RGB Salient OD</t>
        </is>
      </c>
      <c r="B25" s="7">
        <f>HYPERLINK("#'ISTD'!A1","ISTD")</f>
        <v/>
      </c>
      <c r="C25" s="4" t="inlineStr">
        <is>
          <t>S / Fβ / E / MAE</t>
        </is>
      </c>
      <c r="D25" s="4" t="n"/>
      <c r="E25" s="4" t="inlineStr">
        <is>
          <t>Shadow detection adjacent; verify per paper</t>
        </is>
      </c>
    </row>
    <row r="26" ht="32.1" customHeight="1">
      <c r="A26" s="4" t="inlineStr">
        <is>
          <t>RGB Salient OD</t>
        </is>
      </c>
      <c r="B26" s="7">
        <f>HYPERLINK("#'CAMO-FS'!A1","CAMO-FS")</f>
        <v/>
      </c>
      <c r="C26" s="4" t="inlineStr">
        <is>
          <t>AP (CD-FSOD setting)</t>
        </is>
      </c>
      <c r="D26" s="4" t="n"/>
      <c r="E26" s="4" t="inlineStr">
        <is>
          <t>Grouped here per user spec; CAMO-FS uses AP not S/E/F/MAE — comparability flagged</t>
        </is>
      </c>
    </row>
    <row r="27" ht="32.1" customHeight="1">
      <c r="A27" s="5" t="inlineStr">
        <is>
          <t>Few-Shot OD</t>
        </is>
      </c>
      <c r="B27" s="8">
        <f>HYPERLINK("#'PASCAL VOC 2007 15+5'!A1","PASCAL VOC 2007 15+5")</f>
        <v/>
      </c>
      <c r="C27" s="5" t="inlineStr">
        <is>
          <t>mAP / base AP / novel AP</t>
        </is>
      </c>
      <c r="D27" s="5" t="n"/>
      <c r="E27" s="5" t="inlineStr">
        <is>
          <t>Class-incremental 15+5 split; do not mix splits</t>
        </is>
      </c>
    </row>
    <row r="28" ht="32.1" customHeight="1">
      <c r="A28" s="5" t="inlineStr">
        <is>
          <t>Few-Shot OD</t>
        </is>
      </c>
      <c r="B28" s="8">
        <f>HYPERLINK("#'MS-COCO 1-shot'!A1","MS-COCO 1-shot")</f>
        <v/>
      </c>
      <c r="C28" s="5" t="inlineStr">
        <is>
          <t>novel AP</t>
        </is>
      </c>
      <c r="D28" s="5" t="inlineStr">
        <is>
          <t>AP50</t>
        </is>
      </c>
      <c r="E28" s="5" t="inlineStr">
        <is>
          <t>1-shot setting must not mix with other shots</t>
        </is>
      </c>
    </row>
    <row r="29" ht="32.1" customHeight="1">
      <c r="A29" s="5" t="inlineStr">
        <is>
          <t>Few-Shot OD</t>
        </is>
      </c>
      <c r="B29" s="8">
        <f>HYPERLINK("#'MS-COCO 5-shot'!A1","MS-COCO 5-shot")</f>
        <v/>
      </c>
      <c r="C29" s="5" t="inlineStr">
        <is>
          <t>novel AP</t>
        </is>
      </c>
      <c r="D29" s="5" t="inlineStr">
        <is>
          <t>AP50</t>
        </is>
      </c>
      <c r="E29" s="5" t="inlineStr">
        <is>
          <t>5-shot setting must not mix with other shots</t>
        </is>
      </c>
    </row>
    <row r="30" ht="32.1" customHeight="1">
      <c r="A30" s="5" t="inlineStr">
        <is>
          <t>Few-Shot OD</t>
        </is>
      </c>
      <c r="B30" s="8">
        <f>HYPERLINK("#'MS-COCO 10-shot'!A1","MS-COCO 10-shot")</f>
        <v/>
      </c>
      <c r="C30" s="5" t="inlineStr">
        <is>
          <t>novel AP</t>
        </is>
      </c>
      <c r="D30" s="5" t="inlineStr">
        <is>
          <t>AP50</t>
        </is>
      </c>
      <c r="E30" s="5" t="inlineStr">
        <is>
          <t>10-shot setting must not mix with other shots</t>
        </is>
      </c>
    </row>
    <row r="31" ht="32.1" customHeight="1">
      <c r="A31" s="5" t="inlineStr">
        <is>
          <t>Few-Shot OD</t>
        </is>
      </c>
      <c r="B31" s="8">
        <f>HYPERLINK("#'MS-COCO 30-shot'!A1","MS-COCO 30-shot")</f>
        <v/>
      </c>
      <c r="C31" s="5" t="inlineStr">
        <is>
          <t>novel AP</t>
        </is>
      </c>
      <c r="D31" s="5" t="inlineStr">
        <is>
          <t>AP50</t>
        </is>
      </c>
      <c r="E31" s="5" t="inlineStr">
        <is>
          <t>30-shot setting must not mix with other shots</t>
        </is>
      </c>
    </row>
    <row r="32" ht="32.1" customHeight="1">
      <c r="A32" s="5" t="inlineStr">
        <is>
          <t>Few-Shot OD</t>
        </is>
      </c>
      <c r="B32" s="8">
        <f>HYPERLINK("#'COCO 2017 FSOD'!A1","COCO 2017 FSOD")</f>
        <v/>
      </c>
      <c r="C32" s="5" t="inlineStr">
        <is>
          <t>novel AP</t>
        </is>
      </c>
      <c r="D32" s="5" t="inlineStr">
        <is>
          <t>AP</t>
        </is>
      </c>
      <c r="E32" s="5" t="inlineStr">
        <is>
          <t>Generic COCO 2017 FSOD setting; verify shot setting per paper</t>
        </is>
      </c>
    </row>
    <row r="33" ht="32.1" customHeight="1">
      <c r="A33" s="5" t="inlineStr">
        <is>
          <t>Few-Shot OD</t>
        </is>
      </c>
      <c r="B33" s="8">
        <f>HYPERLINK("#'LVIS v1.0 val'!A1","LVIS v1.0 val")</f>
        <v/>
      </c>
      <c r="C33" s="5" t="inlineStr">
        <is>
          <t>AP / AP_rare</t>
        </is>
      </c>
      <c r="D33" s="5" t="n"/>
      <c r="E33" s="5" t="inlineStr">
        <is>
          <t>Long-tail; AP_rare is the FSOD-relevant slice</t>
        </is>
      </c>
    </row>
    <row r="34" ht="32.1" customHeight="1">
      <c r="A34" s="5" t="inlineStr">
        <is>
          <t>Few-Shot OD</t>
        </is>
      </c>
      <c r="B34" s="8">
        <f>HYPERLINK("#'LVIS v1.0 test-dev'!A1","LVIS v1.0 test-dev")</f>
        <v/>
      </c>
      <c r="C34" s="5" t="inlineStr">
        <is>
          <t>AP / AP_rare</t>
        </is>
      </c>
      <c r="D34" s="5" t="n"/>
      <c r="E34" s="5" t="inlineStr">
        <is>
          <t>test-dev split; do not mix with val</t>
        </is>
      </c>
    </row>
    <row r="35" ht="32.1" customHeight="1">
      <c r="A35" s="5" t="inlineStr">
        <is>
          <t>Few-Shot OD</t>
        </is>
      </c>
      <c r="B35" s="8">
        <f>HYPERLINK("#'ODinW-13'!A1","ODinW-13")</f>
        <v/>
      </c>
      <c r="C35" s="5" t="inlineStr">
        <is>
          <t>AP (avg of 13 datasets)</t>
        </is>
      </c>
      <c r="D35" s="5" t="inlineStr">
        <is>
          <t>Zero-shot vs fine-tuned — flag separately</t>
        </is>
      </c>
      <c r="E35" s="5" t="inlineStr">
        <is>
          <t>Object Detection in the Wild — 13 dataset suite</t>
        </is>
      </c>
    </row>
    <row r="36" ht="32.1" customHeight="1">
      <c r="A36" s="5" t="inlineStr">
        <is>
          <t>Few-Shot OD</t>
        </is>
      </c>
      <c r="B36" s="8">
        <f>HYPERLINK("#'ODinW-35'!A1","ODinW-35")</f>
        <v/>
      </c>
      <c r="C36" s="5" t="inlineStr">
        <is>
          <t>AP (avg of 35 datasets)</t>
        </is>
      </c>
      <c r="D36" s="5" t="inlineStr">
        <is>
          <t>Zero-shot vs fine-tuned — flag separately</t>
        </is>
      </c>
      <c r="E36" s="5" t="inlineStr">
        <is>
          <t>Object Detection in the Wild — 35 dataset suite</t>
        </is>
      </c>
    </row>
  </sheetData>
  <autoFilter ref="A1:E36"/>
  <hyperlinks>
    <hyperlink ref="B2" location="'COCO test-dev'!A1" display="'COCO test-dev'!A1"/>
    <hyperlink ref="B3" location="'COCO minival'!A1" display="'COCO minival'!A1"/>
    <hyperlink ref="B4" location="'COCO 2017 val'!A1" display="'COCO 2017 val'!A1"/>
    <hyperlink ref="B5" location="'COCO 2017'!A1" display="'COCO 2017'!A1"/>
    <hyperlink ref="B6" location="'COCO-O'!A1" display="'COCO-O'!A1"/>
    <hyperlink ref="B7" location="'PASCAL VOC 2007'!A1" display="'PASCAL VOC 2007'!A1"/>
    <hyperlink ref="B8" location="'CrowdHuman'!A1" display="'CrowdHuman'!A1"/>
    <hyperlink ref="B9" location="'GraZPEDWRI-DX'!A1" display="'GraZPEDWRI-DX'!A1"/>
    <hyperlink ref="B10" location="'CPPE-5'!A1" display="'CPPE-5'!A1"/>
    <hyperlink ref="B11" location="'Waymo 2D'!A1" display="'Waymo 2D'!A1"/>
    <hyperlink ref="B12" location="'Argoverse-HD FS Val'!A1" display="'Argoverse-HD FS Val'!A1"/>
    <hyperlink ref="B13" location="'Argoverse-HD DO Val'!A1" display="'Argoverse-HD DO Val'!A1"/>
    <hyperlink ref="B14" location="'Argoverse-HD DO Test'!A1" display="'Argoverse-HD DO Test'!A1"/>
    <hyperlink ref="B15" location="'Argoverse-HD FS Test'!A1" display="'Argoverse-HD FS Test'!A1"/>
    <hyperlink ref="B16" location="'DUTS-TE'!A1" display="'DUTS-TE'!A1"/>
    <hyperlink ref="B17" location="'DUT-OMRON'!A1" display="'DUT-OMRON'!A1"/>
    <hyperlink ref="B18" location="'ECSSD'!A1" display="'ECSSD'!A1"/>
    <hyperlink ref="B19" location="'HKU-IS'!A1" display="'HKU-IS'!A1"/>
    <hyperlink ref="B20" location="'PASCAL-S'!A1" display="'PASCAL-S'!A1"/>
    <hyperlink ref="B21" location="'HRSOD'!A1" display="'HRSOD'!A1"/>
    <hyperlink ref="B22" location="'DAVIS-S'!A1" display="'DAVIS-S'!A1"/>
    <hyperlink ref="B23" location="'UHRSD'!A1" display="'UHRSD'!A1"/>
    <hyperlink ref="B24" location="'SBU-Refine'!A1" display="'SBU-Refine'!A1"/>
    <hyperlink ref="B25" location="'ISTD'!A1" display="'ISTD'!A1"/>
    <hyperlink ref="B26" location="'CAMO-FS'!A1" display="'CAMO-FS'!A1"/>
    <hyperlink ref="B27" location="'PASCAL VOC 2007 15+5'!A1" display="'PASCAL VOC 2007 15+5'!A1"/>
    <hyperlink ref="B28" location="'MS-COCO 1-shot'!A1" display="'MS-COCO 1-shot'!A1"/>
    <hyperlink ref="B29" location="'MS-COCO 5-shot'!A1" display="'MS-COCO 5-shot'!A1"/>
    <hyperlink ref="B30" location="'MS-COCO 10-shot'!A1" display="'MS-COCO 10-shot'!A1"/>
    <hyperlink ref="B31" location="'MS-COCO 30-shot'!A1" display="'MS-COCO 30-shot'!A1"/>
    <hyperlink ref="B32" location="'COCO 2017 FSOD'!A1" display="'COCO 2017 FSOD'!A1"/>
    <hyperlink ref="B33" location="'LVIS v1.0 val'!A1" display="'LVIS v1.0 val'!A1"/>
    <hyperlink ref="B34" location="'LVIS v1.0 test-dev'!A1" display="'LVIS v1.0 test-dev'!A1"/>
    <hyperlink ref="B35" location="'ODinW-13'!A1" display="'ODinW-13'!A1"/>
    <hyperlink ref="B36" location="'ODinW-35'!A1" display="'ODinW-35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5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Co-DETR (ViT-L)</t>
        </is>
      </c>
      <c r="C2" s="2" t="inlineStr">
        <is>
          <t>Zong et al.</t>
        </is>
      </c>
      <c r="D2" s="2" t="inlineStr">
        <is>
          <t>ICCV</t>
        </is>
      </c>
      <c r="E2" s="2" t="inlineStr">
        <is>
          <t>2023-10</t>
        </is>
      </c>
      <c r="F2" s="2" t="inlineStr">
        <is>
          <t>Published</t>
        </is>
      </c>
      <c r="G2" s="2" t="inlineStr">
        <is>
          <t>66.0</t>
        </is>
      </c>
      <c r="H2" s="2" t="inlineStr">
        <is>
          <t>AP 66.0</t>
        </is>
      </c>
      <c r="I2" s="2" t="inlineStr">
        <is>
          <t>N/A</t>
        </is>
      </c>
      <c r="J2" s="2" t="inlineStr">
        <is>
          <t>304M</t>
        </is>
      </c>
      <c r="K2" s="2" t="inlineStr">
        <is>
          <t>Papers with Code leaderboard; first ≥66 AP</t>
        </is>
      </c>
      <c r="L2" s="9" t="inlineStr">
        <is>
          <t>https://arxiv.org/abs/2211.12860</t>
        </is>
      </c>
      <c r="M2" s="9" t="inlineStr">
        <is>
          <t>https://github.com/Sense-X/Co-DETR</t>
        </is>
      </c>
    </row>
    <row r="3" ht="48" customHeight="1">
      <c r="A3" s="2" t="inlineStr">
        <is>
          <t>General OD</t>
        </is>
      </c>
      <c r="B3" s="2" t="inlineStr">
        <is>
          <t>InternImage-H</t>
        </is>
      </c>
      <c r="C3" s="2" t="inlineStr">
        <is>
          <t>Wang et al.</t>
        </is>
      </c>
      <c r="D3" s="2" t="inlineStr">
        <is>
          <t>CVPR</t>
        </is>
      </c>
      <c r="E3" s="2" t="inlineStr">
        <is>
          <t>2023-06</t>
        </is>
      </c>
      <c r="F3" s="2" t="inlineStr">
        <is>
          <t>Published</t>
        </is>
      </c>
      <c r="G3" s="2" t="inlineStr">
        <is>
          <t>65.4</t>
        </is>
      </c>
      <c r="H3" s="2" t="inlineStr">
        <is>
          <t>AP 65.4</t>
        </is>
      </c>
      <c r="I3" s="2" t="inlineStr">
        <is>
          <t>N/A</t>
        </is>
      </c>
      <c r="J3" s="2" t="inlineStr">
        <is>
          <t>≈1.08B</t>
        </is>
      </c>
      <c r="K3" s="2" t="inlineStr">
        <is>
          <t>Papers with Code leaderboard; SOTA-tier large model</t>
        </is>
      </c>
      <c r="L3" s="9" t="inlineStr">
        <is>
          <t>https://arxiv.org/abs/2211.05778</t>
        </is>
      </c>
      <c r="M3" s="9" t="inlineStr">
        <is>
          <t>https://github.com/OpenGVLab/InternImage</t>
        </is>
      </c>
    </row>
    <row r="4" ht="48" customHeight="1">
      <c r="A4" s="2" t="inlineStr">
        <is>
          <t>General OD</t>
        </is>
      </c>
      <c r="B4" s="2" t="inlineStr">
        <is>
          <t>EVA-02-Det (ViT-L)</t>
        </is>
      </c>
      <c r="C4" s="2" t="inlineStr">
        <is>
          <t>Fang et al.</t>
        </is>
      </c>
      <c r="D4" s="2" t="inlineStr">
        <is>
          <t>arXiv</t>
        </is>
      </c>
      <c r="E4" s="2" t="inlineStr">
        <is>
          <t>2023-10</t>
        </is>
      </c>
      <c r="F4" s="2" t="inlineStr">
        <is>
          <t>Published</t>
        </is>
      </c>
      <c r="G4" s="2" t="inlineStr">
        <is>
          <t>64.5</t>
        </is>
      </c>
      <c r="H4" s="2" t="inlineStr">
        <is>
          <t>AP 64.5</t>
        </is>
      </c>
      <c r="I4" s="2" t="inlineStr">
        <is>
          <t>N/A</t>
        </is>
      </c>
      <c r="J4" s="2" t="inlineStr">
        <is>
          <t>≈600M</t>
        </is>
      </c>
      <c r="K4" s="2" t="inlineStr">
        <is>
          <t>Paper-reported result</t>
        </is>
      </c>
      <c r="L4" s="9" t="inlineStr">
        <is>
          <t>https://arxiv.org/abs/2303.11331</t>
        </is>
      </c>
      <c r="M4" s="9" t="inlineStr">
        <is>
          <t>https://github.com/baaivision/EVA</t>
        </is>
      </c>
    </row>
    <row r="5" ht="48" customHeight="1">
      <c r="A5" s="2" t="inlineStr">
        <is>
          <t>General OD</t>
        </is>
      </c>
      <c r="B5" s="2" t="inlineStr">
        <is>
          <t>Relation-DETR (FocalNet-L)</t>
        </is>
      </c>
      <c r="C5" s="2" t="inlineStr">
        <is>
          <t>Hou et al.</t>
        </is>
      </c>
      <c r="D5" s="2" t="inlineStr">
        <is>
          <t>ECCV</t>
        </is>
      </c>
      <c r="E5" s="2" t="inlineStr">
        <is>
          <t>2024-09</t>
        </is>
      </c>
      <c r="F5" s="2" t="inlineStr">
        <is>
          <t>Published</t>
        </is>
      </c>
      <c r="G5" s="2" t="inlineStr">
        <is>
          <t>63.5</t>
        </is>
      </c>
      <c r="H5" s="2" t="inlineStr">
        <is>
          <t>AP 63.5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ECCV 2024 Oral</t>
        </is>
      </c>
      <c r="L5" s="9" t="inlineStr">
        <is>
          <t>https://arxiv.org/abs/2407.11699</t>
        </is>
      </c>
      <c r="M5" s="9" t="inlineStr">
        <is>
          <t>https://github.com/xiuqhou/Relation-DETR</t>
        </is>
      </c>
    </row>
    <row r="6" ht="48" customHeight="1">
      <c r="A6" s="2" t="inlineStr">
        <is>
          <t>General OD</t>
        </is>
      </c>
      <c r="B6" s="2" t="inlineStr">
        <is>
          <t>DINO (Swin-L)</t>
        </is>
      </c>
      <c r="C6" s="2" t="inlineStr">
        <is>
          <t>Zhang et al.</t>
        </is>
      </c>
      <c r="D6" s="2" t="inlineStr">
        <is>
          <t>ICLR</t>
        </is>
      </c>
      <c r="E6" s="2" t="inlineStr">
        <is>
          <t>2023-03</t>
        </is>
      </c>
      <c r="F6" s="2" t="inlineStr">
        <is>
          <t>Published</t>
        </is>
      </c>
      <c r="G6" s="2" t="inlineStr">
        <is>
          <t>63.3</t>
        </is>
      </c>
      <c r="H6" s="2" t="inlineStr">
        <is>
          <t>AP 63.3</t>
        </is>
      </c>
      <c r="I6" s="2" t="inlineStr">
        <is>
          <t>N/A</t>
        </is>
      </c>
      <c r="J6" s="2" t="inlineStr">
        <is>
          <t>218M</t>
        </is>
      </c>
      <c r="K6" s="2" t="inlineStr">
        <is>
          <t>Paper-reported result</t>
        </is>
      </c>
      <c r="L6" s="9" t="inlineStr">
        <is>
          <t>https://arxiv.org/abs/2203.03605</t>
        </is>
      </c>
      <c r="M6" s="9" t="inlineStr">
        <is>
          <t>https://github.com/IDEA-Research/DINO</t>
        </is>
      </c>
    </row>
    <row r="7" ht="48" customHeight="1">
      <c r="A7" s="2" t="inlineStr">
        <is>
          <t>General OD</t>
        </is>
      </c>
      <c r="B7" s="2" t="inlineStr">
        <is>
          <t>ViTDet-H</t>
        </is>
      </c>
      <c r="C7" s="2" t="inlineStr">
        <is>
          <t>Li et al.</t>
        </is>
      </c>
      <c r="D7" s="2" t="inlineStr">
        <is>
          <t>ECCV</t>
        </is>
      </c>
      <c r="E7" s="2" t="inlineStr">
        <is>
          <t>2022-09</t>
        </is>
      </c>
      <c r="F7" s="2" t="inlineStr">
        <is>
          <t>Published</t>
        </is>
      </c>
      <c r="G7" s="2" t="inlineStr">
        <is>
          <t>61.3</t>
        </is>
      </c>
      <c r="H7" s="2" t="inlineStr">
        <is>
          <t>AP 61.3</t>
        </is>
      </c>
      <c r="I7" s="2" t="inlineStr">
        <is>
          <t>N/A</t>
        </is>
      </c>
      <c r="J7" s="2" t="inlineStr">
        <is>
          <t>≈630M</t>
        </is>
      </c>
      <c r="K7" s="2" t="inlineStr">
        <is>
          <t>Plain ViT detector</t>
        </is>
      </c>
      <c r="L7" s="9" t="inlineStr">
        <is>
          <t>https://arxiv.org/abs/2203.16527</t>
        </is>
      </c>
      <c r="M7" s="9" t="inlineStr">
        <is>
          <t>https://github.com/facebookresearch/detectron2</t>
        </is>
      </c>
    </row>
    <row r="8" ht="48" customHeight="1">
      <c r="A8" s="2" t="inlineStr">
        <is>
          <t>General OD</t>
        </is>
      </c>
      <c r="B8" s="2" t="inlineStr">
        <is>
          <t>Swin-L Cascade Mask R-CNN (HTC)</t>
        </is>
      </c>
      <c r="C8" s="2" t="inlineStr">
        <is>
          <t>Liu et al.</t>
        </is>
      </c>
      <c r="D8" s="2" t="inlineStr">
        <is>
          <t>ICCV</t>
        </is>
      </c>
      <c r="E8" s="2" t="inlineStr">
        <is>
          <t>2021-08</t>
        </is>
      </c>
      <c r="F8" s="2" t="inlineStr">
        <is>
          <t>Published</t>
        </is>
      </c>
      <c r="G8" s="2" t="inlineStr">
        <is>
          <t>58.7</t>
        </is>
      </c>
      <c r="H8" s="2" t="inlineStr">
        <is>
          <t>AP 58.7</t>
        </is>
      </c>
      <c r="I8" s="2" t="inlineStr">
        <is>
          <t>N/A</t>
        </is>
      </c>
      <c r="J8" s="2" t="inlineStr">
        <is>
          <t>284M</t>
        </is>
      </c>
      <c r="K8" s="2" t="inlineStr">
        <is>
          <t>Paper-reported result</t>
        </is>
      </c>
      <c r="L8" s="9" t="inlineStr">
        <is>
          <t>https://arxiv.org/abs/2103.14030</t>
        </is>
      </c>
      <c r="M8" s="9" t="inlineStr">
        <is>
          <t>https://github.com/microsoft/Swin-Transformer</t>
        </is>
      </c>
    </row>
    <row r="9" ht="48" customHeight="1">
      <c r="A9" s="2" t="inlineStr">
        <is>
          <t>General OD</t>
        </is>
      </c>
      <c r="B9" s="2" t="inlineStr">
        <is>
          <t>Focal-L DINO</t>
        </is>
      </c>
      <c r="C9" s="2" t="inlineStr">
        <is>
          <t>Yang et al.</t>
        </is>
      </c>
      <c r="D9" s="2" t="inlineStr">
        <is>
          <t>ICCV</t>
        </is>
      </c>
      <c r="E9" s="2" t="inlineStr">
        <is>
          <t>2022-03</t>
        </is>
      </c>
      <c r="F9" s="2" t="inlineStr">
        <is>
          <t>Published</t>
        </is>
      </c>
      <c r="G9" s="2" t="inlineStr">
        <is>
          <t>58.4</t>
        </is>
      </c>
      <c r="H9" s="2" t="inlineStr">
        <is>
          <t>AP 58.4</t>
        </is>
      </c>
      <c r="I9" s="2" t="inlineStr">
        <is>
          <t>N/A</t>
        </is>
      </c>
      <c r="J9" s="2" t="inlineStr">
        <is>
          <t>267M</t>
        </is>
      </c>
      <c r="K9" s="2" t="inlineStr">
        <is>
          <t>Paper-reported result</t>
        </is>
      </c>
      <c r="L9" s="9" t="inlineStr">
        <is>
          <t>https://arxiv.org/abs/2203.11926</t>
        </is>
      </c>
      <c r="M9" s="9" t="inlineStr">
        <is>
          <t>https://github.com/microsoft/FocalNet</t>
        </is>
      </c>
    </row>
    <row r="10" ht="48" customHeight="1">
      <c r="A10" s="2" t="inlineStr">
        <is>
          <t>General OD</t>
        </is>
      </c>
      <c r="B10" s="2" t="inlineStr">
        <is>
          <t>ConvNeXt-XL Cascade</t>
        </is>
      </c>
      <c r="C10" s="2" t="inlineStr">
        <is>
          <t>Liu et al.</t>
        </is>
      </c>
      <c r="D10" s="2" t="inlineStr">
        <is>
          <t>CVPR</t>
        </is>
      </c>
      <c r="E10" s="2" t="inlineStr">
        <is>
          <t>2022-03</t>
        </is>
      </c>
      <c r="F10" s="2" t="inlineStr">
        <is>
          <t>Published</t>
        </is>
      </c>
      <c r="G10" s="2" t="inlineStr">
        <is>
          <t>55.2</t>
        </is>
      </c>
      <c r="H10" s="2" t="inlineStr">
        <is>
          <t>AP 55.2</t>
        </is>
      </c>
      <c r="I10" s="2" t="inlineStr">
        <is>
          <t>N/A</t>
        </is>
      </c>
      <c r="J10" s="2" t="inlineStr">
        <is>
          <t>350M</t>
        </is>
      </c>
      <c r="K10" s="2" t="inlineStr">
        <is>
          <t>Paper-reported result</t>
        </is>
      </c>
      <c r="L10" s="9" t="inlineStr">
        <is>
          <t>https://arxiv.org/abs/2201.03545</t>
        </is>
      </c>
      <c r="M10" s="9" t="inlineStr">
        <is>
          <t>https://github.com/facebookresearch/ConvNeXt</t>
        </is>
      </c>
    </row>
    <row r="11" ht="48" customHeight="1">
      <c r="A11" s="2" t="inlineStr">
        <is>
          <t>General OD</t>
        </is>
      </c>
      <c r="B11" s="2" t="inlineStr">
        <is>
          <t>MaxViT-XL Cascade</t>
        </is>
      </c>
      <c r="C11" s="2" t="inlineStr">
        <is>
          <t>Tu et al.</t>
        </is>
      </c>
      <c r="D11" s="2" t="inlineStr">
        <is>
          <t>ECCV</t>
        </is>
      </c>
      <c r="E11" s="2" t="inlineStr">
        <is>
          <t>2022-09</t>
        </is>
      </c>
      <c r="F11" s="2" t="inlineStr">
        <is>
          <t>Published</t>
        </is>
      </c>
      <c r="G11" s="2" t="inlineStr">
        <is>
          <t>53.4</t>
        </is>
      </c>
      <c r="H11" s="2" t="inlineStr">
        <is>
          <t>AP 53.4</t>
        </is>
      </c>
      <c r="I11" s="2" t="inlineStr">
        <is>
          <t>N/A</t>
        </is>
      </c>
      <c r="J11" s="2" t="inlineStr">
        <is>
          <t>475M</t>
        </is>
      </c>
      <c r="K11" s="2" t="inlineStr">
        <is>
          <t>Paper-reported result</t>
        </is>
      </c>
      <c r="L11" s="9" t="inlineStr">
        <is>
          <t>https://arxiv.org/abs/2204.01697</t>
        </is>
      </c>
      <c r="M11" s="9" t="inlineStr">
        <is>
          <t>https://github.com/google-research/maxvit</t>
        </is>
      </c>
    </row>
    <row r="12" ht="48" customHeight="1">
      <c r="A12" s="2" t="inlineStr">
        <is>
          <t>General OD</t>
        </is>
      </c>
      <c r="B12" s="2" t="inlineStr">
        <is>
          <t>Deformable DETR (R50)</t>
        </is>
      </c>
      <c r="C12" s="2" t="inlineStr">
        <is>
          <t>Zhu et al.</t>
        </is>
      </c>
      <c r="D12" s="2" t="inlineStr">
        <is>
          <t>ICLR</t>
        </is>
      </c>
      <c r="E12" s="2" t="inlineStr">
        <is>
          <t>2021-05</t>
        </is>
      </c>
      <c r="F12" s="2" t="inlineStr">
        <is>
          <t>Published</t>
        </is>
      </c>
      <c r="G12" s="2" t="inlineStr">
        <is>
          <t>46.2</t>
        </is>
      </c>
      <c r="H12" s="2" t="inlineStr">
        <is>
          <t>AP 46.2</t>
        </is>
      </c>
      <c r="I12" s="2" t="inlineStr">
        <is>
          <t>19</t>
        </is>
      </c>
      <c r="J12" s="2" t="inlineStr">
        <is>
          <t>40M</t>
        </is>
      </c>
      <c r="K12" s="2" t="inlineStr">
        <is>
          <t>Sparse attention</t>
        </is>
      </c>
      <c r="L12" s="9" t="inlineStr">
        <is>
          <t>https://arxiv.org/abs/2010.04159</t>
        </is>
      </c>
      <c r="M12" s="9" t="inlineStr">
        <is>
          <t>https://github.com/fundamentalvision/Deformable-DETR</t>
        </is>
      </c>
    </row>
    <row r="13" ht="48" customHeight="1">
      <c r="A13" s="2" t="inlineStr">
        <is>
          <t>General OD</t>
        </is>
      </c>
      <c r="B13" s="2" t="inlineStr">
        <is>
          <t>DETR (R101)</t>
        </is>
      </c>
      <c r="C13" s="2" t="inlineStr">
        <is>
          <t>Carion et al.</t>
        </is>
      </c>
      <c r="D13" s="2" t="inlineStr">
        <is>
          <t>ECCV</t>
        </is>
      </c>
      <c r="E13" s="2" t="inlineStr">
        <is>
          <t>2020-09</t>
        </is>
      </c>
      <c r="F13" s="2" t="inlineStr">
        <is>
          <t>Published</t>
        </is>
      </c>
      <c r="G13" s="2" t="inlineStr">
        <is>
          <t>43.5</t>
        </is>
      </c>
      <c r="H13" s="2" t="inlineStr">
        <is>
          <t>AP 43.5</t>
        </is>
      </c>
      <c r="I13" s="2" t="inlineStr">
        <is>
          <t>20</t>
        </is>
      </c>
      <c r="J13" s="2" t="inlineStr">
        <is>
          <t>60M</t>
        </is>
      </c>
      <c r="K13" s="2" t="inlineStr">
        <is>
          <t>Baseline DETR</t>
        </is>
      </c>
      <c r="L13" s="9" t="inlineStr">
        <is>
          <t>https://arxiv.org/abs/2005.12872</t>
        </is>
      </c>
      <c r="M13" s="9" t="inlineStr">
        <is>
          <t>https://github.com/facebookresearch/detr</t>
        </is>
      </c>
    </row>
    <row r="14">
      <c r="A14" s="2" t="inlineStr">
        <is>
          <t>Few-Shot OD</t>
        </is>
      </c>
      <c r="B14" s="2" t="inlineStr">
        <is>
          <t>Grounding DINO</t>
        </is>
      </c>
      <c r="C14" s="2" t="inlineStr">
        <is>
          <t>Liu et al.</t>
        </is>
      </c>
      <c r="D14" s="2" t="inlineStr">
        <is>
          <t>ECCV</t>
        </is>
      </c>
      <c r="E14" s="2" t="inlineStr">
        <is>
          <t>2024-10</t>
        </is>
      </c>
      <c r="F14" s="2" t="inlineStr">
        <is>
          <t>Preprint</t>
        </is>
      </c>
      <c r="G14" s="2" t="n">
        <v>52.5</v>
      </c>
      <c r="H14" s="2" t="inlineStr">
        <is>
          <t>AP 52.5 (zero-shot Swin-L)</t>
        </is>
      </c>
      <c r="I14" s="2" t="n"/>
      <c r="J14" s="2" t="n"/>
      <c r="K14" s="2" t="inlineStr">
        <is>
          <t>✅ 已驗證 (Grounding DINO Table 2, COCO zero-shot)：Grounding DINO-L 52.5% AP zero-shot [Open-Vocab OD]</t>
        </is>
      </c>
      <c r="L14" s="9" t="inlineStr">
        <is>
          <t>https://arxiv.org/abs/2303.05499</t>
        </is>
      </c>
      <c r="M14" s="9" t="inlineStr">
        <is>
          <t>https://github.com/IDEA-Research/GroundingDINO</t>
        </is>
      </c>
    </row>
    <row r="15">
      <c r="A15" s="2" t="inlineStr">
        <is>
          <t>Real-Time OD</t>
        </is>
      </c>
      <c r="B15" s="2" t="inlineStr">
        <is>
          <t>RT-DETR-R101</t>
        </is>
      </c>
      <c r="C15" s="2" t="inlineStr">
        <is>
          <t>Zhao et al.</t>
        </is>
      </c>
      <c r="D15" s="2" t="inlineStr">
        <is>
          <t>CVPR</t>
        </is>
      </c>
      <c r="E15" s="2" t="inlineStr">
        <is>
          <t>2024-06</t>
        </is>
      </c>
      <c r="F15" s="2" t="inlineStr">
        <is>
          <t>Preprint</t>
        </is>
      </c>
      <c r="G15" s="2" t="n">
        <v>54.3</v>
      </c>
      <c r="H15" s="2" t="inlineStr">
        <is>
          <t>AP 54.3 (R101)</t>
        </is>
      </c>
      <c r="I15" s="2" t="n"/>
      <c r="J15" s="2" t="n"/>
      <c r="K15" s="2" t="inlineStr">
        <is>
          <t>✅ 已驗證 (RT-DETR CVPR24 abstract)：RT-DETR-R101 achieves 54.3% AP on COCO, 74 FPS T4 [Real-Time DETR]</t>
        </is>
      </c>
      <c r="L15" s="9" t="inlineStr">
        <is>
          <t>https://arxiv.org/abs/2304.08069</t>
        </is>
      </c>
      <c r="M15" s="9" t="inlineStr">
        <is>
          <t>https://github.com/lyuwenyu/RT-DETR</t>
        </is>
      </c>
    </row>
    <row r="16">
      <c r="A16" s="2" t="inlineStr">
        <is>
          <t>General OD</t>
        </is>
      </c>
      <c r="B16" s="2" t="inlineStr">
        <is>
          <t>EVA-02 (Det)</t>
        </is>
      </c>
      <c r="C16" s="2" t="inlineStr">
        <is>
          <t>Fang et al.</t>
        </is>
      </c>
      <c r="D16" s="2" t="inlineStr">
        <is>
          <t>arXiv→IVC</t>
        </is>
      </c>
      <c r="E16" s="2" t="inlineStr">
        <is>
          <t>2023-10</t>
        </is>
      </c>
      <c r="F16" s="2" t="inlineStr">
        <is>
          <t>Preprint</t>
        </is>
      </c>
      <c r="G16" s="2" t="n">
        <v>64.5</v>
      </c>
      <c r="H16" s="2" t="inlineStr">
        <is>
          <t>box AP 64.5 test-dev</t>
        </is>
      </c>
      <c r="I16" s="2" t="n"/>
      <c r="J16" s="2" t="n"/>
      <c r="K16" s="2" t="inlineStr">
        <is>
          <t>✅ 已驗證 (EVA-02-Det arXiv23 abstract)：EVA-02 64.5 box AP / 55.8 mask AP on COCO test-dev [Foundation Model OD]</t>
        </is>
      </c>
      <c r="L16" s="9" t="inlineStr">
        <is>
          <t>https://arxiv.org/abs/2303.11331</t>
        </is>
      </c>
      <c r="M16" s="9" t="inlineStr">
        <is>
          <t>https://github.com/baaivision/EVA</t>
        </is>
      </c>
    </row>
    <row r="17">
      <c r="A17" s="2" t="inlineStr">
        <is>
          <t>Real-Time OD</t>
        </is>
      </c>
      <c r="B17" s="2" t="inlineStr">
        <is>
          <t>PP-YOLOE+ (X)</t>
        </is>
      </c>
      <c r="C17" s="2" t="inlineStr">
        <is>
          <t>Xu et al.</t>
        </is>
      </c>
      <c r="D17" s="2" t="inlineStr">
        <is>
          <t>arXiv</t>
        </is>
      </c>
      <c r="E17" s="2" t="inlineStr">
        <is>
          <t>2022-07</t>
        </is>
      </c>
      <c r="F17" s="2" t="inlineStr">
        <is>
          <t>Preprint</t>
        </is>
      </c>
      <c r="G17" s="2" t="n">
        <v>54.7</v>
      </c>
      <c r="H17" s="2" t="inlineStr">
        <is>
          <t>AP 54.7 test-dev</t>
        </is>
      </c>
      <c r="I17" s="2" t="n"/>
      <c r="J17" s="2" t="n"/>
      <c r="K17" s="2" t="inlineStr">
        <is>
          <t>✅ 已驗證 (PP-YOLOE+ arXiv22 Table 1)：PP-YOLOE+-X 54.7% AP COCO test-dev [Real-Time OD]</t>
        </is>
      </c>
      <c r="L17" s="9" t="inlineStr">
        <is>
          <t>https://arxiv.org/abs/2203.16250</t>
        </is>
      </c>
      <c r="M17" s="9" t="inlineStr">
        <is>
          <t>https://github.com/PaddlePaddle/PaddleDetection</t>
        </is>
      </c>
    </row>
    <row r="18">
      <c r="A18" s="2" t="inlineStr">
        <is>
          <t>General OD</t>
        </is>
      </c>
      <c r="B18" s="2" t="inlineStr">
        <is>
          <t>Swin-L Cascade Mask R-CNN</t>
        </is>
      </c>
      <c r="C18" s="2" t="inlineStr">
        <is>
          <t>Liu et al.</t>
        </is>
      </c>
      <c r="D18" s="2" t="inlineStr">
        <is>
          <t>ICCV</t>
        </is>
      </c>
      <c r="E18" s="2" t="inlineStr">
        <is>
          <t>2021-08</t>
        </is>
      </c>
      <c r="F18" s="2" t="inlineStr">
        <is>
          <t>Preprint</t>
        </is>
      </c>
      <c r="G18" s="2" t="n"/>
      <c r="H18" s="2" t="n"/>
      <c r="I18" s="2" t="n"/>
      <c r="J18" s="2" t="n"/>
      <c r="K18" s="2" t="inlineStr">
        <is>
          <t>⚠️ 自動抽取・指標待驗證 (已偵測使用此資料集)：Swin transformer backbone</t>
        </is>
      </c>
      <c r="L18" s="9" t="inlineStr">
        <is>
          <t>https://arxiv.org/abs/2103.14030</t>
        </is>
      </c>
      <c r="M18" s="9" t="inlineStr">
        <is>
          <t>https://github.com/microsoft/Swin-Transformer</t>
        </is>
      </c>
    </row>
    <row r="19">
      <c r="A19" s="2" t="inlineStr">
        <is>
          <t>General OD</t>
        </is>
      </c>
      <c r="B19" s="2" t="inlineStr">
        <is>
          <t>Sparse R-CNN (R101)</t>
        </is>
      </c>
      <c r="C19" s="2" t="inlineStr">
        <is>
          <t>Sun et al.</t>
        </is>
      </c>
      <c r="D19" s="2" t="inlineStr">
        <is>
          <t>CVPR</t>
        </is>
      </c>
      <c r="E19" s="2" t="inlineStr">
        <is>
          <t>2021-01</t>
        </is>
      </c>
      <c r="F19" s="2" t="inlineStr">
        <is>
          <t>Preprint</t>
        </is>
      </c>
      <c r="G19" s="2" t="n"/>
      <c r="H19" s="2" t="n"/>
      <c r="I19" s="2" t="n"/>
      <c r="J19" s="2" t="n"/>
      <c r="K19" s="2" t="inlineStr">
        <is>
          <t>⚠️ 自動抽取・指標待驗證 (已偵測使用此資料集)：End-to-end set prediction; Paper-reported result</t>
        </is>
      </c>
      <c r="L19" s="9" t="inlineStr">
        <is>
          <t>https://arxiv.org/abs/2011.12450</t>
        </is>
      </c>
      <c r="M19" s="9" t="inlineStr">
        <is>
          <t>https://github.com/PeizeSun/SparseR-CNN</t>
        </is>
      </c>
    </row>
    <row r="20">
      <c r="A20" s="2" t="inlineStr">
        <is>
          <t>Real-Time OD</t>
        </is>
      </c>
      <c r="B20" s="2" t="inlineStr">
        <is>
          <t>EfficientDet-D7</t>
        </is>
      </c>
      <c r="C20" s="2" t="inlineStr">
        <is>
          <t>Tan et al.</t>
        </is>
      </c>
      <c r="D20" s="2" t="inlineStr">
        <is>
          <t>CVPR</t>
        </is>
      </c>
      <c r="E20" s="2" t="inlineStr">
        <is>
          <t>2020-06</t>
        </is>
      </c>
      <c r="F20" s="2" t="inlineStr">
        <is>
          <t>Preprint</t>
        </is>
      </c>
      <c r="G20" s="2" t="n">
        <v>55.1</v>
      </c>
      <c r="H20" s="2" t="inlineStr">
        <is>
          <t>AP 55.1</t>
        </is>
      </c>
      <c r="I20" s="2" t="n"/>
      <c r="J20" s="2" t="n"/>
      <c r="K20" s="2" t="inlineStr">
        <is>
          <t>✅ 已驗證 (EfficientDet CVPR20 paper abstract)：EfficientDet-D7 55.1% AP, 77M params, 410B FLOPs [Real-Time OD]</t>
        </is>
      </c>
      <c r="L20" s="9" t="inlineStr">
        <is>
          <t>https://arxiv.org/abs/1911.09070</t>
        </is>
      </c>
      <c r="M20" s="9" t="inlineStr">
        <is>
          <t>https://github.com/google/automl/tree/master/efficientdet</t>
        </is>
      </c>
    </row>
    <row r="21">
      <c r="A21" s="2" t="inlineStr">
        <is>
          <t>General OD</t>
        </is>
      </c>
      <c r="B21" s="2" t="inlineStr">
        <is>
          <t>CenterNet</t>
        </is>
      </c>
      <c r="C21" s="2" t="inlineStr">
        <is>
          <t>Zhou et al.</t>
        </is>
      </c>
      <c r="D21" s="2" t="inlineStr">
        <is>
          <t>arXiv</t>
        </is>
      </c>
      <c r="E21" s="2" t="inlineStr">
        <is>
          <t>2019-04</t>
        </is>
      </c>
      <c r="F21" s="2" t="inlineStr">
        <is>
          <t>Preprint</t>
        </is>
      </c>
      <c r="G21" s="2" t="n">
        <v>42.1</v>
      </c>
      <c r="H21" s="2" t="inlineStr">
        <is>
          <t>AP 42.1 (HG-104, single-scale)</t>
        </is>
      </c>
      <c r="I21" s="2" t="n"/>
      <c r="J21" s="2" t="n"/>
      <c r="K21" s="2" t="inlineStr">
        <is>
          <t>✅ 已驗證 (CenterNet ICCV19 Table 2)：Hourglass-104 backbone 42.1% AP single-scale test-dev (45.1 multi-scale) [Anchor-free OD]</t>
        </is>
      </c>
      <c r="L21" s="9" t="inlineStr">
        <is>
          <t>https://arxiv.org/abs/1904.07850</t>
        </is>
      </c>
      <c r="M21" s="9" t="inlineStr">
        <is>
          <t>https://github.com/xingyizhou/CenterNet</t>
        </is>
      </c>
    </row>
    <row r="22">
      <c r="A22" s="2" t="inlineStr">
        <is>
          <t>General OD</t>
        </is>
      </c>
      <c r="B22" s="2" t="inlineStr">
        <is>
          <t>Cascade R-CNN (R101-FPN)</t>
        </is>
      </c>
      <c r="C22" s="2" t="inlineStr">
        <is>
          <t>Cai &amp; Vasconcelos</t>
        </is>
      </c>
      <c r="D22" s="2" t="inlineStr">
        <is>
          <t>CVPR</t>
        </is>
      </c>
      <c r="E22" s="2" t="inlineStr">
        <is>
          <t>2018-06</t>
        </is>
      </c>
      <c r="F22" s="2" t="inlineStr">
        <is>
          <t>Preprint</t>
        </is>
      </c>
      <c r="G22" s="2" t="n">
        <v>42.8</v>
      </c>
      <c r="H22" s="2" t="inlineStr">
        <is>
          <t>AP 42.8</t>
        </is>
      </c>
      <c r="I22" s="2" t="n"/>
      <c r="J22" s="2" t="n"/>
      <c r="K22" s="2" t="inlineStr">
        <is>
          <t>✅ 已驗證 (Cascade R-CNN CVPR18 Table 5)：ResNet-101 backbone 42.8% AP test-dev [Two-Stage Cascade OD]</t>
        </is>
      </c>
      <c r="L22" s="9" t="inlineStr">
        <is>
          <t>https://arxiv.org/abs/1712.00726</t>
        </is>
      </c>
      <c r="M22" s="9" t="inlineStr">
        <is>
          <t>https://github.com/zhaoweicai/cascade-rcnn</t>
        </is>
      </c>
    </row>
    <row r="23">
      <c r="A23" s="2" t="inlineStr">
        <is>
          <t>General OD</t>
        </is>
      </c>
      <c r="B23" s="2" t="inlineStr">
        <is>
          <t>RetinaNet (R101)</t>
        </is>
      </c>
      <c r="C23" s="2" t="inlineStr">
        <is>
          <t>Lin et al.</t>
        </is>
      </c>
      <c r="D23" s="2" t="inlineStr">
        <is>
          <t>ICCV</t>
        </is>
      </c>
      <c r="E23" s="2" t="inlineStr">
        <is>
          <t>2017-10</t>
        </is>
      </c>
      <c r="F23" s="2" t="inlineStr">
        <is>
          <t>Preprint</t>
        </is>
      </c>
      <c r="G23" s="2" t="n">
        <v>39.1</v>
      </c>
      <c r="H23" s="2" t="inlineStr">
        <is>
          <t>AP 39.1</t>
        </is>
      </c>
      <c r="I23" s="2" t="n"/>
      <c r="J23" s="2" t="n"/>
      <c r="K23" s="2" t="inlineStr">
        <is>
          <t>✅ 已驗證 (RetinaNet ICCV17 Table 2)：ResNet-101-FPN 39.1% AP test-dev (40.8 with ResNeXt-101) [Focal Loss OD]</t>
        </is>
      </c>
      <c r="L23" s="9" t="inlineStr">
        <is>
          <t>https://arxiv.org/abs/1708.02002</t>
        </is>
      </c>
      <c r="M23" s="9" t="inlineStr">
        <is>
          <t>https://github.com/facebookresearch/Detectron</t>
        </is>
      </c>
    </row>
    <row r="24">
      <c r="A24" s="2" t="inlineStr">
        <is>
          <t>General OD</t>
        </is>
      </c>
      <c r="B24" s="2" t="inlineStr">
        <is>
          <t>Mask R-CNN (R50-FPN)</t>
        </is>
      </c>
      <c r="C24" s="2" t="inlineStr">
        <is>
          <t>He et al.</t>
        </is>
      </c>
      <c r="D24" s="2" t="inlineStr">
        <is>
          <t>ICCV</t>
        </is>
      </c>
      <c r="E24" s="2" t="inlineStr">
        <is>
          <t>2017-10</t>
        </is>
      </c>
      <c r="F24" s="2" t="inlineStr">
        <is>
          <t>Preprint</t>
        </is>
      </c>
      <c r="G24" s="2" t="n"/>
      <c r="H24" s="2" t="n"/>
      <c r="I24" s="2" t="n"/>
      <c r="J24" s="2" t="n"/>
      <c r="K24" s="2" t="inlineStr">
        <is>
          <t>⚠️ 自動抽取・指標待驗證 (已偵測使用此資料集)：Two-stage; box+mask head; baseline; Paper-reported result</t>
        </is>
      </c>
      <c r="L24" s="9" t="inlineStr">
        <is>
          <t>https://arxiv.org/abs/1703.06870</t>
        </is>
      </c>
      <c r="M24" s="9" t="inlineStr">
        <is>
          <t>https://github.com/facebookresearch/maskrcnn-benchmark</t>
        </is>
      </c>
    </row>
    <row r="25">
      <c r="A25" s="2" t="inlineStr">
        <is>
          <t>General OD</t>
        </is>
      </c>
      <c r="B25" s="2" t="inlineStr">
        <is>
          <t>Faster R-CNN (R50-FPN)</t>
        </is>
      </c>
      <c r="C25" s="2" t="inlineStr">
        <is>
          <t>Ren et al.</t>
        </is>
      </c>
      <c r="D25" s="2" t="inlineStr">
        <is>
          <t>NeurIPS</t>
        </is>
      </c>
      <c r="E25" s="2" t="inlineStr">
        <is>
          <t>2015-06</t>
        </is>
      </c>
      <c r="F25" s="2" t="inlineStr">
        <is>
          <t>Preprint</t>
        </is>
      </c>
      <c r="G25" s="2" t="n"/>
      <c r="H25" s="2" t="n"/>
      <c r="I25" s="2" t="n"/>
      <c r="J25" s="2" t="n"/>
      <c r="K25" s="2" t="inlineStr">
        <is>
          <t>⚠️ 自動抽取・指標待驗證 (已偵測使用此資料集)：Two-stage anchor-based; baseline still widely cited; Paper-reported result</t>
        </is>
      </c>
      <c r="L25" s="9" t="inlineStr">
        <is>
          <t>https://arxiv.org/abs/1506.01497</t>
        </is>
      </c>
      <c r="M25" s="9" t="inlineStr">
        <is>
          <t>https://github.com/rbgirshick/py-faster-rcnn</t>
        </is>
      </c>
    </row>
    <row r="26">
      <c r="A26" s="2" t="inlineStr">
        <is>
          <t>Real-Time OD</t>
        </is>
      </c>
      <c r="B26" s="2" t="inlineStr">
        <is>
          <t>PK-YOLO</t>
        </is>
      </c>
      <c r="C26" s="2" t="inlineStr">
        <is>
          <t>—</t>
        </is>
      </c>
      <c r="D26" s="2" t="inlineStr">
        <is>
          <t>WACV 2025</t>
        </is>
      </c>
      <c r="E26" s="2" t="inlineStr">
        <is>
          <t>2025-01</t>
        </is>
      </c>
      <c r="F26" s="2" t="inlineStr">
        <is>
          <t>Preprint</t>
        </is>
      </c>
      <c r="G26" s="2" t="n"/>
      <c r="H26" s="2" t="n"/>
      <c r="I26" s="2" t="n"/>
      <c r="J26" s="2" t="n"/>
      <c r="K26" s="2" t="inlineStr">
        <is>
          <t>⚠️ 自動抽取・指標待驗證 (已偵測使用此資料集)：CVF Open Access 自動收錄；指標待人工驗證。PK-YOLO: Pretrained Knowledge Guided YOLO for Brain</t>
        </is>
      </c>
      <c r="L26" s="9" t="inlineStr">
        <is>
          <t>https://openaccess.thecvf.com/content/WACV2025/html/Kang_PK-YOLO_Pretrained_Knowledge_Guided_YOLO_for_Brain_Tumor_Detection_in_WACV_2025_paper.html</t>
        </is>
      </c>
      <c r="M26" s="9" t="inlineStr">
        <is>
          <t>N/A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4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Co-DETR (ViT-L)</t>
        </is>
      </c>
      <c r="C2" s="2" t="inlineStr">
        <is>
          <t>Zong et al.</t>
        </is>
      </c>
      <c r="D2" s="2" t="inlineStr">
        <is>
          <t>ICCV</t>
        </is>
      </c>
      <c r="E2" s="2" t="inlineStr">
        <is>
          <t>2023-10</t>
        </is>
      </c>
      <c r="F2" s="2" t="inlineStr">
        <is>
          <t>Published</t>
        </is>
      </c>
      <c r="G2" s="2" t="inlineStr">
        <is>
          <t>65.9</t>
        </is>
      </c>
      <c r="H2" s="2" t="inlineStr">
        <is>
          <t>AP 65.9 minival</t>
        </is>
      </c>
      <c r="I2" s="2" t="inlineStr">
        <is>
          <t>N/A</t>
        </is>
      </c>
      <c r="J2" s="2" t="inlineStr">
        <is>
          <t>304M</t>
        </is>
      </c>
      <c r="K2" s="2" t="inlineStr">
        <is>
          <t>Paper-reported; not RT</t>
        </is>
      </c>
      <c r="L2" s="9" t="inlineStr">
        <is>
          <t>https://arxiv.org/abs/2211.12860</t>
        </is>
      </c>
      <c r="M2" s="9" t="inlineStr">
        <is>
          <t>https://github.com/Sense-X/Co-DETR</t>
        </is>
      </c>
    </row>
    <row r="3" ht="48" customHeight="1">
      <c r="A3" s="2" t="inlineStr">
        <is>
          <t>General OD</t>
        </is>
      </c>
      <c r="B3" s="2" t="inlineStr">
        <is>
          <t>InternImage-H</t>
        </is>
      </c>
      <c r="C3" s="2" t="inlineStr">
        <is>
          <t>Wang et al.</t>
        </is>
      </c>
      <c r="D3" s="2" t="inlineStr">
        <is>
          <t>CVPR</t>
        </is>
      </c>
      <c r="E3" s="2" t="inlineStr">
        <is>
          <t>2023-06</t>
        </is>
      </c>
      <c r="F3" s="2" t="inlineStr">
        <is>
          <t>Published</t>
        </is>
      </c>
      <c r="G3" s="2" t="inlineStr">
        <is>
          <t>65.0</t>
        </is>
      </c>
      <c r="H3" s="2" t="inlineStr">
        <is>
          <t>AP 65.0 minival</t>
        </is>
      </c>
      <c r="I3" s="2" t="inlineStr">
        <is>
          <t>N/A</t>
        </is>
      </c>
      <c r="J3" s="2" t="inlineStr">
        <is>
          <t>≈1.08B</t>
        </is>
      </c>
      <c r="K3" s="2" t="inlineStr">
        <is>
          <t>Paper-reported result</t>
        </is>
      </c>
      <c r="L3" s="9" t="inlineStr">
        <is>
          <t>https://arxiv.org/abs/2211.05778</t>
        </is>
      </c>
      <c r="M3" s="9" t="inlineStr">
        <is>
          <t>https://github.com/OpenGVLab/InternImage</t>
        </is>
      </c>
    </row>
    <row r="4" ht="48" customHeight="1">
      <c r="A4" s="2" t="inlineStr">
        <is>
          <t>General OD</t>
        </is>
      </c>
      <c r="B4" s="2" t="inlineStr">
        <is>
          <t>EVA-02-Det</t>
        </is>
      </c>
      <c r="C4" s="2" t="inlineStr">
        <is>
          <t>Fang et al.</t>
        </is>
      </c>
      <c r="D4" s="2" t="inlineStr">
        <is>
          <t>arXiv</t>
        </is>
      </c>
      <c r="E4" s="2" t="inlineStr">
        <is>
          <t>2023-10</t>
        </is>
      </c>
      <c r="F4" s="2" t="inlineStr">
        <is>
          <t>Published</t>
        </is>
      </c>
      <c r="G4" s="2" t="inlineStr">
        <is>
          <t>64.1</t>
        </is>
      </c>
      <c r="H4" s="2" t="inlineStr">
        <is>
          <t>AP 64.1 minival</t>
        </is>
      </c>
      <c r="I4" s="2" t="inlineStr">
        <is>
          <t>N/A</t>
        </is>
      </c>
      <c r="J4" s="2" t="inlineStr">
        <is>
          <t>≈600M</t>
        </is>
      </c>
      <c r="K4" s="2" t="inlineStr">
        <is>
          <t>Paper-reported result</t>
        </is>
      </c>
      <c r="L4" s="9" t="inlineStr">
        <is>
          <t>https://arxiv.org/abs/2303.11331</t>
        </is>
      </c>
      <c r="M4" s="9" t="inlineStr">
        <is>
          <t>https://github.com/baaivision/EVA</t>
        </is>
      </c>
    </row>
    <row r="5" ht="48" customHeight="1">
      <c r="A5" s="2" t="inlineStr">
        <is>
          <t>General OD</t>
        </is>
      </c>
      <c r="B5" s="2" t="inlineStr">
        <is>
          <t>Relation-DETR (FocalNet-L)</t>
        </is>
      </c>
      <c r="C5" s="2" t="inlineStr">
        <is>
          <t>Hou et al.</t>
        </is>
      </c>
      <c r="D5" s="2" t="inlineStr">
        <is>
          <t>ECCV</t>
        </is>
      </c>
      <c r="E5" s="2" t="inlineStr">
        <is>
          <t>2024-09</t>
        </is>
      </c>
      <c r="F5" s="2" t="inlineStr">
        <is>
          <t>Published</t>
        </is>
      </c>
      <c r="G5" s="2" t="inlineStr">
        <is>
          <t>63.5</t>
        </is>
      </c>
      <c r="H5" s="2" t="inlineStr">
        <is>
          <t>AP 63.5 minival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ECCV 2024 Oral</t>
        </is>
      </c>
      <c r="L5" s="9" t="inlineStr">
        <is>
          <t>https://arxiv.org/abs/2407.11699</t>
        </is>
      </c>
      <c r="M5" s="9" t="inlineStr">
        <is>
          <t>https://github.com/xiuqhou/Relation-DETR</t>
        </is>
      </c>
    </row>
    <row r="6" ht="48" customHeight="1">
      <c r="A6" s="2" t="inlineStr">
        <is>
          <t>General OD</t>
        </is>
      </c>
      <c r="B6" s="2" t="inlineStr">
        <is>
          <t>DINO (Swin-L)</t>
        </is>
      </c>
      <c r="C6" s="2" t="inlineStr">
        <is>
          <t>Zhang et al.</t>
        </is>
      </c>
      <c r="D6" s="2" t="inlineStr">
        <is>
          <t>ICLR</t>
        </is>
      </c>
      <c r="E6" s="2" t="inlineStr">
        <is>
          <t>2023-03</t>
        </is>
      </c>
      <c r="F6" s="2" t="inlineStr">
        <is>
          <t>Published</t>
        </is>
      </c>
      <c r="G6" s="2" t="inlineStr">
        <is>
          <t>63.3</t>
        </is>
      </c>
      <c r="H6" s="2" t="inlineStr">
        <is>
          <t>AP 63.3 minival</t>
        </is>
      </c>
      <c r="I6" s="2" t="inlineStr">
        <is>
          <t>N/A</t>
        </is>
      </c>
      <c r="J6" s="2" t="inlineStr">
        <is>
          <t>218M</t>
        </is>
      </c>
      <c r="K6" s="2" t="inlineStr">
        <is>
          <t>Paper-reported result</t>
        </is>
      </c>
      <c r="L6" s="9" t="inlineStr">
        <is>
          <t>https://arxiv.org/abs/2203.03605</t>
        </is>
      </c>
      <c r="M6" s="9" t="inlineStr">
        <is>
          <t>https://github.com/IDEA-Research/DINO</t>
        </is>
      </c>
    </row>
    <row r="7" ht="48" customHeight="1">
      <c r="A7" s="2" t="inlineStr">
        <is>
          <t>General OD</t>
        </is>
      </c>
      <c r="B7" s="2" t="inlineStr">
        <is>
          <t>H-DETR (Swin-L)</t>
        </is>
      </c>
      <c r="C7" s="2" t="inlineStr">
        <is>
          <t>Jia et al.</t>
        </is>
      </c>
      <c r="D7" s="2" t="inlineStr">
        <is>
          <t>CVPR</t>
        </is>
      </c>
      <c r="E7" s="2" t="inlineStr">
        <is>
          <t>2023-06</t>
        </is>
      </c>
      <c r="F7" s="2" t="inlineStr">
        <is>
          <t>Published</t>
        </is>
      </c>
      <c r="G7" s="2" t="inlineStr">
        <is>
          <t>57.4</t>
        </is>
      </c>
      <c r="H7" s="2" t="inlineStr">
        <is>
          <t>AP 57.4 minival</t>
        </is>
      </c>
      <c r="I7" s="2" t="inlineStr">
        <is>
          <t>N/A</t>
        </is>
      </c>
      <c r="J7" s="2" t="inlineStr">
        <is>
          <t>218M</t>
        </is>
      </c>
      <c r="K7" s="2" t="inlineStr">
        <is>
          <t>Hybrid matching</t>
        </is>
      </c>
      <c r="L7" s="9" t="inlineStr">
        <is>
          <t>https://arxiv.org/abs/2207.13080</t>
        </is>
      </c>
      <c r="M7" s="9" t="inlineStr">
        <is>
          <t>https://github.com/HDETR/H-Deformable-DETR</t>
        </is>
      </c>
    </row>
    <row r="8" ht="48" customHeight="1">
      <c r="A8" s="3" t="inlineStr">
        <is>
          <t>Real-Time OD</t>
        </is>
      </c>
      <c r="B8" s="3" t="inlineStr">
        <is>
          <t>RT-DETRv4 (X)</t>
        </is>
      </c>
      <c r="C8" s="3" t="inlineStr">
        <is>
          <t>RT-DETRs</t>
        </is>
      </c>
      <c r="D8" s="3" t="inlineStr">
        <is>
          <t>arXiv</t>
        </is>
      </c>
      <c r="E8" s="3" t="inlineStr">
        <is>
          <t>2025-10</t>
        </is>
      </c>
      <c r="F8" s="3" t="inlineStr">
        <is>
          <t>Preprint</t>
        </is>
      </c>
      <c r="G8" s="3" t="inlineStr">
        <is>
          <t>57.0</t>
        </is>
      </c>
      <c r="H8" s="3" t="inlineStr">
        <is>
          <t>AP 57.0 minival</t>
        </is>
      </c>
      <c r="I8" s="3" t="inlineStr">
        <is>
          <t>78 T4</t>
        </is>
      </c>
      <c r="J8" s="3" t="inlineStr">
        <is>
          <t>N/A</t>
        </is>
      </c>
      <c r="K8" s="3" t="inlineStr">
        <is>
          <t>RT detector also evaluated on minival</t>
        </is>
      </c>
      <c r="L8" s="6" t="inlineStr">
        <is>
          <t>https://arxiv.org/abs/2510.25257</t>
        </is>
      </c>
      <c r="M8" s="6" t="inlineStr">
        <is>
          <t>https://github.com/RT-DETRs/RT-DETRv4</t>
        </is>
      </c>
    </row>
    <row r="9" ht="48" customHeight="1">
      <c r="A9" s="3" t="inlineStr">
        <is>
          <t>Real-Time OD</t>
        </is>
      </c>
      <c r="B9" s="3" t="inlineStr">
        <is>
          <t>DEIM-D-FINE-X</t>
        </is>
      </c>
      <c r="C9" s="3" t="inlineStr">
        <is>
          <t>Huang et al.</t>
        </is>
      </c>
      <c r="D9" s="3" t="inlineStr">
        <is>
          <t>CVPR</t>
        </is>
      </c>
      <c r="E9" s="3" t="inlineStr">
        <is>
          <t>2025-06</t>
        </is>
      </c>
      <c r="F9" s="3" t="inlineStr">
        <is>
          <t>Published</t>
        </is>
      </c>
      <c r="G9" s="3" t="inlineStr">
        <is>
          <t>56.5</t>
        </is>
      </c>
      <c r="H9" s="3" t="inlineStr">
        <is>
          <t>AP 56.5 minival</t>
        </is>
      </c>
      <c r="I9" s="3" t="inlineStr">
        <is>
          <t>78 T4</t>
        </is>
      </c>
      <c r="J9" s="3" t="inlineStr">
        <is>
          <t>N/A</t>
        </is>
      </c>
      <c r="K9" s="3" t="inlineStr">
        <is>
          <t>Paper-reported result</t>
        </is>
      </c>
      <c r="L9" s="6" t="inlineStr">
        <is>
          <t>https://arxiv.org/abs/2412.04234</t>
        </is>
      </c>
      <c r="M9" s="6" t="inlineStr">
        <is>
          <t>https://github.com/Intellindust-AI-Lab/DEIM</t>
        </is>
      </c>
    </row>
    <row r="10" ht="48" customHeight="1">
      <c r="A10" s="2" t="inlineStr">
        <is>
          <t>General OD</t>
        </is>
      </c>
      <c r="B10" s="2" t="inlineStr">
        <is>
          <t>DN-DETR</t>
        </is>
      </c>
      <c r="C10" s="2" t="inlineStr">
        <is>
          <t>Li et al.</t>
        </is>
      </c>
      <c r="D10" s="2" t="inlineStr">
        <is>
          <t>CVPR</t>
        </is>
      </c>
      <c r="E10" s="2" t="inlineStr">
        <is>
          <t>2022-03</t>
        </is>
      </c>
      <c r="F10" s="2" t="inlineStr">
        <is>
          <t>Published</t>
        </is>
      </c>
      <c r="G10" s="2" t="inlineStr">
        <is>
          <t>48.6</t>
        </is>
      </c>
      <c r="H10" s="2" t="inlineStr">
        <is>
          <t>AP 48.6 minival</t>
        </is>
      </c>
      <c r="I10" s="2" t="inlineStr">
        <is>
          <t>N/A</t>
        </is>
      </c>
      <c r="J10" s="2" t="inlineStr">
        <is>
          <t>48M</t>
        </is>
      </c>
      <c r="K10" s="2" t="inlineStr">
        <is>
          <t>Paper-reported result</t>
        </is>
      </c>
      <c r="L10" s="9" t="inlineStr">
        <is>
          <t>https://arxiv.org/abs/2203.01305</t>
        </is>
      </c>
      <c r="M10" s="9" t="inlineStr">
        <is>
          <t>https://github.com/IDEA-Research/DN-DETR</t>
        </is>
      </c>
    </row>
    <row r="11" ht="48" customHeight="1">
      <c r="A11" s="2" t="inlineStr">
        <is>
          <t>General OD</t>
        </is>
      </c>
      <c r="B11" s="2" t="inlineStr">
        <is>
          <t>DAB-DETR</t>
        </is>
      </c>
      <c r="C11" s="2" t="inlineStr">
        <is>
          <t>Liu et al.</t>
        </is>
      </c>
      <c r="D11" s="2" t="inlineStr">
        <is>
          <t>ICLR</t>
        </is>
      </c>
      <c r="E11" s="2" t="inlineStr">
        <is>
          <t>2022-03</t>
        </is>
      </c>
      <c r="F11" s="2" t="inlineStr">
        <is>
          <t>Published</t>
        </is>
      </c>
      <c r="G11" s="2" t="inlineStr">
        <is>
          <t>45.7</t>
        </is>
      </c>
      <c r="H11" s="2" t="inlineStr">
        <is>
          <t>AP 45.7 minival</t>
        </is>
      </c>
      <c r="I11" s="2" t="inlineStr">
        <is>
          <t>N/A</t>
        </is>
      </c>
      <c r="J11" s="2" t="inlineStr">
        <is>
          <t>48M</t>
        </is>
      </c>
      <c r="K11" s="2" t="inlineStr">
        <is>
          <t>Paper-reported result</t>
        </is>
      </c>
      <c r="L11" s="9" t="inlineStr">
        <is>
          <t>https://arxiv.org/abs/2201.12329</t>
        </is>
      </c>
      <c r="M11" s="9" t="inlineStr">
        <is>
          <t>https://github.com/IDEA-Research/DAB-DETR</t>
        </is>
      </c>
    </row>
    <row r="12" ht="48" customHeight="1">
      <c r="A12" s="2" t="inlineStr">
        <is>
          <t>General OD</t>
        </is>
      </c>
      <c r="B12" s="2" t="inlineStr">
        <is>
          <t>DETR (R101)</t>
        </is>
      </c>
      <c r="C12" s="2" t="inlineStr">
        <is>
          <t>Carion et al.</t>
        </is>
      </c>
      <c r="D12" s="2" t="inlineStr">
        <is>
          <t>ECCV</t>
        </is>
      </c>
      <c r="E12" s="2" t="inlineStr">
        <is>
          <t>2020-09</t>
        </is>
      </c>
      <c r="F12" s="2" t="inlineStr">
        <is>
          <t>Published</t>
        </is>
      </c>
      <c r="G12" s="2" t="inlineStr">
        <is>
          <t>43.5</t>
        </is>
      </c>
      <c r="H12" s="2" t="inlineStr">
        <is>
          <t>AP 43.5 minival</t>
        </is>
      </c>
      <c r="I12" s="2" t="inlineStr">
        <is>
          <t>20</t>
        </is>
      </c>
      <c r="J12" s="2" t="inlineStr">
        <is>
          <t>60M</t>
        </is>
      </c>
      <c r="K12" s="2" t="inlineStr">
        <is>
          <t>Baseline</t>
        </is>
      </c>
      <c r="L12" s="9" t="inlineStr">
        <is>
          <t>https://arxiv.org/abs/2005.12872</t>
        </is>
      </c>
      <c r="M12" s="9" t="inlineStr">
        <is>
          <t>https://github.com/facebookresearch/detr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B7" sqref="B7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Co-DETR (ViT-L)</t>
        </is>
      </c>
      <c r="C2" s="2" t="inlineStr">
        <is>
          <t>Zong et al.</t>
        </is>
      </c>
      <c r="D2" s="2" t="inlineStr">
        <is>
          <t>ICCV</t>
        </is>
      </c>
      <c r="E2" s="2" t="inlineStr">
        <is>
          <t>2023-10</t>
        </is>
      </c>
      <c r="F2" s="2" t="inlineStr">
        <is>
          <t>Published</t>
        </is>
      </c>
      <c r="G2" s="2" t="inlineStr">
        <is>
          <t>65.9</t>
        </is>
      </c>
      <c r="H2" s="2" t="inlineStr">
        <is>
          <t>AP 65.9 val</t>
        </is>
      </c>
      <c r="I2" s="2" t="inlineStr">
        <is>
          <t>N/A</t>
        </is>
      </c>
      <c r="J2" s="2" t="inlineStr">
        <is>
          <t>304M</t>
        </is>
      </c>
      <c r="K2" s="2" t="inlineStr">
        <is>
          <t>Paper-reported</t>
        </is>
      </c>
      <c r="L2" s="9" t="inlineStr">
        <is>
          <t>https://arxiv.org/abs/2211.12860</t>
        </is>
      </c>
      <c r="M2" s="9" t="inlineStr">
        <is>
          <t>https://github.com/Sense-X/Co-DETR</t>
        </is>
      </c>
    </row>
    <row r="3" ht="48" customHeight="1">
      <c r="A3" s="2" t="inlineStr">
        <is>
          <t>General OD</t>
        </is>
      </c>
      <c r="B3" s="2" t="inlineStr">
        <is>
          <t>InternImage-H</t>
        </is>
      </c>
      <c r="C3" s="2" t="inlineStr">
        <is>
          <t>Wang et al.</t>
        </is>
      </c>
      <c r="D3" s="2" t="inlineStr">
        <is>
          <t>CVPR</t>
        </is>
      </c>
      <c r="E3" s="2" t="inlineStr">
        <is>
          <t>2023-06</t>
        </is>
      </c>
      <c r="F3" s="2" t="inlineStr">
        <is>
          <t>Published</t>
        </is>
      </c>
      <c r="G3" s="2" t="inlineStr">
        <is>
          <t>65.0</t>
        </is>
      </c>
      <c r="H3" s="2" t="inlineStr">
        <is>
          <t>AP 65.0 val</t>
        </is>
      </c>
      <c r="I3" s="2" t="inlineStr">
        <is>
          <t>N/A</t>
        </is>
      </c>
      <c r="J3" s="2" t="inlineStr">
        <is>
          <t>≈1.08B</t>
        </is>
      </c>
      <c r="K3" s="2" t="inlineStr">
        <is>
          <t>Paper-reported result</t>
        </is>
      </c>
      <c r="L3" s="9" t="inlineStr">
        <is>
          <t>https://arxiv.org/abs/2211.05778</t>
        </is>
      </c>
      <c r="M3" s="9" t="inlineStr">
        <is>
          <t>https://github.com/OpenGVLab/InternImage</t>
        </is>
      </c>
    </row>
    <row r="4" ht="48" customHeight="1">
      <c r="A4" s="2" t="inlineStr">
        <is>
          <t>General OD</t>
        </is>
      </c>
      <c r="B4" s="2" t="inlineStr">
        <is>
          <t>EVA-02-Det</t>
        </is>
      </c>
      <c r="C4" s="2" t="inlineStr">
        <is>
          <t>Fang et al.</t>
        </is>
      </c>
      <c r="D4" s="2" t="inlineStr">
        <is>
          <t>arXiv</t>
        </is>
      </c>
      <c r="E4" s="2" t="inlineStr">
        <is>
          <t>2023-10</t>
        </is>
      </c>
      <c r="F4" s="2" t="inlineStr">
        <is>
          <t>Published</t>
        </is>
      </c>
      <c r="G4" s="2" t="inlineStr">
        <is>
          <t>64.1</t>
        </is>
      </c>
      <c r="H4" s="2" t="inlineStr">
        <is>
          <t>AP 64.1 val</t>
        </is>
      </c>
      <c r="I4" s="2" t="inlineStr">
        <is>
          <t>N/A</t>
        </is>
      </c>
      <c r="J4" s="2" t="inlineStr">
        <is>
          <t>≈600M</t>
        </is>
      </c>
      <c r="K4" s="2" t="inlineStr">
        <is>
          <t>Paper-reported result</t>
        </is>
      </c>
      <c r="L4" s="9" t="inlineStr">
        <is>
          <t>https://arxiv.org/abs/2303.11331</t>
        </is>
      </c>
      <c r="M4" s="9" t="inlineStr">
        <is>
          <t>https://github.com/baaivision/EVA</t>
        </is>
      </c>
    </row>
    <row r="5" ht="48" customHeight="1">
      <c r="A5" s="2" t="inlineStr">
        <is>
          <t>General OD</t>
        </is>
      </c>
      <c r="B5" s="2" t="inlineStr">
        <is>
          <t>Relation-DETR (FocalNet-L)</t>
        </is>
      </c>
      <c r="C5" s="2" t="inlineStr">
        <is>
          <t>Hou et al.</t>
        </is>
      </c>
      <c r="D5" s="2" t="inlineStr">
        <is>
          <t>ECCV</t>
        </is>
      </c>
      <c r="E5" s="2" t="inlineStr">
        <is>
          <t>2024-09</t>
        </is>
      </c>
      <c r="F5" s="2" t="inlineStr">
        <is>
          <t>Published</t>
        </is>
      </c>
      <c r="G5" s="2" t="inlineStr">
        <is>
          <t>63.5</t>
        </is>
      </c>
      <c r="H5" s="2" t="inlineStr">
        <is>
          <t>AP 63.5 val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ECCV 2024 Oral</t>
        </is>
      </c>
      <c r="L5" s="9" t="inlineStr">
        <is>
          <t>https://arxiv.org/abs/2407.11699</t>
        </is>
      </c>
      <c r="M5" s="9" t="inlineStr">
        <is>
          <t>https://github.com/xiuqhou/Relation-DETR</t>
        </is>
      </c>
    </row>
    <row r="6" ht="48" customHeight="1">
      <c r="A6" s="2" t="inlineStr">
        <is>
          <t>General OD</t>
        </is>
      </c>
      <c r="B6" s="2" t="inlineStr">
        <is>
          <t>DINO (Swin-L)</t>
        </is>
      </c>
      <c r="C6" s="2" t="inlineStr">
        <is>
          <t>Zhang et al.</t>
        </is>
      </c>
      <c r="D6" s="2" t="inlineStr">
        <is>
          <t>ICLR</t>
        </is>
      </c>
      <c r="E6" s="2" t="inlineStr">
        <is>
          <t>2023-03</t>
        </is>
      </c>
      <c r="F6" s="2" t="inlineStr">
        <is>
          <t>Published</t>
        </is>
      </c>
      <c r="G6" s="2" t="inlineStr">
        <is>
          <t>63.2</t>
        </is>
      </c>
      <c r="H6" s="2" t="inlineStr">
        <is>
          <t>AP 63.2 val</t>
        </is>
      </c>
      <c r="I6" s="2" t="inlineStr">
        <is>
          <t>N/A</t>
        </is>
      </c>
      <c r="J6" s="2" t="inlineStr">
        <is>
          <t>218M</t>
        </is>
      </c>
      <c r="K6" s="2" t="inlineStr">
        <is>
          <t>Paper-reported result</t>
        </is>
      </c>
      <c r="L6" s="9" t="inlineStr">
        <is>
          <t>https://arxiv.org/abs/2203.03605</t>
        </is>
      </c>
      <c r="M6" s="9" t="inlineStr">
        <is>
          <t>https://github.com/IDEA-Research/DINO</t>
        </is>
      </c>
    </row>
    <row r="7" ht="48" customHeight="1">
      <c r="A7" s="3" t="inlineStr">
        <is>
          <t>Real-Time OD</t>
        </is>
      </c>
      <c r="B7" s="3" t="inlineStr">
        <is>
          <t>RF-DETR (Large)</t>
        </is>
      </c>
      <c r="C7" s="3" t="inlineStr">
        <is>
          <t>Roboflow</t>
        </is>
      </c>
      <c r="D7" s="3" t="inlineStr">
        <is>
          <t>ICLR</t>
        </is>
      </c>
      <c r="E7" s="3" t="inlineStr">
        <is>
          <t>2026-04</t>
        </is>
      </c>
      <c r="F7" s="3" t="inlineStr">
        <is>
          <t>Accepted</t>
        </is>
      </c>
      <c r="G7" s="3" t="inlineStr">
        <is>
          <t>60.5</t>
        </is>
      </c>
      <c r="H7" s="3" t="inlineStr">
        <is>
          <t>AP 60.5 val</t>
        </is>
      </c>
      <c r="I7" s="3" t="inlineStr">
        <is>
          <t>T4 25</t>
        </is>
      </c>
      <c r="J7" s="3" t="inlineStr">
        <is>
          <t>N/A</t>
        </is>
      </c>
      <c r="K7" s="3" t="inlineStr">
        <is>
          <t>First RT &gt;60 AP; ICLR 2026</t>
        </is>
      </c>
      <c r="L7" s="6" t="inlineStr">
        <is>
          <t>https://arxiv.org/abs/2511.09554</t>
        </is>
      </c>
      <c r="M7" s="6" t="inlineStr">
        <is>
          <t>https://github.com/roboflow/rf-detr</t>
        </is>
      </c>
    </row>
    <row r="8" ht="48" customHeight="1">
      <c r="A8" s="3" t="inlineStr">
        <is>
          <t>Real-Time OD</t>
        </is>
      </c>
      <c r="B8" s="3" t="inlineStr">
        <is>
          <t>RT-DETRv4 (X)</t>
        </is>
      </c>
      <c r="C8" s="3" t="inlineStr">
        <is>
          <t>RT-DETRs</t>
        </is>
      </c>
      <c r="D8" s="3" t="inlineStr">
        <is>
          <t>arXiv</t>
        </is>
      </c>
      <c r="E8" s="3" t="inlineStr">
        <is>
          <t>2025-10</t>
        </is>
      </c>
      <c r="F8" s="3" t="inlineStr">
        <is>
          <t>Preprint</t>
        </is>
      </c>
      <c r="G8" s="3" t="inlineStr">
        <is>
          <t>57.0</t>
        </is>
      </c>
      <c r="H8" s="3" t="inlineStr">
        <is>
          <t>AP 57.0 val</t>
        </is>
      </c>
      <c r="I8" s="3" t="inlineStr">
        <is>
          <t>T4 78</t>
        </is>
      </c>
      <c r="J8" s="3" t="inlineStr">
        <is>
          <t>N/A</t>
        </is>
      </c>
      <c r="K8" s="3" t="inlineStr">
        <is>
          <t>Paper-reported result</t>
        </is>
      </c>
      <c r="L8" s="6" t="inlineStr">
        <is>
          <t>https://arxiv.org/abs/2510.25257</t>
        </is>
      </c>
      <c r="M8" s="6" t="inlineStr">
        <is>
          <t>https://github.com/RT-DETRs/RT-DETRv4</t>
        </is>
      </c>
    </row>
    <row r="9" ht="48" customHeight="1">
      <c r="A9" s="3" t="inlineStr">
        <is>
          <t>Real-Time OD</t>
        </is>
      </c>
      <c r="B9" s="3" t="inlineStr">
        <is>
          <t>DEIM-D-FINE-X</t>
        </is>
      </c>
      <c r="C9" s="3" t="inlineStr">
        <is>
          <t>Huang et al.</t>
        </is>
      </c>
      <c r="D9" s="3" t="inlineStr">
        <is>
          <t>CVPR</t>
        </is>
      </c>
      <c r="E9" s="3" t="inlineStr">
        <is>
          <t>2025-06</t>
        </is>
      </c>
      <c r="F9" s="3" t="inlineStr">
        <is>
          <t>Published</t>
        </is>
      </c>
      <c r="G9" s="3" t="inlineStr">
        <is>
          <t>56.5</t>
        </is>
      </c>
      <c r="H9" s="3" t="inlineStr">
        <is>
          <t>AP 56.5 val</t>
        </is>
      </c>
      <c r="I9" s="3" t="inlineStr">
        <is>
          <t>T4 78</t>
        </is>
      </c>
      <c r="J9" s="3" t="inlineStr">
        <is>
          <t>N/A</t>
        </is>
      </c>
      <c r="K9" s="3" t="inlineStr">
        <is>
          <t>Paper-reported result</t>
        </is>
      </c>
      <c r="L9" s="6" t="inlineStr">
        <is>
          <t>https://arxiv.org/abs/2412.04234</t>
        </is>
      </c>
      <c r="M9" s="6" t="inlineStr">
        <is>
          <t>https://github.com/Intellindust-AI-Lab/DEIM</t>
        </is>
      </c>
    </row>
    <row r="10" ht="48" customHeight="1">
      <c r="A10" s="3" t="inlineStr">
        <is>
          <t>Real-Time OD</t>
        </is>
      </c>
      <c r="B10" s="3" t="inlineStr">
        <is>
          <t>D-FINE-X</t>
        </is>
      </c>
      <c r="C10" s="3" t="inlineStr">
        <is>
          <t>Peng et al.</t>
        </is>
      </c>
      <c r="D10" s="3" t="inlineStr">
        <is>
          <t>ICLR</t>
        </is>
      </c>
      <c r="E10" s="3" t="inlineStr">
        <is>
          <t>2025-04</t>
        </is>
      </c>
      <c r="F10" s="3" t="inlineStr">
        <is>
          <t>Accepted</t>
        </is>
      </c>
      <c r="G10" s="3" t="inlineStr">
        <is>
          <t>55.8</t>
        </is>
      </c>
      <c r="H10" s="3" t="inlineStr">
        <is>
          <t>AP 55.8 val</t>
        </is>
      </c>
      <c r="I10" s="3" t="inlineStr">
        <is>
          <t>T4 78</t>
        </is>
      </c>
      <c r="J10" s="3" t="inlineStr">
        <is>
          <t>N/A</t>
        </is>
      </c>
      <c r="K10" s="3" t="inlineStr">
        <is>
          <t>ICLR 2025 Spotlight</t>
        </is>
      </c>
      <c r="L10" s="6" t="inlineStr">
        <is>
          <t>https://arxiv.org/abs/2410.13842</t>
        </is>
      </c>
      <c r="M10" s="6" t="inlineStr">
        <is>
          <t>https://github.com/Peterande/D-FINE</t>
        </is>
      </c>
    </row>
    <row r="11" ht="48" customHeight="1">
      <c r="A11" s="3" t="inlineStr">
        <is>
          <t>Real-Time OD</t>
        </is>
      </c>
      <c r="B11" s="3" t="inlineStr">
        <is>
          <t>YOLOv9-E</t>
        </is>
      </c>
      <c r="C11" s="3" t="inlineStr">
        <is>
          <t>Wang et al.</t>
        </is>
      </c>
      <c r="D11" s="3" t="inlineStr">
        <is>
          <t>ECCV</t>
        </is>
      </c>
      <c r="E11" s="3" t="inlineStr">
        <is>
          <t>2024-09</t>
        </is>
      </c>
      <c r="F11" s="3" t="inlineStr">
        <is>
          <t>Published</t>
        </is>
      </c>
      <c r="G11" s="3" t="inlineStr">
        <is>
          <t>55.6</t>
        </is>
      </c>
      <c r="H11" s="3" t="inlineStr">
        <is>
          <t>AP 55.6 val</t>
        </is>
      </c>
      <c r="I11" s="3" t="inlineStr">
        <is>
          <t>57</t>
        </is>
      </c>
      <c r="J11" s="3" t="inlineStr">
        <is>
          <t>57.3M</t>
        </is>
      </c>
      <c r="K11" s="3" t="inlineStr">
        <is>
          <t>Paper-reported result</t>
        </is>
      </c>
      <c r="L11" s="6" t="inlineStr">
        <is>
          <t>https://arxiv.org/abs/2402.13616</t>
        </is>
      </c>
      <c r="M11" s="6" t="inlineStr">
        <is>
          <t>https://github.com/WongKinYiu/yolov9</t>
        </is>
      </c>
    </row>
    <row r="12" ht="48" customHeight="1">
      <c r="A12" s="3" t="inlineStr">
        <is>
          <t>Real-Time OD</t>
        </is>
      </c>
      <c r="B12" s="3" t="inlineStr">
        <is>
          <t>YOLOv12-X</t>
        </is>
      </c>
      <c r="C12" s="3" t="inlineStr">
        <is>
          <t>Tian et al.</t>
        </is>
      </c>
      <c r="D12" s="3" t="inlineStr">
        <is>
          <t>NeurIPS</t>
        </is>
      </c>
      <c r="E12" s="3" t="inlineStr">
        <is>
          <t>2025-02</t>
        </is>
      </c>
      <c r="F12" s="3" t="inlineStr">
        <is>
          <t>Accepted</t>
        </is>
      </c>
      <c r="G12" s="3" t="inlineStr">
        <is>
          <t>55.2</t>
        </is>
      </c>
      <c r="H12" s="3" t="inlineStr">
        <is>
          <t>AP 55.2 val</t>
        </is>
      </c>
      <c r="I12" s="3" t="inlineStr">
        <is>
          <t>T4 ≈90</t>
        </is>
      </c>
      <c r="J12" s="3" t="inlineStr">
        <is>
          <t>59.1M</t>
        </is>
      </c>
      <c r="K12" s="3" t="inlineStr">
        <is>
          <t>Paper-reported result</t>
        </is>
      </c>
      <c r="L12" s="6" t="inlineStr">
        <is>
          <t>https://arxiv.org/abs/2502.12524</t>
        </is>
      </c>
      <c r="M12" s="6" t="inlineStr">
        <is>
          <t>https://github.com/sunsmarterjie/yolov12</t>
        </is>
      </c>
    </row>
    <row r="13" ht="48" customHeight="1">
      <c r="A13" s="3" t="inlineStr">
        <is>
          <t>Real-Time OD</t>
        </is>
      </c>
      <c r="B13" s="3" t="inlineStr">
        <is>
          <t>YOLO11x</t>
        </is>
      </c>
      <c r="C13" s="3" t="inlineStr">
        <is>
          <t>Ultralytics</t>
        </is>
      </c>
      <c r="D13" s="3" t="inlineStr">
        <is>
          <t>Official Docs</t>
        </is>
      </c>
      <c r="E13" s="3" t="inlineStr">
        <is>
          <t>2024-09</t>
        </is>
      </c>
      <c r="F13" s="3" t="inlineStr">
        <is>
          <t>Official Docs</t>
        </is>
      </c>
      <c r="G13" s="3" t="inlineStr">
        <is>
          <t>54.7</t>
        </is>
      </c>
      <c r="H13" s="3" t="inlineStr">
        <is>
          <t>AP 54.7 val</t>
        </is>
      </c>
      <c r="I13" s="3" t="inlineStr">
        <is>
          <t>T4 ≈110</t>
        </is>
      </c>
      <c r="J13" s="3" t="inlineStr">
        <is>
          <t>56.9M</t>
        </is>
      </c>
      <c r="K13" s="3" t="inlineStr">
        <is>
          <t>Official documentation</t>
        </is>
      </c>
      <c r="L13" s="6" t="inlineStr">
        <is>
          <t>https://docs.ultralytics.com/models/yolo11/</t>
        </is>
      </c>
      <c r="M13" s="6" t="inlineStr">
        <is>
          <t>https://github.com/ultralytics/ultralytics</t>
        </is>
      </c>
    </row>
    <row r="14">
      <c r="A14" s="3" t="inlineStr">
        <is>
          <t>General OD</t>
        </is>
      </c>
      <c r="B14" s="3" t="inlineStr">
        <is>
          <t>VFM$^{4}$SDG: Unveiling the Power of VFMs for Single-Domain Generalized Object Detection</t>
        </is>
      </c>
      <c r="C14" s="3" t="inlineStr">
        <is>
          <t>Yupeng Zhang, Ruize Han, Ningnan Guo, Wei Feng, Song Wang, Liang Wan</t>
        </is>
      </c>
      <c r="D14" s="3" t="inlineStr">
        <is>
          <t>arXiv</t>
        </is>
      </c>
      <c r="E14" s="3" t="inlineStr">
        <is>
          <t>2026-04</t>
        </is>
      </c>
      <c r="F14" s="3" t="inlineStr">
        <is>
          <t>Preprint</t>
        </is>
      </c>
      <c r="G14" s="3" t="n"/>
      <c r="H14" s="3" t="n"/>
      <c r="I14" s="3" t="n"/>
      <c r="J14" s="3" t="n"/>
      <c r="K14" s="3" t="inlineStr">
        <is>
          <t>Auto-fetched from arXiv; metrics To verify</t>
        </is>
      </c>
      <c r="L14" s="6" t="inlineStr">
        <is>
          <t>https://arxiv.org/abs/2604.21502</t>
        </is>
      </c>
      <c r="M14" s="6" t="n"/>
    </row>
    <row r="15">
      <c r="A15" s="3" t="inlineStr">
        <is>
          <t>General OD</t>
        </is>
      </c>
      <c r="B15" s="3" t="inlineStr">
        <is>
          <t>UHR-DETR: Efficient End-to-End Small Object Detection for Ultra-High-Resolution Remote Sen</t>
        </is>
      </c>
      <c r="C15" s="3" t="inlineStr">
        <is>
          <t>Jingfang Li, Haoran Zhu, Wen Yang, Jinrui Zhang, Fang Xu, Haijian Zhang, Gui-Song Xia</t>
        </is>
      </c>
      <c r="D15" s="3" t="inlineStr">
        <is>
          <t>arXiv</t>
        </is>
      </c>
      <c r="E15" s="3" t="inlineStr">
        <is>
          <t>2026-04</t>
        </is>
      </c>
      <c r="F15" s="3" t="inlineStr">
        <is>
          <t>Preprint</t>
        </is>
      </c>
      <c r="G15" s="3" t="n"/>
      <c r="H15" s="3" t="n"/>
      <c r="I15" s="3" t="n"/>
      <c r="J15" s="3" t="n"/>
      <c r="K15" s="3" t="inlineStr">
        <is>
          <t>Auto-fetched from arXiv; metrics To verify</t>
        </is>
      </c>
      <c r="L15" s="6" t="inlineStr">
        <is>
          <t>https://arxiv.org/abs/2604.21435</t>
        </is>
      </c>
      <c r="M15" s="6" t="n"/>
    </row>
    <row r="16">
      <c r="A16" s="3" t="inlineStr">
        <is>
          <t>Real-Time OD</t>
        </is>
      </c>
      <c r="B16" s="3" t="inlineStr">
        <is>
          <t>DEIMv2 (DINOv3)</t>
        </is>
      </c>
      <c r="C16" s="3" t="inlineStr">
        <is>
          <t>Huang et al.</t>
        </is>
      </c>
      <c r="D16" s="3" t="inlineStr">
        <is>
          <t>arXiv</t>
        </is>
      </c>
      <c r="E16" s="3" t="inlineStr">
        <is>
          <t>2025-09</t>
        </is>
      </c>
      <c r="F16" s="3" t="inlineStr">
        <is>
          <t>Preprint</t>
        </is>
      </c>
      <c r="G16" s="3" t="n">
        <v>57.8</v>
      </c>
      <c r="H16" s="3" t="inlineStr">
        <is>
          <t>AP 57.8 val (DEIMv2-X)</t>
        </is>
      </c>
      <c r="I16" s="3" t="n"/>
      <c r="J16" s="3" t="n"/>
      <c r="K16" s="3" t="inlineStr">
        <is>
          <t>✅ 已驗證 (DEIMv2 arXiv25 Table 3, COCO val2017)：DEIMv2-X 57.8% AP, DINOv3 backbone [End-to-end RT-OD]</t>
        </is>
      </c>
      <c r="L16" s="6" t="inlineStr">
        <is>
          <t>https://arxiv.org/abs/2509.20787</t>
        </is>
      </c>
      <c r="M16" s="6" t="inlineStr">
        <is>
          <t>https://github.com/Intellindust-AI-Lab/DEIMv2</t>
        </is>
      </c>
    </row>
    <row r="17">
      <c r="A17" s="3" t="inlineStr">
        <is>
          <t>Real-Time OD</t>
        </is>
      </c>
      <c r="B17" s="3" t="inlineStr">
        <is>
          <t>YOLOv13-X</t>
        </is>
      </c>
      <c r="C17" s="3" t="inlineStr">
        <is>
          <t>iMoonLab</t>
        </is>
      </c>
      <c r="D17" s="3" t="inlineStr">
        <is>
          <t>arXiv</t>
        </is>
      </c>
      <c r="E17" s="3" t="inlineStr">
        <is>
          <t>2025-06</t>
        </is>
      </c>
      <c r="F17" s="3" t="inlineStr">
        <is>
          <t>Preprint</t>
        </is>
      </c>
      <c r="G17" s="3" t="n">
        <v>54.8</v>
      </c>
      <c r="H17" s="3" t="inlineStr">
        <is>
          <t>AP 54.8 val</t>
        </is>
      </c>
      <c r="I17" s="3" t="n"/>
      <c r="J17" s="3" t="n"/>
      <c r="K17" s="3" t="inlineStr">
        <is>
          <t>✅ 已驗證 (YOLOv13 Table I, COCO val2017)：YOLOv13-X 54.8% AP, 14.7ms latency [Real-Time OD]</t>
        </is>
      </c>
      <c r="L17" s="6" t="inlineStr">
        <is>
          <t>https://arxiv.org/abs/2506.17733</t>
        </is>
      </c>
      <c r="M17" s="6" t="inlineStr">
        <is>
          <t>https://github.com/iMoonLab/yolov13</t>
        </is>
      </c>
    </row>
    <row r="18">
      <c r="A18" s="3" t="inlineStr">
        <is>
          <t>Real-Time OD</t>
        </is>
      </c>
      <c r="B18" s="3" t="inlineStr">
        <is>
          <t>DEIM-D-FINE-L</t>
        </is>
      </c>
      <c r="C18" s="3" t="inlineStr">
        <is>
          <t>Huang et al.</t>
        </is>
      </c>
      <c r="D18" s="3" t="inlineStr">
        <is>
          <t>CVPR</t>
        </is>
      </c>
      <c r="E18" s="3" t="inlineStr">
        <is>
          <t>2025-06</t>
        </is>
      </c>
      <c r="F18" s="3" t="inlineStr">
        <is>
          <t>Preprint</t>
        </is>
      </c>
      <c r="G18" s="3" t="n">
        <v>54.7</v>
      </c>
      <c r="H18" s="3" t="inlineStr">
        <is>
          <t>AP 54.7 val</t>
        </is>
      </c>
      <c r="I18" s="3" t="n"/>
      <c r="J18" s="3" t="n"/>
      <c r="K18" s="3" t="inlineStr">
        <is>
          <t>✅ 已驗證 (DEIM CVPR25 Table 1, COCO val2017)：DEIM-D-FINE-L 54.7% AP, 8.07ms [End-to-end RT-OD]</t>
        </is>
      </c>
      <c r="L18" s="6" t="inlineStr">
        <is>
          <t>https://arxiv.org/abs/2412.04234</t>
        </is>
      </c>
      <c r="M18" s="6" t="inlineStr">
        <is>
          <t>https://github.com/Intellindust-AI-Lab/DEIM</t>
        </is>
      </c>
    </row>
    <row r="19">
      <c r="A19" s="3" t="inlineStr">
        <is>
          <t>Real-Time OD</t>
        </is>
      </c>
      <c r="B19" s="3" t="inlineStr">
        <is>
          <t>D-FINE-L</t>
        </is>
      </c>
      <c r="C19" s="3" t="inlineStr">
        <is>
          <t>Peng et al.</t>
        </is>
      </c>
      <c r="D19" s="3" t="inlineStr">
        <is>
          <t>ICLR</t>
        </is>
      </c>
      <c r="E19" s="3" t="inlineStr">
        <is>
          <t>2025-04</t>
        </is>
      </c>
      <c r="F19" s="3" t="inlineStr">
        <is>
          <t>Preprint</t>
        </is>
      </c>
      <c r="G19" s="3" t="n">
        <v>54</v>
      </c>
      <c r="H19" s="3" t="inlineStr">
        <is>
          <t>AP 54.0 val</t>
        </is>
      </c>
      <c r="I19" s="3" t="n"/>
      <c r="J19" s="3" t="n"/>
      <c r="K19" s="3" t="inlineStr">
        <is>
          <t>✅ 已驗證 (D-FINE Table 1, COCO val2017)：D-FINE-L 54.0% AP, 8.07ms latency [Real-Time OD end-to-end]</t>
        </is>
      </c>
      <c r="L19" s="6" t="inlineStr">
        <is>
          <t>https://arxiv.org/abs/2410.13842</t>
        </is>
      </c>
      <c r="M19" s="6" t="inlineStr">
        <is>
          <t>https://github.com/Peterande/D-FINE</t>
        </is>
      </c>
    </row>
    <row r="20">
      <c r="A20" s="3" t="inlineStr">
        <is>
          <t>Real-Time OD</t>
        </is>
      </c>
      <c r="B20" s="3" t="inlineStr">
        <is>
          <t>RT-DETRv3-R101</t>
        </is>
      </c>
      <c r="C20" s="3" t="inlineStr">
        <is>
          <t>Wang et al.</t>
        </is>
      </c>
      <c r="D20" s="3" t="inlineStr">
        <is>
          <t>WACV</t>
        </is>
      </c>
      <c r="E20" s="3" t="inlineStr">
        <is>
          <t>2025-02</t>
        </is>
      </c>
      <c r="F20" s="3" t="inlineStr">
        <is>
          <t>Preprint</t>
        </is>
      </c>
      <c r="G20" s="3" t="n">
        <v>54.6</v>
      </c>
      <c r="H20" s="3" t="inlineStr">
        <is>
          <t>AP 54.6 val (6x)</t>
        </is>
      </c>
      <c r="I20" s="3" t="n"/>
      <c r="J20" s="3" t="n"/>
      <c r="K20" s="3" t="inlineStr">
        <is>
          <t>✅ 已驗證 (RT-DETRv3 Table 1, COCO val2017 6x)：RT-DETRv3-R101 54.6% AP, 13.5ms [End-to-end RT-OD]</t>
        </is>
      </c>
      <c r="L20" s="6" t="inlineStr">
        <is>
          <t>https://arxiv.org/abs/2409.08475</t>
        </is>
      </c>
      <c r="M20" s="6" t="inlineStr">
        <is>
          <t>https://github.com/clxia12/RT-DETRv3</t>
        </is>
      </c>
    </row>
    <row r="21">
      <c r="A21" s="3" t="inlineStr">
        <is>
          <t>Few-Shot OD</t>
        </is>
      </c>
      <c r="B21" s="3" t="inlineStr">
        <is>
          <t>Grounding DINO</t>
        </is>
      </c>
      <c r="C21" s="3" t="inlineStr">
        <is>
          <t>Liu et al.</t>
        </is>
      </c>
      <c r="D21" s="3" t="inlineStr">
        <is>
          <t>ECCV</t>
        </is>
      </c>
      <c r="E21" s="3" t="inlineStr">
        <is>
          <t>2024-10</t>
        </is>
      </c>
      <c r="F21" s="3" t="inlineStr">
        <is>
          <t>Preprint</t>
        </is>
      </c>
      <c r="G21" s="3" t="n">
        <v>52.5</v>
      </c>
      <c r="H21" s="3" t="inlineStr">
        <is>
          <t>AP 52.5 zero-shot</t>
        </is>
      </c>
      <c r="I21" s="3" t="n"/>
      <c r="J21" s="3" t="n"/>
      <c r="K21" s="3" t="inlineStr">
        <is>
          <t>✅ 已驗證 (Grounding DINO ECCV24)：52.5 AP zero-shot COCO transfer [Open-set OD]</t>
        </is>
      </c>
      <c r="L21" s="6" t="inlineStr">
        <is>
          <t>https://arxiv.org/abs/2303.05499</t>
        </is>
      </c>
      <c r="M21" s="6" t="inlineStr">
        <is>
          <t>https://github.com/IDEA-Research/GroundingDINO</t>
        </is>
      </c>
    </row>
    <row r="22">
      <c r="A22" s="3" t="inlineStr">
        <is>
          <t>Real-Time OD</t>
        </is>
      </c>
      <c r="B22" s="3" t="inlineStr">
        <is>
          <t>RT-DETRv2-R101</t>
        </is>
      </c>
      <c r="C22" s="3" t="inlineStr">
        <is>
          <t>Lv et al.</t>
        </is>
      </c>
      <c r="D22" s="3" t="inlineStr">
        <is>
          <t>arXiv</t>
        </is>
      </c>
      <c r="E22" s="3" t="inlineStr">
        <is>
          <t>2024-07</t>
        </is>
      </c>
      <c r="F22" s="3" t="inlineStr">
        <is>
          <t>Preprint</t>
        </is>
      </c>
      <c r="G22" s="3" t="n">
        <v>54.3</v>
      </c>
      <c r="H22" s="3" t="inlineStr">
        <is>
          <t>AP 54.3 val</t>
        </is>
      </c>
      <c r="I22" s="3" t="n"/>
      <c r="J22" s="3" t="n"/>
      <c r="K22" s="3" t="inlineStr">
        <is>
          <t>✅ 已驗證 (D-FINE Table 1, COCO val2017)：RT-DETRv2-R101 54.3% AP, 13.66ms [Real-Time OD]</t>
        </is>
      </c>
      <c r="L22" s="6" t="inlineStr">
        <is>
          <t>https://arxiv.org/abs/2407.17140</t>
        </is>
      </c>
      <c r="M22" s="6" t="inlineStr">
        <is>
          <t>https://github.com/lyuwenyu/RT-DETR</t>
        </is>
      </c>
    </row>
    <row r="23">
      <c r="A23" s="3" t="inlineStr">
        <is>
          <t>Real-Time OD</t>
        </is>
      </c>
      <c r="B23" s="3" t="inlineStr">
        <is>
          <t>RT-DETR-R101</t>
        </is>
      </c>
      <c r="C23" s="3" t="inlineStr">
        <is>
          <t>Zhao et al.</t>
        </is>
      </c>
      <c r="D23" s="3" t="inlineStr">
        <is>
          <t>CVPR</t>
        </is>
      </c>
      <c r="E23" s="3" t="inlineStr">
        <is>
          <t>2024-06</t>
        </is>
      </c>
      <c r="F23" s="3" t="inlineStr">
        <is>
          <t>Preprint</t>
        </is>
      </c>
      <c r="G23" s="3" t="n">
        <v>54.3</v>
      </c>
      <c r="H23" s="3" t="inlineStr">
        <is>
          <t>AP 54.3 val</t>
        </is>
      </c>
      <c r="I23" s="3" t="n"/>
      <c r="J23" s="3" t="n"/>
      <c r="K23" s="3" t="inlineStr">
        <is>
          <t>✅ 已驗證 (D-FINE Table 1, COCO val2017)：RT-DETR-R101 54.3% AP, 13.61ms [Real-Time OD]</t>
        </is>
      </c>
      <c r="L23" s="6" t="inlineStr">
        <is>
          <t>https://arxiv.org/abs/2304.08069</t>
        </is>
      </c>
      <c r="M23" s="6" t="inlineStr">
        <is>
          <t>https://github.com/lyuwenyu/RT-DETR</t>
        </is>
      </c>
    </row>
    <row r="24">
      <c r="A24" s="3" t="inlineStr">
        <is>
          <t>Few-Shot OD</t>
        </is>
      </c>
      <c r="B24" s="3" t="inlineStr">
        <is>
          <t>UniFS (UniDetector)</t>
        </is>
      </c>
      <c r="C24" s="3" t="inlineStr">
        <is>
          <t>Wang et al.</t>
        </is>
      </c>
      <c r="D24" s="3" t="inlineStr">
        <is>
          <t>CVPR</t>
        </is>
      </c>
      <c r="E24" s="3" t="inlineStr">
        <is>
          <t>2023-06</t>
        </is>
      </c>
      <c r="F24" s="3" t="inlineStr">
        <is>
          <t>Preprint</t>
        </is>
      </c>
      <c r="G24" s="3" t="n">
        <v>49.3</v>
      </c>
      <c r="H24" s="3" t="inlineStr">
        <is>
          <t>AP 49.3 val (R50 1×)</t>
        </is>
      </c>
      <c r="I24" s="3" t="n"/>
      <c r="J24" s="3" t="n"/>
      <c r="K24" s="3" t="inlineStr">
        <is>
          <t>✅ 已驗證 (UniDetector CVPR23 Table 2)：UniDetector ResNet-50 1× → 49.3 AP COCO val [Universal OD]</t>
        </is>
      </c>
      <c r="L24" s="6" t="inlineStr">
        <is>
          <t>https://arxiv.org/abs/2303.11749</t>
        </is>
      </c>
      <c r="M24" s="6" t="inlineStr">
        <is>
          <t>https://github.com/zhenyuw16/UniDetector</t>
        </is>
      </c>
    </row>
    <row r="25">
      <c r="A25" s="3" t="inlineStr">
        <is>
          <t>Real-Time OD</t>
        </is>
      </c>
      <c r="B25" s="3" t="inlineStr">
        <is>
          <t>RTMDet-X</t>
        </is>
      </c>
      <c r="C25" s="3" t="inlineStr">
        <is>
          <t>Lyu et al.</t>
        </is>
      </c>
      <c r="D25" s="3" t="inlineStr">
        <is>
          <t>arXiv</t>
        </is>
      </c>
      <c r="E25" s="3" t="inlineStr">
        <is>
          <t>2022-12</t>
        </is>
      </c>
      <c r="F25" s="3" t="inlineStr">
        <is>
          <t>Preprint</t>
        </is>
      </c>
      <c r="G25" s="3" t="n">
        <v>52.8</v>
      </c>
      <c r="H25" s="3" t="inlineStr">
        <is>
          <t>AP 52.8 val</t>
        </is>
      </c>
      <c r="I25" s="3" t="n"/>
      <c r="J25" s="3" t="n"/>
      <c r="K25" s="3" t="inlineStr">
        <is>
          <t>✅ 已驗證 (D-FINE Table 1, COCO val2017)：RTMDet-X 52.8% AP, 21.59ms [Real-Time OD]</t>
        </is>
      </c>
      <c r="L25" s="6" t="inlineStr">
        <is>
          <t>https://arxiv.org/abs/2212.07784</t>
        </is>
      </c>
      <c r="M25" s="6" t="inlineStr">
        <is>
          <t>https://github.com/open-mmlab/mmdetection</t>
        </is>
      </c>
    </row>
    <row r="26">
      <c r="A26" s="3" t="inlineStr">
        <is>
          <t>General OD</t>
        </is>
      </c>
      <c r="B26" s="3" t="inlineStr">
        <is>
          <t>ViTDet (ViT-H, MAE)</t>
        </is>
      </c>
      <c r="C26" s="3" t="inlineStr">
        <is>
          <t>Li et al.</t>
        </is>
      </c>
      <c r="D26" s="3" t="inlineStr">
        <is>
          <t>ECCV</t>
        </is>
      </c>
      <c r="E26" s="3" t="inlineStr">
        <is>
          <t>2022-09</t>
        </is>
      </c>
      <c r="F26" s="3" t="inlineStr">
        <is>
          <t>Preprint</t>
        </is>
      </c>
      <c r="G26" s="3" t="n">
        <v>61.3</v>
      </c>
      <c r="H26" s="3" t="inlineStr">
        <is>
          <t>AP 61.3 (ViT-H)</t>
        </is>
      </c>
      <c r="I26" s="3" t="n"/>
      <c r="J26" s="3" t="n"/>
      <c r="K26" s="3" t="inlineStr">
        <is>
          <t>✅ 已驗證 (ViTDet ECCV22 abstract)：61.3 box AP on COCO with plain ViT-H, MAE pre-training [Plain ViT OD]</t>
        </is>
      </c>
      <c r="L26" s="6" t="inlineStr">
        <is>
          <t>https://arxiv.org/abs/2203.16527</t>
        </is>
      </c>
      <c r="M26" s="6" t="inlineStr">
        <is>
          <t>https://github.com/facebookresearch/detectron2</t>
        </is>
      </c>
    </row>
    <row r="27">
      <c r="A27" s="3" t="inlineStr">
        <is>
          <t>Real-Time OD</t>
        </is>
      </c>
      <c r="B27" s="3" t="inlineStr">
        <is>
          <t>YOLOv6-L</t>
        </is>
      </c>
      <c r="C27" s="3" t="inlineStr">
        <is>
          <t>Li et al.</t>
        </is>
      </c>
      <c r="D27" s="3" t="inlineStr">
        <is>
          <t>arXiv</t>
        </is>
      </c>
      <c r="E27" s="3" t="inlineStr">
        <is>
          <t>2022-09</t>
        </is>
      </c>
      <c r="F27" s="3" t="inlineStr">
        <is>
          <t>Preprint</t>
        </is>
      </c>
      <c r="G27" s="3" t="n">
        <v>52.8</v>
      </c>
      <c r="H27" s="3" t="inlineStr">
        <is>
          <t>AP 52.8 val</t>
        </is>
      </c>
      <c r="I27" s="3" t="n"/>
      <c r="J27" s="3" t="n"/>
      <c r="K27" s="3" t="inlineStr">
        <is>
          <t>✅ 已驗證 (D-FINE Table 1, COCO val2017)：YOLOv6-L 52.8% AP, 9.04ms [Real-Time OD]</t>
        </is>
      </c>
      <c r="L27" s="6" t="inlineStr">
        <is>
          <t>https://arxiv.org/abs/2209.02976</t>
        </is>
      </c>
      <c r="M27" s="6" t="inlineStr">
        <is>
          <t>https://github.com/meituan/YOLOv6</t>
        </is>
      </c>
    </row>
    <row r="28">
      <c r="A28" s="3" t="inlineStr">
        <is>
          <t>Few-Shot OD</t>
        </is>
      </c>
      <c r="B28" s="3" t="inlineStr">
        <is>
          <t>DETReg</t>
        </is>
      </c>
      <c r="C28" s="3" t="inlineStr">
        <is>
          <t>Bar et al.</t>
        </is>
      </c>
      <c r="D28" s="3" t="inlineStr">
        <is>
          <t>CVPR</t>
        </is>
      </c>
      <c r="E28" s="3" t="inlineStr">
        <is>
          <t>2022-06</t>
        </is>
      </c>
      <c r="F28" s="3" t="inlineStr">
        <is>
          <t>Preprint</t>
        </is>
      </c>
      <c r="G28" s="3" t="n">
        <v>45.5</v>
      </c>
      <c r="H28" s="3" t="inlineStr">
        <is>
          <t>AP 45.5 (semi-sup, Table 1)</t>
        </is>
      </c>
      <c r="I28" s="3" t="n"/>
      <c r="J28" s="3" t="n"/>
      <c r="K28" s="3" t="inlineStr">
        <is>
          <t>✅ 已驗證 (DETReg CVPR22 Table 1)：DETReg 45.5 AP COCO val under semi-supervised fine-tuning [Self-supervised pre-train OD]</t>
        </is>
      </c>
      <c r="L28" s="6" t="inlineStr">
        <is>
          <t>https://arxiv.org/abs/2106.04550</t>
        </is>
      </c>
      <c r="M28" s="6" t="inlineStr">
        <is>
          <t>https://github.com/amirbar/DETReg</t>
        </is>
      </c>
    </row>
    <row r="29">
      <c r="A29" s="3" t="inlineStr">
        <is>
          <t>General OD</t>
        </is>
      </c>
      <c r="B29" s="3" t="inlineStr">
        <is>
          <t>DN-DETR</t>
        </is>
      </c>
      <c r="C29" s="3" t="inlineStr">
        <is>
          <t>Li et al.</t>
        </is>
      </c>
      <c r="D29" s="3" t="inlineStr">
        <is>
          <t>CVPR</t>
        </is>
      </c>
      <c r="E29" s="3" t="inlineStr">
        <is>
          <t>2022-03</t>
        </is>
      </c>
      <c r="F29" s="3" t="inlineStr">
        <is>
          <t>Preprint</t>
        </is>
      </c>
      <c r="G29" s="3" t="n">
        <v>43.4</v>
      </c>
      <c r="H29" s="3" t="inlineStr">
        <is>
          <t>AP 43.4 (DN-Deformable-DETR-R50, 12ep)</t>
        </is>
      </c>
      <c r="I29" s="3" t="n"/>
      <c r="J29" s="3" t="n"/>
      <c r="K29" s="3" t="inlineStr">
        <is>
          <t>✅ 已驗證 (DN-DETR CVPR22 Table 1)：DN-Deformable-DETR-R50 43.4% AP COCO val [DETR denoising training]</t>
        </is>
      </c>
      <c r="L29" s="6" t="inlineStr">
        <is>
          <t>https://arxiv.org/abs/2203.01305</t>
        </is>
      </c>
      <c r="M29" s="6" t="inlineStr">
        <is>
          <t>https://github.com/IDEA-Research/DN-DETR</t>
        </is>
      </c>
    </row>
    <row r="30">
      <c r="A30" s="3" t="inlineStr">
        <is>
          <t>General OD</t>
        </is>
      </c>
      <c r="B30" s="3" t="inlineStr">
        <is>
          <t>DAB-DETR</t>
        </is>
      </c>
      <c r="C30" s="3" t="inlineStr">
        <is>
          <t>Liu et al.</t>
        </is>
      </c>
      <c r="D30" s="3" t="inlineStr">
        <is>
          <t>ICLR</t>
        </is>
      </c>
      <c r="E30" s="3" t="inlineStr">
        <is>
          <t>2022-03</t>
        </is>
      </c>
      <c r="F30" s="3" t="inlineStr">
        <is>
          <t>Preprint</t>
        </is>
      </c>
      <c r="G30" s="3" t="n">
        <v>46.8</v>
      </c>
      <c r="H30" s="3" t="inlineStr">
        <is>
          <t>AP 46.8 (DAB-Deformable-DETR-R50)</t>
        </is>
      </c>
      <c r="I30" s="3" t="n"/>
      <c r="J30" s="3" t="n"/>
      <c r="K30" s="3" t="inlineStr">
        <is>
          <t>✅ 已驗證 (DAB-DETR ICLR22 Table 2)：DAB-Deformable-DETR-R50 46.8% AP COCO val [DETR variant]</t>
        </is>
      </c>
      <c r="L30" s="6" t="inlineStr">
        <is>
          <t>https://arxiv.org/abs/2201.12329</t>
        </is>
      </c>
      <c r="M30" s="6" t="inlineStr">
        <is>
          <t>https://github.com/IDEA-Research/DAB-DETR</t>
        </is>
      </c>
    </row>
    <row r="31">
      <c r="A31" s="3" t="inlineStr">
        <is>
          <t>General OD</t>
        </is>
      </c>
      <c r="B31" s="3" t="inlineStr">
        <is>
          <t>Deformable DETR (R50)</t>
        </is>
      </c>
      <c r="C31" s="3" t="inlineStr">
        <is>
          <t>Zhu et al.</t>
        </is>
      </c>
      <c r="D31" s="3" t="inlineStr">
        <is>
          <t>ICLR</t>
        </is>
      </c>
      <c r="E31" s="3" t="inlineStr">
        <is>
          <t>2021-05</t>
        </is>
      </c>
      <c r="F31" s="3" t="inlineStr">
        <is>
          <t>Preprint</t>
        </is>
      </c>
      <c r="G31" s="3" t="n">
        <v>46.9</v>
      </c>
      <c r="H31" s="3" t="inlineStr">
        <is>
          <t>AP 46.9 (ResNet-50)</t>
        </is>
      </c>
      <c r="I31" s="3" t="n"/>
      <c r="J31" s="3" t="n"/>
      <c r="K31" s="3" t="inlineStr">
        <is>
          <t>✅ 已驗證 (Deformable DETR ICLR21 Table 3)：R50 backbone, 46.9% AP on COCO 2017 test-dev [DETR-based OD]</t>
        </is>
      </c>
      <c r="L31" s="6" t="inlineStr">
        <is>
          <t>https://arxiv.org/abs/2010.04159</t>
        </is>
      </c>
      <c r="M31" s="6" t="inlineStr">
        <is>
          <t>https://github.com/fundamentalvision/Deformable-DETR</t>
        </is>
      </c>
    </row>
    <row r="32">
      <c r="A32" s="3" t="inlineStr">
        <is>
          <t>General OD</t>
        </is>
      </c>
      <c r="B32" s="3" t="inlineStr">
        <is>
          <t>Sparse R-CNN (R101)</t>
        </is>
      </c>
      <c r="C32" s="3" t="inlineStr">
        <is>
          <t>Sun et al.</t>
        </is>
      </c>
      <c r="D32" s="3" t="inlineStr">
        <is>
          <t>CVPR</t>
        </is>
      </c>
      <c r="E32" s="3" t="inlineStr">
        <is>
          <t>2021-01</t>
        </is>
      </c>
      <c r="F32" s="3" t="inlineStr">
        <is>
          <t>Preprint</t>
        </is>
      </c>
      <c r="G32" s="3" t="n">
        <v>44.1</v>
      </c>
      <c r="H32" s="3" t="inlineStr">
        <is>
          <t>AP 44.1 val (R101-FPN, 100 proposals)</t>
        </is>
      </c>
      <c r="I32" s="3" t="n"/>
      <c r="J32" s="3" t="n"/>
      <c r="K32" s="3" t="inlineStr">
        <is>
          <t>✅ 已驗證 (Sparse R-CNN CVPR21 Table 1)：R101-FPN 44.1% AP val (46.4 with 300 proposals) [Sparse Query OD]</t>
        </is>
      </c>
      <c r="L32" s="6" t="inlineStr">
        <is>
          <t>https://arxiv.org/abs/2011.12450</t>
        </is>
      </c>
      <c r="M32" s="6" t="inlineStr">
        <is>
          <t>https://github.com/PeizeSun/SparseR-CNN</t>
        </is>
      </c>
    </row>
    <row r="33">
      <c r="A33" s="3" t="inlineStr">
        <is>
          <t>General OD</t>
        </is>
      </c>
      <c r="B33" s="3" t="inlineStr">
        <is>
          <t>DETR (R101)</t>
        </is>
      </c>
      <c r="C33" s="3" t="inlineStr">
        <is>
          <t>Carion et al.</t>
        </is>
      </c>
      <c r="D33" s="3" t="inlineStr">
        <is>
          <t>ECCV</t>
        </is>
      </c>
      <c r="E33" s="3" t="inlineStr">
        <is>
          <t>2020-09</t>
        </is>
      </c>
      <c r="F33" s="3" t="inlineStr">
        <is>
          <t>Preprint</t>
        </is>
      </c>
      <c r="G33" s="3" t="n">
        <v>43.5</v>
      </c>
      <c r="H33" s="3" t="inlineStr">
        <is>
          <t>AP 43.5 val</t>
        </is>
      </c>
      <c r="I33" s="3" t="n"/>
      <c r="J33" s="3" t="n"/>
      <c r="K33" s="3" t="inlineStr">
        <is>
          <t>✅ 已驗證 (DETR ECCV20 Table 1)：DETR-R101 43.5% AP on COCO 2017 validation [DETR-based]</t>
        </is>
      </c>
      <c r="L33" s="6" t="inlineStr">
        <is>
          <t>https://arxiv.org/abs/2005.12872</t>
        </is>
      </c>
      <c r="M33" s="6" t="inlineStr">
        <is>
          <t>https://github.com/facebookresearch/detr</t>
        </is>
      </c>
    </row>
    <row r="34">
      <c r="A34" s="3" t="inlineStr">
        <is>
          <t>General OD</t>
        </is>
      </c>
      <c r="B34" s="3" t="inlineStr">
        <is>
          <t>CenterNet</t>
        </is>
      </c>
      <c r="C34" s="3" t="inlineStr">
        <is>
          <t>Zhou et al.</t>
        </is>
      </c>
      <c r="D34" s="3" t="inlineStr">
        <is>
          <t>arXiv</t>
        </is>
      </c>
      <c r="E34" s="3" t="inlineStr">
        <is>
          <t>2019-04</t>
        </is>
      </c>
      <c r="F34" s="3" t="inlineStr">
        <is>
          <t>Preprint</t>
        </is>
      </c>
      <c r="G34" s="3" t="n">
        <v>42.1</v>
      </c>
      <c r="H34" s="3" t="inlineStr">
        <is>
          <t>AP 42.1 (HG-104, single-scale)</t>
        </is>
      </c>
      <c r="I34" s="3" t="n"/>
      <c r="J34" s="3" t="n"/>
      <c r="K34" s="3" t="inlineStr">
        <is>
          <t>✅ 已驗證 (CenterNet ICCV19 Table 2)：Hourglass-104 42.1% AP test-dev/val [Anchor-free OD]</t>
        </is>
      </c>
      <c r="L34" s="6" t="inlineStr">
        <is>
          <t>https://arxiv.org/abs/1904.07850</t>
        </is>
      </c>
      <c r="M34" s="6" t="inlineStr">
        <is>
          <t>https://github.com/xingyizhou/CenterNet</t>
        </is>
      </c>
    </row>
    <row r="35">
      <c r="A35" s="3" t="inlineStr">
        <is>
          <t>General OD</t>
        </is>
      </c>
      <c r="B35" s="3" t="inlineStr">
        <is>
          <t>Brain-Inspired Spiking Neural Networks for Energy-Efficient</t>
        </is>
      </c>
      <c r="C35" s="3" t="inlineStr">
        <is>
          <t>—</t>
        </is>
      </c>
      <c r="D35" s="3" t="inlineStr">
        <is>
          <t>CVPR 2025</t>
        </is>
      </c>
      <c r="E35" s="3" t="inlineStr">
        <is>
          <t>2025-06</t>
        </is>
      </c>
      <c r="F35" s="3" t="inlineStr">
        <is>
          <t>Preprint</t>
        </is>
      </c>
      <c r="G35" s="3" t="n"/>
      <c r="H35" s="3" t="n"/>
      <c r="I35" s="3" t="n"/>
      <c r="J35" s="3" t="n"/>
      <c r="K35" s="3" t="inlineStr">
        <is>
          <t>⚠️ 自動抽取・指標待驗證 (已偵測使用此資料集)：CVF Open Access 自動收錄；指標待人工驗證。Brain-Inspired Spiking Neural Networks for Energy-E</t>
        </is>
      </c>
      <c r="L35" s="6" t="inlineStr">
        <is>
          <t>https://openaccess.thecvf.com/content/CVPR2025/html/Li_Brain-Inspired_Spiking_Neural_Networks_for_Energy-Efficient_Object_Detection_CVPR_2025_paper.html</t>
        </is>
      </c>
      <c r="M35" s="6" t="inlineStr">
        <is>
          <t>N/A</t>
        </is>
      </c>
    </row>
    <row r="36">
      <c r="A36" s="3" t="inlineStr">
        <is>
          <t>General OD</t>
        </is>
      </c>
      <c r="B36" s="3" t="inlineStr">
        <is>
          <t>Mr. DETR</t>
        </is>
      </c>
      <c r="C36" s="3" t="inlineStr">
        <is>
          <t>—</t>
        </is>
      </c>
      <c r="D36" s="3" t="inlineStr">
        <is>
          <t>CVPR 2025</t>
        </is>
      </c>
      <c r="E36" s="3" t="inlineStr">
        <is>
          <t>2025-06</t>
        </is>
      </c>
      <c r="F36" s="3" t="inlineStr">
        <is>
          <t>Preprint</t>
        </is>
      </c>
      <c r="G36" s="3" t="n"/>
      <c r="H36" s="3" t="n"/>
      <c r="I36" s="3" t="n"/>
      <c r="J36" s="3" t="n"/>
      <c r="K36" s="3" t="inlineStr">
        <is>
          <t>⚠️ 自動抽取・指標待驗證 (已偵測使用此資料集)：CVF Open Access 自動收錄；指標待人工驗證。Mr. DETR: Instructive Multi-Route Training for Dete</t>
        </is>
      </c>
      <c r="L36" s="6" t="inlineStr">
        <is>
          <t>https://openaccess.thecvf.com/content/CVPR2025/html/Zhang_Mr._DETR_Instructive_Multi-Route_Training_for_Detection_Transformers_CVPR_2025_paper.html</t>
        </is>
      </c>
      <c r="M36" s="6" t="inlineStr">
        <is>
          <t>N/A</t>
        </is>
      </c>
    </row>
    <row r="37">
      <c r="A37" s="3" t="inlineStr">
        <is>
          <t>General OD</t>
        </is>
      </c>
      <c r="B37" s="3" t="inlineStr">
        <is>
          <t>Search and Detect</t>
        </is>
      </c>
      <c r="C37" s="3" t="inlineStr">
        <is>
          <t>—</t>
        </is>
      </c>
      <c r="D37" s="3" t="inlineStr">
        <is>
          <t>CVPR 2025</t>
        </is>
      </c>
      <c r="E37" s="3" t="inlineStr">
        <is>
          <t>2025-06</t>
        </is>
      </c>
      <c r="F37" s="3" t="inlineStr">
        <is>
          <t>Preprint</t>
        </is>
      </c>
      <c r="G37" s="3" t="n"/>
      <c r="H37" s="3" t="n"/>
      <c r="I37" s="3" t="n"/>
      <c r="J37" s="3" t="n"/>
      <c r="K37" s="3" t="inlineStr">
        <is>
          <t>⚠️ 自動抽取・指標待驗證 (已偵測使用此資料集)：CVF Open Access 自動收錄；指標待人工驗證。Search and Detect: Training-Free Long Tail Object D</t>
        </is>
      </c>
      <c r="L37" s="6" t="inlineStr">
        <is>
          <t>https://openaccess.thecvf.com/content/CVPR2025/html/Sidhu_Search_and_Detect_Training-Free_Long_Tail_Object_Detection_via_Web-Image_CVPR_2025_paper.html</t>
        </is>
      </c>
      <c r="M37" s="6" t="inlineStr">
        <is>
          <t>N/A</t>
        </is>
      </c>
    </row>
    <row r="38">
      <c r="A38" s="3" t="inlineStr">
        <is>
          <t>General OD</t>
        </is>
      </c>
      <c r="B38" s="3" t="inlineStr">
        <is>
          <t>SET</t>
        </is>
      </c>
      <c r="C38" s="3" t="inlineStr">
        <is>
          <t>—</t>
        </is>
      </c>
      <c r="D38" s="3" t="inlineStr">
        <is>
          <t>CVPR 2025</t>
        </is>
      </c>
      <c r="E38" s="3" t="inlineStr">
        <is>
          <t>2025-06</t>
        </is>
      </c>
      <c r="F38" s="3" t="inlineStr">
        <is>
          <t>Preprint</t>
        </is>
      </c>
      <c r="G38" s="3" t="n"/>
      <c r="H38" s="3" t="n"/>
      <c r="I38" s="3" t="n"/>
      <c r="J38" s="3" t="n"/>
      <c r="K38" s="3" t="inlineStr">
        <is>
          <t>⚠️ 自動抽取・指標待驗證 (已偵測使用此資料集)：CVF Open Access 自動收錄；指標待人工驗證。SET: Spectral Enhancement for Tiny Object Detection</t>
        </is>
      </c>
      <c r="L38" s="6" t="inlineStr">
        <is>
          <t>https://openaccess.thecvf.com/content/CVPR2025/html/Sun_SET_Spectral_Enhancement_for_Tiny_Object_Detection_CVPR_2025_paper.html</t>
        </is>
      </c>
      <c r="M38" s="6" t="inlineStr">
        <is>
          <t>N/A</t>
        </is>
      </c>
    </row>
    <row r="39">
      <c r="A39" s="3" t="inlineStr">
        <is>
          <t>General OD</t>
        </is>
      </c>
      <c r="B39" s="3" t="inlineStr">
        <is>
          <t>DEIM</t>
        </is>
      </c>
      <c r="C39" s="3" t="inlineStr">
        <is>
          <t>—</t>
        </is>
      </c>
      <c r="D39" s="3" t="inlineStr">
        <is>
          <t>CVPR 2025</t>
        </is>
      </c>
      <c r="E39" s="3" t="inlineStr">
        <is>
          <t>2025-06</t>
        </is>
      </c>
      <c r="F39" s="3" t="inlineStr">
        <is>
          <t>Preprint</t>
        </is>
      </c>
      <c r="G39" s="3" t="n">
        <v>56.5</v>
      </c>
      <c r="H39" s="3" t="inlineStr">
        <is>
          <t>AP 56.5 val (DEIM-D-FINE-X headline)</t>
        </is>
      </c>
      <c r="I39" s="3" t="n"/>
      <c r="J39" s="3" t="n"/>
      <c r="K39" s="3" t="inlineStr">
        <is>
          <t>✅ 已驗證 (DEIM CVPR25 Table 1)：DEIM-D-FINE-X 56.5 AP COCO val (headline number) [End-to-end RT-OD]</t>
        </is>
      </c>
      <c r="L39" s="6" t="inlineStr">
        <is>
          <t>https://openaccess.thecvf.com/content/CVPR2025/html/Huang_DEIM_DETR_with_Improved_Matching_for_Fast_Convergence_CVPR_2025_paper.html</t>
        </is>
      </c>
      <c r="M39" s="6" t="inlineStr">
        <is>
          <t>N/A</t>
        </is>
      </c>
    </row>
    <row r="40">
      <c r="A40" s="3" t="inlineStr">
        <is>
          <t>General OD</t>
        </is>
      </c>
      <c r="B40" s="3" t="inlineStr">
        <is>
          <t>MI-DETR</t>
        </is>
      </c>
      <c r="C40" s="3" t="inlineStr">
        <is>
          <t>—</t>
        </is>
      </c>
      <c r="D40" s="3" t="inlineStr">
        <is>
          <t>CVPR 2025</t>
        </is>
      </c>
      <c r="E40" s="3" t="inlineStr">
        <is>
          <t>2025-06</t>
        </is>
      </c>
      <c r="F40" s="3" t="inlineStr">
        <is>
          <t>Preprint</t>
        </is>
      </c>
      <c r="G40" s="3" t="n"/>
      <c r="H40" s="3" t="n"/>
      <c r="I40" s="3" t="n"/>
      <c r="J40" s="3" t="n"/>
      <c r="K40" s="3" t="inlineStr">
        <is>
          <t xml:space="preserve">⚠️ 自動抽取・指標待驗證 (已偵測使用此資料集)：CVF Open Access 自動收錄；指標待人工驗證。MI-DETR: An Object Detection Model with Multi-time </t>
        </is>
      </c>
      <c r="L40" s="6" t="inlineStr">
        <is>
          <t>https://openaccess.thecvf.com/content/CVPR2025/html/Nan_MI-DETR_An_Object_Detection_Model_with_Multi-time_Inquiries_Mechanism_CVPR_2025_paper.html</t>
        </is>
      </c>
      <c r="M40" s="6" t="inlineStr">
        <is>
          <t>N/A</t>
        </is>
      </c>
    </row>
    <row r="41">
      <c r="A41" s="3" t="inlineStr">
        <is>
          <t>General OD</t>
        </is>
      </c>
      <c r="B41" s="3" t="inlineStr">
        <is>
          <t>SimLTD</t>
        </is>
      </c>
      <c r="C41" s="3" t="inlineStr">
        <is>
          <t>—</t>
        </is>
      </c>
      <c r="D41" s="3" t="inlineStr">
        <is>
          <t>CVPR 2025</t>
        </is>
      </c>
      <c r="E41" s="3" t="inlineStr">
        <is>
          <t>2025-06</t>
        </is>
      </c>
      <c r="F41" s="3" t="inlineStr">
        <is>
          <t>Preprint</t>
        </is>
      </c>
      <c r="G41" s="3" t="n"/>
      <c r="H41" s="3" t="n"/>
      <c r="I41" s="3" t="n"/>
      <c r="J41" s="3" t="n"/>
      <c r="K41" s="3" t="inlineStr">
        <is>
          <t>⚠️ 自動抽取・指標待驗證 (已偵測使用此資料集)：CVF Open Access 自動收錄；指標待人工驗證。SimLTD: Simple Supervised and Semi-Supervised Long-</t>
        </is>
      </c>
      <c r="L41" s="6" t="inlineStr">
        <is>
          <t>https://openaccess.thecvf.com/content/CVPR2025/html/Tran_SimLTD_Simple_Supervised_and_Semi-Supervised_Long-Tailed_Object_Detection_CVPR_2025_paper.html</t>
        </is>
      </c>
      <c r="M41" s="6" t="inlineStr">
        <is>
          <t>N/A</t>
        </is>
      </c>
    </row>
    <row r="42">
      <c r="A42" s="3" t="inlineStr">
        <is>
          <t>Real-Time OD</t>
        </is>
      </c>
      <c r="B42" s="3" t="inlineStr">
        <is>
          <t>RT-DETRv3</t>
        </is>
      </c>
      <c r="C42" s="3" t="inlineStr">
        <is>
          <t>—</t>
        </is>
      </c>
      <c r="D42" s="3" t="inlineStr">
        <is>
          <t>WACV 2025</t>
        </is>
      </c>
      <c r="E42" s="3" t="inlineStr">
        <is>
          <t>2025-01</t>
        </is>
      </c>
      <c r="F42" s="3" t="inlineStr">
        <is>
          <t>Preprint</t>
        </is>
      </c>
      <c r="G42" s="3" t="n">
        <v>54.6</v>
      </c>
      <c r="H42" s="3" t="inlineStr">
        <is>
          <t>AP 54.6 val (R101 6x)</t>
        </is>
      </c>
      <c r="I42" s="3" t="n"/>
      <c r="J42" s="3" t="n"/>
      <c r="K42" s="3" t="inlineStr">
        <is>
          <t>✅ 已驗證 (RT-DETRv3 Table 1)：headline number from R101 6x setting [End-to-end RT-OD]</t>
        </is>
      </c>
      <c r="L42" s="6" t="inlineStr">
        <is>
          <t>https://openaccess.thecvf.com/content/WACV2025/html/Wang_RT-DETRv3_Real-Time_End-to-End_Object_Detection_with_Hierarchical_Dense_Positive_Supervision_WACV_2025_paper.html</t>
        </is>
      </c>
      <c r="M42" s="6" t="inlineStr">
        <is>
          <t>N/A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3" activePane="bottomLeft" state="frozen"/>
      <selection pane="bottomLeft" activeCell="B7" sqref="B7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Co-DETR (ViT-L)</t>
        </is>
      </c>
      <c r="C2" s="2" t="inlineStr">
        <is>
          <t>Zong et al.</t>
        </is>
      </c>
      <c r="D2" s="2" t="inlineStr">
        <is>
          <t>ICCV</t>
        </is>
      </c>
      <c r="E2" s="2" t="inlineStr">
        <is>
          <t>2023-10</t>
        </is>
      </c>
      <c r="F2" s="2" t="inlineStr">
        <is>
          <t>Published</t>
        </is>
      </c>
      <c r="G2" s="2" t="inlineStr">
        <is>
          <t>65.9</t>
        </is>
      </c>
      <c r="H2" s="2" t="inlineStr">
        <is>
          <t>AP 65.9 val</t>
        </is>
      </c>
      <c r="I2" s="2" t="inlineStr">
        <is>
          <t>N/A</t>
        </is>
      </c>
      <c r="J2" s="2" t="inlineStr">
        <is>
          <t>304M</t>
        </is>
      </c>
      <c r="K2" s="2" t="inlineStr">
        <is>
          <t>Paper-reported</t>
        </is>
      </c>
      <c r="L2" s="9" t="inlineStr">
        <is>
          <t>https://arxiv.org/abs/2211.12860</t>
        </is>
      </c>
      <c r="M2" s="9" t="inlineStr">
        <is>
          <t>https://github.com/Sense-X/Co-DETR</t>
        </is>
      </c>
    </row>
    <row r="3" ht="48" customHeight="1">
      <c r="A3" s="2" t="inlineStr">
        <is>
          <t>General OD</t>
        </is>
      </c>
      <c r="B3" s="2" t="inlineStr">
        <is>
          <t>InternImage-H</t>
        </is>
      </c>
      <c r="C3" s="2" t="inlineStr">
        <is>
          <t>Wang et al.</t>
        </is>
      </c>
      <c r="D3" s="2" t="inlineStr">
        <is>
          <t>CVPR</t>
        </is>
      </c>
      <c r="E3" s="2" t="inlineStr">
        <is>
          <t>2023-06</t>
        </is>
      </c>
      <c r="F3" s="2" t="inlineStr">
        <is>
          <t>Published</t>
        </is>
      </c>
      <c r="G3" s="2" t="inlineStr">
        <is>
          <t>65.0</t>
        </is>
      </c>
      <c r="H3" s="2" t="inlineStr">
        <is>
          <t>AP 65.0 val</t>
        </is>
      </c>
      <c r="I3" s="2" t="inlineStr">
        <is>
          <t>N/A</t>
        </is>
      </c>
      <c r="J3" s="2" t="inlineStr">
        <is>
          <t>≈1.08B</t>
        </is>
      </c>
      <c r="K3" s="2" t="inlineStr">
        <is>
          <t>Paper-reported result</t>
        </is>
      </c>
      <c r="L3" s="9" t="inlineStr">
        <is>
          <t>https://arxiv.org/abs/2211.05778</t>
        </is>
      </c>
      <c r="M3" s="9" t="inlineStr">
        <is>
          <t>https://github.com/OpenGVLab/InternImage</t>
        </is>
      </c>
    </row>
    <row r="4" ht="48" customHeight="1">
      <c r="A4" s="2" t="inlineStr">
        <is>
          <t>General OD</t>
        </is>
      </c>
      <c r="B4" s="2" t="inlineStr">
        <is>
          <t>EVA-02-Det</t>
        </is>
      </c>
      <c r="C4" s="2" t="inlineStr">
        <is>
          <t>Fang et al.</t>
        </is>
      </c>
      <c r="D4" s="2" t="inlineStr">
        <is>
          <t>arXiv</t>
        </is>
      </c>
      <c r="E4" s="2" t="inlineStr">
        <is>
          <t>2023-10</t>
        </is>
      </c>
      <c r="F4" s="2" t="inlineStr">
        <is>
          <t>Published</t>
        </is>
      </c>
      <c r="G4" s="2" t="inlineStr">
        <is>
          <t>64.1</t>
        </is>
      </c>
      <c r="H4" s="2" t="inlineStr">
        <is>
          <t>AP 64.1 val</t>
        </is>
      </c>
      <c r="I4" s="2" t="inlineStr">
        <is>
          <t>N/A</t>
        </is>
      </c>
      <c r="J4" s="2" t="inlineStr">
        <is>
          <t>≈600M</t>
        </is>
      </c>
      <c r="K4" s="2" t="inlineStr">
        <is>
          <t>Paper-reported result</t>
        </is>
      </c>
      <c r="L4" s="9" t="inlineStr">
        <is>
          <t>https://arxiv.org/abs/2303.11331</t>
        </is>
      </c>
      <c r="M4" s="9" t="inlineStr">
        <is>
          <t>https://github.com/baaivision/EVA</t>
        </is>
      </c>
    </row>
    <row r="5" ht="48" customHeight="1">
      <c r="A5" s="2" t="inlineStr">
        <is>
          <t>General OD</t>
        </is>
      </c>
      <c r="B5" s="2" t="inlineStr">
        <is>
          <t>Relation-DETR (FocalNet-L)</t>
        </is>
      </c>
      <c r="C5" s="2" t="inlineStr">
        <is>
          <t>Hou et al.</t>
        </is>
      </c>
      <c r="D5" s="2" t="inlineStr">
        <is>
          <t>ECCV</t>
        </is>
      </c>
      <c r="E5" s="2" t="inlineStr">
        <is>
          <t>2024-09</t>
        </is>
      </c>
      <c r="F5" s="2" t="inlineStr">
        <is>
          <t>Published</t>
        </is>
      </c>
      <c r="G5" s="2" t="inlineStr">
        <is>
          <t>63.5</t>
        </is>
      </c>
      <c r="H5" s="2" t="inlineStr">
        <is>
          <t>AP 63.5 val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ECCV 2024 Oral</t>
        </is>
      </c>
      <c r="L5" s="9" t="inlineStr">
        <is>
          <t>https://arxiv.org/abs/2407.11699</t>
        </is>
      </c>
      <c r="M5" s="9" t="inlineStr">
        <is>
          <t>https://github.com/xiuqhou/Relation-DETR</t>
        </is>
      </c>
    </row>
    <row r="6" ht="48" customHeight="1">
      <c r="A6" s="2" t="inlineStr">
        <is>
          <t>General OD</t>
        </is>
      </c>
      <c r="B6" s="2" t="inlineStr">
        <is>
          <t>DINO (Swin-L)</t>
        </is>
      </c>
      <c r="C6" s="2" t="inlineStr">
        <is>
          <t>Zhang et al.</t>
        </is>
      </c>
      <c r="D6" s="2" t="inlineStr">
        <is>
          <t>ICLR</t>
        </is>
      </c>
      <c r="E6" s="2" t="inlineStr">
        <is>
          <t>2023-03</t>
        </is>
      </c>
      <c r="F6" s="2" t="inlineStr">
        <is>
          <t>Published</t>
        </is>
      </c>
      <c r="G6" s="2" t="inlineStr">
        <is>
          <t>63.2</t>
        </is>
      </c>
      <c r="H6" s="2" t="inlineStr">
        <is>
          <t>AP 63.2 val</t>
        </is>
      </c>
      <c r="I6" s="2" t="inlineStr">
        <is>
          <t>N/A</t>
        </is>
      </c>
      <c r="J6" s="2" t="inlineStr">
        <is>
          <t>218M</t>
        </is>
      </c>
      <c r="K6" s="2" t="inlineStr">
        <is>
          <t>Paper-reported result</t>
        </is>
      </c>
      <c r="L6" s="9" t="inlineStr">
        <is>
          <t>https://arxiv.org/abs/2203.03605</t>
        </is>
      </c>
      <c r="M6" s="9" t="inlineStr">
        <is>
          <t>https://github.com/IDEA-Research/DINO</t>
        </is>
      </c>
    </row>
    <row r="7" ht="48" customHeight="1">
      <c r="A7" s="3" t="inlineStr">
        <is>
          <t>Real-Time OD</t>
        </is>
      </c>
      <c r="B7" s="3" t="inlineStr">
        <is>
          <t>RF-DETR (Large)</t>
        </is>
      </c>
      <c r="C7" s="3" t="inlineStr">
        <is>
          <t>Roboflow</t>
        </is>
      </c>
      <c r="D7" s="3" t="inlineStr">
        <is>
          <t>ICLR</t>
        </is>
      </c>
      <c r="E7" s="3" t="inlineStr">
        <is>
          <t>2026-04</t>
        </is>
      </c>
      <c r="F7" s="3" t="inlineStr">
        <is>
          <t>Accepted</t>
        </is>
      </c>
      <c r="G7" s="3" t="inlineStr">
        <is>
          <t>60.5</t>
        </is>
      </c>
      <c r="H7" s="3" t="inlineStr">
        <is>
          <t>AP 60.5 val</t>
        </is>
      </c>
      <c r="I7" s="3" t="inlineStr">
        <is>
          <t>T4 25</t>
        </is>
      </c>
      <c r="J7" s="3" t="inlineStr">
        <is>
          <t>N/A</t>
        </is>
      </c>
      <c r="K7" s="3" t="inlineStr">
        <is>
          <t>First RT &gt;60 AP; ICLR 2026</t>
        </is>
      </c>
      <c r="L7" s="6" t="inlineStr">
        <is>
          <t>https://arxiv.org/abs/2511.09554</t>
        </is>
      </c>
      <c r="M7" s="6" t="inlineStr">
        <is>
          <t>https://github.com/roboflow/rf-detr</t>
        </is>
      </c>
    </row>
    <row r="8" ht="48" customHeight="1">
      <c r="A8" s="3" t="inlineStr">
        <is>
          <t>Real-Time OD</t>
        </is>
      </c>
      <c r="B8" s="3" t="inlineStr">
        <is>
          <t>RT-DETRv4 (X)</t>
        </is>
      </c>
      <c r="C8" s="3" t="inlineStr">
        <is>
          <t>RT-DETRs</t>
        </is>
      </c>
      <c r="D8" s="3" t="inlineStr">
        <is>
          <t>arXiv</t>
        </is>
      </c>
      <c r="E8" s="3" t="inlineStr">
        <is>
          <t>2025-10</t>
        </is>
      </c>
      <c r="F8" s="3" t="inlineStr">
        <is>
          <t>Preprint</t>
        </is>
      </c>
      <c r="G8" s="3" t="inlineStr">
        <is>
          <t>57.0</t>
        </is>
      </c>
      <c r="H8" s="3" t="inlineStr">
        <is>
          <t>AP 57.0 val</t>
        </is>
      </c>
      <c r="I8" s="3" t="inlineStr">
        <is>
          <t>T4 78</t>
        </is>
      </c>
      <c r="J8" s="3" t="inlineStr">
        <is>
          <t>N/A</t>
        </is>
      </c>
      <c r="K8" s="3" t="inlineStr">
        <is>
          <t>Paper-reported result</t>
        </is>
      </c>
      <c r="L8" s="6" t="inlineStr">
        <is>
          <t>https://arxiv.org/abs/2510.25257</t>
        </is>
      </c>
      <c r="M8" s="6" t="inlineStr">
        <is>
          <t>https://github.com/RT-DETRs/RT-DETRv4</t>
        </is>
      </c>
    </row>
    <row r="9" ht="48" customHeight="1">
      <c r="A9" s="3" t="inlineStr">
        <is>
          <t>Real-Time OD</t>
        </is>
      </c>
      <c r="B9" s="3" t="inlineStr">
        <is>
          <t>DEIM-D-FINE-X</t>
        </is>
      </c>
      <c r="C9" s="3" t="inlineStr">
        <is>
          <t>Huang et al.</t>
        </is>
      </c>
      <c r="D9" s="3" t="inlineStr">
        <is>
          <t>CVPR</t>
        </is>
      </c>
      <c r="E9" s="3" t="inlineStr">
        <is>
          <t>2025-06</t>
        </is>
      </c>
      <c r="F9" s="3" t="inlineStr">
        <is>
          <t>Published</t>
        </is>
      </c>
      <c r="G9" s="3" t="inlineStr">
        <is>
          <t>56.5</t>
        </is>
      </c>
      <c r="H9" s="3" t="inlineStr">
        <is>
          <t>AP 56.5 val</t>
        </is>
      </c>
      <c r="I9" s="3" t="inlineStr">
        <is>
          <t>T4 78</t>
        </is>
      </c>
      <c r="J9" s="3" t="inlineStr">
        <is>
          <t>N/A</t>
        </is>
      </c>
      <c r="K9" s="3" t="inlineStr">
        <is>
          <t>Paper-reported result</t>
        </is>
      </c>
      <c r="L9" s="6" t="inlineStr">
        <is>
          <t>https://arxiv.org/abs/2412.04234</t>
        </is>
      </c>
      <c r="M9" s="6" t="inlineStr">
        <is>
          <t>https://github.com/Intellindust-AI-Lab/DEIM</t>
        </is>
      </c>
    </row>
    <row r="10" ht="48" customHeight="1">
      <c r="A10" s="3" t="inlineStr">
        <is>
          <t>Real-Time OD</t>
        </is>
      </c>
      <c r="B10" s="3" t="inlineStr">
        <is>
          <t>D-FINE-X</t>
        </is>
      </c>
      <c r="C10" s="3" t="inlineStr">
        <is>
          <t>Peng et al.</t>
        </is>
      </c>
      <c r="D10" s="3" t="inlineStr">
        <is>
          <t>ICLR</t>
        </is>
      </c>
      <c r="E10" s="3" t="inlineStr">
        <is>
          <t>2025-04</t>
        </is>
      </c>
      <c r="F10" s="3" t="inlineStr">
        <is>
          <t>Accepted</t>
        </is>
      </c>
      <c r="G10" s="3" t="inlineStr">
        <is>
          <t>55.8</t>
        </is>
      </c>
      <c r="H10" s="3" t="inlineStr">
        <is>
          <t>AP 55.8 val</t>
        </is>
      </c>
      <c r="I10" s="3" t="inlineStr">
        <is>
          <t>T4 78</t>
        </is>
      </c>
      <c r="J10" s="3" t="inlineStr">
        <is>
          <t>N/A</t>
        </is>
      </c>
      <c r="K10" s="3" t="inlineStr">
        <is>
          <t>ICLR 2025 Spotlight</t>
        </is>
      </c>
      <c r="L10" s="6" t="inlineStr">
        <is>
          <t>https://arxiv.org/abs/2410.13842</t>
        </is>
      </c>
      <c r="M10" s="6" t="inlineStr">
        <is>
          <t>https://github.com/Peterande/D-FINE</t>
        </is>
      </c>
    </row>
    <row r="11" ht="48" customHeight="1">
      <c r="A11" s="3" t="inlineStr">
        <is>
          <t>Real-Time OD</t>
        </is>
      </c>
      <c r="B11" s="3" t="inlineStr">
        <is>
          <t>YOLOv9-E</t>
        </is>
      </c>
      <c r="C11" s="3" t="inlineStr">
        <is>
          <t>Wang et al.</t>
        </is>
      </c>
      <c r="D11" s="3" t="inlineStr">
        <is>
          <t>ECCV</t>
        </is>
      </c>
      <c r="E11" s="3" t="inlineStr">
        <is>
          <t>2024-09</t>
        </is>
      </c>
      <c r="F11" s="3" t="inlineStr">
        <is>
          <t>Published</t>
        </is>
      </c>
      <c r="G11" s="3" t="inlineStr">
        <is>
          <t>55.6</t>
        </is>
      </c>
      <c r="H11" s="3" t="inlineStr">
        <is>
          <t>AP 55.6 val</t>
        </is>
      </c>
      <c r="I11" s="3" t="inlineStr">
        <is>
          <t>57</t>
        </is>
      </c>
      <c r="J11" s="3" t="inlineStr">
        <is>
          <t>57.3M</t>
        </is>
      </c>
      <c r="K11" s="3" t="inlineStr">
        <is>
          <t>Paper-reported result</t>
        </is>
      </c>
      <c r="L11" s="6" t="inlineStr">
        <is>
          <t>https://arxiv.org/abs/2402.13616</t>
        </is>
      </c>
      <c r="M11" s="6" t="inlineStr">
        <is>
          <t>https://github.com/WongKinYiu/yolov9</t>
        </is>
      </c>
    </row>
    <row r="12" ht="48" customHeight="1">
      <c r="A12" s="3" t="inlineStr">
        <is>
          <t>Real-Time OD</t>
        </is>
      </c>
      <c r="B12" s="3" t="inlineStr">
        <is>
          <t>YOLOv12-X</t>
        </is>
      </c>
      <c r="C12" s="3" t="inlineStr">
        <is>
          <t>Tian et al.</t>
        </is>
      </c>
      <c r="D12" s="3" t="inlineStr">
        <is>
          <t>NeurIPS</t>
        </is>
      </c>
      <c r="E12" s="3" t="inlineStr">
        <is>
          <t>2025-02</t>
        </is>
      </c>
      <c r="F12" s="3" t="inlineStr">
        <is>
          <t>Accepted</t>
        </is>
      </c>
      <c r="G12" s="3" t="inlineStr">
        <is>
          <t>55.2</t>
        </is>
      </c>
      <c r="H12" s="3" t="inlineStr">
        <is>
          <t>AP 55.2 val</t>
        </is>
      </c>
      <c r="I12" s="3" t="inlineStr">
        <is>
          <t>T4 ≈90</t>
        </is>
      </c>
      <c r="J12" s="3" t="inlineStr">
        <is>
          <t>59.1M</t>
        </is>
      </c>
      <c r="K12" s="3" t="inlineStr">
        <is>
          <t>Paper-reported result</t>
        </is>
      </c>
      <c r="L12" s="6" t="inlineStr">
        <is>
          <t>https://arxiv.org/abs/2502.12524</t>
        </is>
      </c>
      <c r="M12" s="6" t="inlineStr">
        <is>
          <t>https://github.com/sunsmarterjie/yolov12</t>
        </is>
      </c>
    </row>
    <row r="13" ht="48" customHeight="1">
      <c r="A13" s="3" t="inlineStr">
        <is>
          <t>Real-Time OD</t>
        </is>
      </c>
      <c r="B13" s="3" t="inlineStr">
        <is>
          <t>YOLO11x</t>
        </is>
      </c>
      <c r="C13" s="3" t="inlineStr">
        <is>
          <t>Ultralytics</t>
        </is>
      </c>
      <c r="D13" s="3" t="inlineStr">
        <is>
          <t>Official Docs</t>
        </is>
      </c>
      <c r="E13" s="3" t="inlineStr">
        <is>
          <t>2024-09</t>
        </is>
      </c>
      <c r="F13" s="3" t="inlineStr">
        <is>
          <t>Official Docs</t>
        </is>
      </c>
      <c r="G13" s="3" t="inlineStr">
        <is>
          <t>54.7</t>
        </is>
      </c>
      <c r="H13" s="3" t="inlineStr">
        <is>
          <t>AP 54.7 val</t>
        </is>
      </c>
      <c r="I13" s="3" t="inlineStr">
        <is>
          <t>T4 ≈110</t>
        </is>
      </c>
      <c r="J13" s="3" t="inlineStr">
        <is>
          <t>56.9M</t>
        </is>
      </c>
      <c r="K13" s="3" t="inlineStr">
        <is>
          <t>Official documentation</t>
        </is>
      </c>
      <c r="L13" s="6" t="inlineStr">
        <is>
          <t>https://docs.ultralytics.com/models/yolo11/</t>
        </is>
      </c>
      <c r="M13" s="6" t="inlineStr">
        <is>
          <t>https://github.com/ultralytics/ultralytics</t>
        </is>
      </c>
    </row>
    <row r="14">
      <c r="A14" s="3" t="inlineStr">
        <is>
          <t>Real-Time OD</t>
        </is>
      </c>
      <c r="B14" s="3" t="inlineStr">
        <is>
          <t>RF-DETR (Nano)</t>
        </is>
      </c>
      <c r="C14" s="3" t="inlineStr">
        <is>
          <t>Roboflow</t>
        </is>
      </c>
      <c r="D14" s="3" t="inlineStr">
        <is>
          <t>ICLR</t>
        </is>
      </c>
      <c r="E14" s="3" t="inlineStr">
        <is>
          <t>2026-04</t>
        </is>
      </c>
      <c r="F14" s="3" t="inlineStr">
        <is>
          <t>Preprint</t>
        </is>
      </c>
      <c r="G14" s="3" t="n"/>
      <c r="H14" s="3" t="n"/>
      <c r="I14" s="3" t="n"/>
      <c r="J14" s="3" t="n"/>
      <c r="K14" s="3" t="inlineStr">
        <is>
          <t>⚠️ 自動抽取・指標待驗證 (已偵測使用此資料集)：Nano variant; ICLR 2026</t>
        </is>
      </c>
      <c r="L14" s="6" t="inlineStr">
        <is>
          <t>https://arxiv.org/abs/2511.09554</t>
        </is>
      </c>
      <c r="M14" s="6" t="inlineStr">
        <is>
          <t>https://github.com/roboflow/rf-detr</t>
        </is>
      </c>
    </row>
    <row r="15">
      <c r="A15" s="3" t="inlineStr">
        <is>
          <t>Real-Time OD</t>
        </is>
      </c>
      <c r="B15" s="3" t="inlineStr">
        <is>
          <t>DEIMv2 (DINOv3)</t>
        </is>
      </c>
      <c r="C15" s="3" t="inlineStr">
        <is>
          <t>Huang et al.</t>
        </is>
      </c>
      <c r="D15" s="3" t="inlineStr">
        <is>
          <t>arXiv</t>
        </is>
      </c>
      <c r="E15" s="3" t="inlineStr">
        <is>
          <t>2025-09</t>
        </is>
      </c>
      <c r="F15" s="3" t="inlineStr">
        <is>
          <t>Preprint</t>
        </is>
      </c>
      <c r="G15" s="3" t="n">
        <v>57.8</v>
      </c>
      <c r="H15" s="3" t="inlineStr">
        <is>
          <t>AP 57.8 val2017 (DEIMv2-X)</t>
        </is>
      </c>
      <c r="I15" s="3" t="n"/>
      <c r="J15" s="3" t="n"/>
      <c r="K15" s="3" t="inlineStr">
        <is>
          <t>✅ 已驗證 (DEIMv2 arXiv25 Table 3, COCO val2017)：DEIMv2-X 57.8% AP, DINOv3 backbone [End-to-end RT-OD]</t>
        </is>
      </c>
      <c r="L15" s="6" t="inlineStr">
        <is>
          <t>https://arxiv.org/abs/2509.20787</t>
        </is>
      </c>
      <c r="M15" s="6" t="inlineStr">
        <is>
          <t>https://github.com/Intellindust-AI-Lab/DEIMv2</t>
        </is>
      </c>
    </row>
    <row r="16">
      <c r="A16" s="3" t="inlineStr">
        <is>
          <t>Real-Time OD</t>
        </is>
      </c>
      <c r="B16" s="3" t="inlineStr">
        <is>
          <t>YOLOv13-X</t>
        </is>
      </c>
      <c r="C16" s="3" t="inlineStr">
        <is>
          <t>iMoonLab</t>
        </is>
      </c>
      <c r="D16" s="3" t="inlineStr">
        <is>
          <t>arXiv</t>
        </is>
      </c>
      <c r="E16" s="3" t="inlineStr">
        <is>
          <t>2025-06</t>
        </is>
      </c>
      <c r="F16" s="3" t="inlineStr">
        <is>
          <t>Preprint</t>
        </is>
      </c>
      <c r="G16" s="3" t="n">
        <v>54.8</v>
      </c>
      <c r="H16" s="3" t="inlineStr">
        <is>
          <t>AP 54.8 val2017</t>
        </is>
      </c>
      <c r="I16" s="3" t="n"/>
      <c r="J16" s="3" t="n"/>
      <c r="K16" s="3" t="inlineStr">
        <is>
          <t>✅ 已驗證 (YOLOv13 Table I, COCO val2017)：YOLOv13-X 54.8% AP [Real-Time OD]</t>
        </is>
      </c>
      <c r="L16" s="6" t="inlineStr">
        <is>
          <t>https://arxiv.org/abs/2506.17733</t>
        </is>
      </c>
      <c r="M16" s="6" t="inlineStr">
        <is>
          <t>https://github.com/iMoonLab/yolov13</t>
        </is>
      </c>
    </row>
    <row r="17">
      <c r="A17" s="3" t="inlineStr">
        <is>
          <t>Real-Time OD</t>
        </is>
      </c>
      <c r="B17" s="3" t="inlineStr">
        <is>
          <t>DEIM-D-FINE-L</t>
        </is>
      </c>
      <c r="C17" s="3" t="inlineStr">
        <is>
          <t>Huang et al.</t>
        </is>
      </c>
      <c r="D17" s="3" t="inlineStr">
        <is>
          <t>CVPR</t>
        </is>
      </c>
      <c r="E17" s="3" t="inlineStr">
        <is>
          <t>2025-06</t>
        </is>
      </c>
      <c r="F17" s="3" t="inlineStr">
        <is>
          <t>Preprint</t>
        </is>
      </c>
      <c r="G17" s="3" t="n">
        <v>54.7</v>
      </c>
      <c r="H17" s="3" t="inlineStr">
        <is>
          <t>AP 54.7 val2017</t>
        </is>
      </c>
      <c r="I17" s="3" t="n"/>
      <c r="J17" s="3" t="n"/>
      <c r="K17" s="3" t="inlineStr">
        <is>
          <t>✅ 已驗證 (DEIM CVPR25 Table 1, COCO val2017)：DEIM-D-FINE-L 54.7% AP [End-to-end RT-OD]</t>
        </is>
      </c>
      <c r="L17" s="6" t="inlineStr">
        <is>
          <t>https://arxiv.org/abs/2412.04234</t>
        </is>
      </c>
      <c r="M17" s="6" t="inlineStr">
        <is>
          <t>https://github.com/Intellindust-AI-Lab/DEIM</t>
        </is>
      </c>
    </row>
    <row r="18">
      <c r="A18" s="3" t="inlineStr">
        <is>
          <t>Few-Shot OD</t>
        </is>
      </c>
      <c r="B18" s="3" t="inlineStr">
        <is>
          <t>NTIRE 2025 CD-FSOD top method</t>
        </is>
      </c>
      <c r="C18" s="3" t="inlineStr">
        <is>
          <t>Various teams</t>
        </is>
      </c>
      <c r="D18" s="3" t="inlineStr">
        <is>
          <t>CVPR Workshop</t>
        </is>
      </c>
      <c r="E18" s="3" t="inlineStr">
        <is>
          <t>2025-06</t>
        </is>
      </c>
      <c r="F18" s="3" t="inlineStr">
        <is>
          <t>Preprint</t>
        </is>
      </c>
      <c r="G18" s="3" t="n"/>
      <c r="H18" s="3" t="n"/>
      <c r="I18" s="3" t="n"/>
      <c r="J18" s="3" t="n"/>
      <c r="K18" s="3" t="inlineStr">
        <is>
          <t>⚠️ 誤放 (COCO 2017 sheet)：NTIRE 2025 CD-FSOD challenge top method 不直接測 COCO 2017</t>
        </is>
      </c>
      <c r="L18" s="6" t="inlineStr">
        <is>
          <t>https://arxiv.org/abs/2504.10685</t>
        </is>
      </c>
      <c r="M18" s="6" t="inlineStr">
        <is>
          <t>https://github.com/lovelyqian/NTIRE2025_CDFSOD</t>
        </is>
      </c>
    </row>
    <row r="19">
      <c r="A19" s="3" t="inlineStr">
        <is>
          <t>Real-Time OD</t>
        </is>
      </c>
      <c r="B19" s="3" t="inlineStr">
        <is>
          <t>D-FINE-L</t>
        </is>
      </c>
      <c r="C19" s="3" t="inlineStr">
        <is>
          <t>Peng et al.</t>
        </is>
      </c>
      <c r="D19" s="3" t="inlineStr">
        <is>
          <t>ICLR</t>
        </is>
      </c>
      <c r="E19" s="3" t="inlineStr">
        <is>
          <t>2025-04</t>
        </is>
      </c>
      <c r="F19" s="3" t="inlineStr">
        <is>
          <t>Preprint</t>
        </is>
      </c>
      <c r="G19" s="3" t="n">
        <v>54</v>
      </c>
      <c r="H19" s="3" t="inlineStr">
        <is>
          <t>AP 54.0 val2017</t>
        </is>
      </c>
      <c r="I19" s="3" t="n"/>
      <c r="J19" s="3" t="n"/>
      <c r="K19" s="3" t="inlineStr">
        <is>
          <t>✅ 已驗證 (D-FINE Table 1, COCO val2017)：D-FINE-L 54.0% AP [Real-Time OD]</t>
        </is>
      </c>
      <c r="L19" s="6" t="inlineStr">
        <is>
          <t>https://arxiv.org/abs/2410.13842</t>
        </is>
      </c>
      <c r="M19" s="6" t="inlineStr">
        <is>
          <t>https://github.com/Peterande/D-FINE</t>
        </is>
      </c>
    </row>
    <row r="20">
      <c r="A20" s="3" t="inlineStr">
        <is>
          <t>Real-Time OD</t>
        </is>
      </c>
      <c r="B20" s="3" t="inlineStr">
        <is>
          <t>RT-DETRv3-R101</t>
        </is>
      </c>
      <c r="C20" s="3" t="inlineStr">
        <is>
          <t>Wang et al.</t>
        </is>
      </c>
      <c r="D20" s="3" t="inlineStr">
        <is>
          <t>WACV</t>
        </is>
      </c>
      <c r="E20" s="3" t="inlineStr">
        <is>
          <t>2025-02</t>
        </is>
      </c>
      <c r="F20" s="3" t="inlineStr">
        <is>
          <t>Preprint</t>
        </is>
      </c>
      <c r="G20" s="3" t="n">
        <v>54.6</v>
      </c>
      <c r="H20" s="3" t="inlineStr">
        <is>
          <t>AP 54.6 val2017 (6x)</t>
        </is>
      </c>
      <c r="I20" s="3" t="n"/>
      <c r="J20" s="3" t="n"/>
      <c r="K20" s="3" t="inlineStr">
        <is>
          <t>✅ 已驗證 (RT-DETRv3 Table 1, COCO val2017 6x)：RT-DETRv3-R101 54.6% AP [End-to-end RT-OD]</t>
        </is>
      </c>
      <c r="L20" s="6" t="inlineStr">
        <is>
          <t>https://arxiv.org/abs/2409.08475</t>
        </is>
      </c>
      <c r="M20" s="6" t="inlineStr">
        <is>
          <t>https://github.com/clxia12/RT-DETRv3</t>
        </is>
      </c>
    </row>
    <row r="21">
      <c r="A21" s="3" t="inlineStr">
        <is>
          <t>Real-Time OD</t>
        </is>
      </c>
      <c r="B21" s="3" t="inlineStr">
        <is>
          <t>YOLOv10-X</t>
        </is>
      </c>
      <c r="C21" s="3" t="inlineStr">
        <is>
          <t>Wang et al.</t>
        </is>
      </c>
      <c r="D21" s="3" t="inlineStr">
        <is>
          <t>NeurIPS</t>
        </is>
      </c>
      <c r="E21" s="3" t="inlineStr">
        <is>
          <t>2024-12</t>
        </is>
      </c>
      <c r="F21" s="3" t="inlineStr">
        <is>
          <t>Preprint</t>
        </is>
      </c>
      <c r="G21" s="3" t="n">
        <v>54.4</v>
      </c>
      <c r="H21" s="3" t="inlineStr">
        <is>
          <t>AP 54.4 val2017</t>
        </is>
      </c>
      <c r="I21" s="3" t="n"/>
      <c r="J21" s="3" t="n"/>
      <c r="K21" s="3" t="inlineStr">
        <is>
          <t>✅ 已驗證 (YOLOv13 Table I, COCO val2017)：YOLOv10-X 54.4% AP [Real-Time OD]</t>
        </is>
      </c>
      <c r="L21" s="6" t="inlineStr">
        <is>
          <t>https://arxiv.org/abs/2405.14458</t>
        </is>
      </c>
      <c r="M21" s="6" t="inlineStr">
        <is>
          <t>https://github.com/THU-MIG/yolov10</t>
        </is>
      </c>
    </row>
    <row r="22">
      <c r="A22" s="3" t="inlineStr">
        <is>
          <t>General OD</t>
        </is>
      </c>
      <c r="B22" s="3" t="inlineStr">
        <is>
          <t>DINO-X</t>
        </is>
      </c>
      <c r="C22" s="3" t="inlineStr">
        <is>
          <t>IDEA Research</t>
        </is>
      </c>
      <c r="D22" s="3" t="inlineStr">
        <is>
          <t>arXiv</t>
        </is>
      </c>
      <c r="E22" s="3" t="inlineStr">
        <is>
          <t>2024-11</t>
        </is>
      </c>
      <c r="F22" s="3" t="inlineStr">
        <is>
          <t>Preprint</t>
        </is>
      </c>
      <c r="G22" s="3" t="n">
        <v>56</v>
      </c>
      <c r="H22" s="3" t="inlineStr">
        <is>
          <t>AP 56.0 zero-shot</t>
        </is>
      </c>
      <c r="I22" s="3" t="n"/>
      <c r="J22" s="3" t="n"/>
      <c r="K22" s="3" t="inlineStr">
        <is>
          <t>✅ 已驗證 (DINO-X arXiv24 abstract)：DINO-X Pro 56.0% AP on COCO zero-shot transfer [Open-vocab Foundation Model]</t>
        </is>
      </c>
      <c r="L22" s="6" t="inlineStr">
        <is>
          <t>https://arxiv.org/abs/2411.14347</t>
        </is>
      </c>
      <c r="M22" s="6" t="inlineStr">
        <is>
          <t>https://github.com/IDEA-Research/DINO-X-API</t>
        </is>
      </c>
    </row>
    <row r="23">
      <c r="A23" s="3" t="inlineStr">
        <is>
          <t>Few-Shot OD</t>
        </is>
      </c>
      <c r="B23" s="3" t="inlineStr">
        <is>
          <t>Grounding DINO</t>
        </is>
      </c>
      <c r="C23" s="3" t="inlineStr">
        <is>
          <t>Liu et al.</t>
        </is>
      </c>
      <c r="D23" s="3" t="inlineStr">
        <is>
          <t>ECCV</t>
        </is>
      </c>
      <c r="E23" s="3" t="inlineStr">
        <is>
          <t>2024-10</t>
        </is>
      </c>
      <c r="F23" s="3" t="inlineStr">
        <is>
          <t>Preprint</t>
        </is>
      </c>
      <c r="G23" s="3" t="n">
        <v>52.5</v>
      </c>
      <c r="H23" s="3" t="inlineStr">
        <is>
          <t>AP 52.5 zero-shot</t>
        </is>
      </c>
      <c r="I23" s="3" t="n"/>
      <c r="J23" s="3" t="n"/>
      <c r="K23" s="3" t="inlineStr">
        <is>
          <t>✅ 已驗證 (Grounding DINO ECCV24 paper)：52.5 AP on COCO zero-shot transfer [Open-set OD]</t>
        </is>
      </c>
      <c r="L23" s="6" t="inlineStr">
        <is>
          <t>https://arxiv.org/abs/2303.05499</t>
        </is>
      </c>
      <c r="M23" s="6" t="inlineStr">
        <is>
          <t>https://github.com/IDEA-Research/GroundingDINO</t>
        </is>
      </c>
    </row>
    <row r="24">
      <c r="A24" s="3" t="inlineStr">
        <is>
          <t>Few-Shot OD</t>
        </is>
      </c>
      <c r="B24" s="3" t="inlineStr">
        <is>
          <t>CD-ViTO</t>
        </is>
      </c>
      <c r="C24" s="3" t="inlineStr">
        <is>
          <t>Fu et al.</t>
        </is>
      </c>
      <c r="D24" s="3" t="inlineStr">
        <is>
          <t>ECCV</t>
        </is>
      </c>
      <c r="E24" s="3" t="inlineStr">
        <is>
          <t>2024-10</t>
        </is>
      </c>
      <c r="F24" s="3" t="inlineStr">
        <is>
          <t>Preprint</t>
        </is>
      </c>
      <c r="G24" s="3" t="n"/>
      <c r="H24" s="3" t="n"/>
      <c r="I24" s="3" t="n"/>
      <c r="J24" s="3" t="n"/>
      <c r="K24" s="3" t="inlineStr">
        <is>
          <t>⚠️ 誤放 (COCO 2017 sheet)：CD-ViTO 是 Cross-Domain FSOD 方法（ECCV24），測試 ArTaxOr/Clipart1k/DIOR/DeepFish/NEU-DET/UODD（CD-FSOD 6 datasets），不直接報告 COCO 2017</t>
        </is>
      </c>
      <c r="L24" s="6" t="inlineStr">
        <is>
          <t>https://arxiv.org/abs/2402.03094</t>
        </is>
      </c>
      <c r="M24" s="6" t="inlineStr">
        <is>
          <t>https://github.com/lovelyqian/CDFSOD-benchmark</t>
        </is>
      </c>
    </row>
    <row r="25">
      <c r="A25" s="3" t="inlineStr">
        <is>
          <t>Real-Time OD</t>
        </is>
      </c>
      <c r="B25" s="3" t="inlineStr">
        <is>
          <t>RT-DETRv2-R101</t>
        </is>
      </c>
      <c r="C25" s="3" t="inlineStr">
        <is>
          <t>Lv et al.</t>
        </is>
      </c>
      <c r="D25" s="3" t="inlineStr">
        <is>
          <t>arXiv</t>
        </is>
      </c>
      <c r="E25" s="3" t="inlineStr">
        <is>
          <t>2024-07</t>
        </is>
      </c>
      <c r="F25" s="3" t="inlineStr">
        <is>
          <t>Preprint</t>
        </is>
      </c>
      <c r="G25" s="3" t="n">
        <v>54.3</v>
      </c>
      <c r="H25" s="3" t="inlineStr">
        <is>
          <t>AP 54.3 val2017</t>
        </is>
      </c>
      <c r="I25" s="3" t="n"/>
      <c r="J25" s="3" t="n"/>
      <c r="K25" s="3" t="inlineStr">
        <is>
          <t>✅ 已驗證 (D-FINE Table 1, COCO val2017)：RT-DETRv2-R101 54.3% AP [Real-Time OD]</t>
        </is>
      </c>
      <c r="L25" s="6" t="inlineStr">
        <is>
          <t>https://arxiv.org/abs/2407.17140</t>
        </is>
      </c>
      <c r="M25" s="6" t="inlineStr">
        <is>
          <t>https://github.com/lyuwenyu/RT-DETR</t>
        </is>
      </c>
    </row>
    <row r="26">
      <c r="A26" s="3" t="inlineStr">
        <is>
          <t>Real-Time OD</t>
        </is>
      </c>
      <c r="B26" s="3" t="inlineStr">
        <is>
          <t>RT-DETR-R101</t>
        </is>
      </c>
      <c r="C26" s="3" t="inlineStr">
        <is>
          <t>Zhao et al.</t>
        </is>
      </c>
      <c r="D26" s="3" t="inlineStr">
        <is>
          <t>CVPR</t>
        </is>
      </c>
      <c r="E26" s="3" t="inlineStr">
        <is>
          <t>2024-06</t>
        </is>
      </c>
      <c r="F26" s="3" t="inlineStr">
        <is>
          <t>Preprint</t>
        </is>
      </c>
      <c r="G26" s="3" t="n">
        <v>54.3</v>
      </c>
      <c r="H26" s="3" t="inlineStr">
        <is>
          <t>AP 54.3 val2017</t>
        </is>
      </c>
      <c r="I26" s="3" t="n"/>
      <c r="J26" s="3" t="n"/>
      <c r="K26" s="3" t="inlineStr">
        <is>
          <t>✅ 已驗證 (D-FINE Table 1, COCO val2017)：RT-DETR-R101 54.3% AP [Real-Time OD]</t>
        </is>
      </c>
      <c r="L26" s="6" t="inlineStr">
        <is>
          <t>https://arxiv.org/abs/2304.08069</t>
        </is>
      </c>
      <c r="M26" s="6" t="inlineStr">
        <is>
          <t>https://github.com/lyuwenyu/RT-DETR</t>
        </is>
      </c>
    </row>
    <row r="27">
      <c r="A27" s="3" t="inlineStr">
        <is>
          <t>General OD</t>
        </is>
      </c>
      <c r="B27" s="3" t="inlineStr">
        <is>
          <t>Grounding DINO 1.5 Pro</t>
        </is>
      </c>
      <c r="C27" s="3" t="inlineStr">
        <is>
          <t>Ren et al.</t>
        </is>
      </c>
      <c r="D27" s="3" t="inlineStr">
        <is>
          <t>arXiv</t>
        </is>
      </c>
      <c r="E27" s="3" t="inlineStr">
        <is>
          <t>2024-05</t>
        </is>
      </c>
      <c r="F27" s="3" t="inlineStr">
        <is>
          <t>Preprint</t>
        </is>
      </c>
      <c r="G27" s="3" t="n">
        <v>54.3</v>
      </c>
      <c r="H27" s="3" t="inlineStr">
        <is>
          <t>AP 54.3 zero-shot</t>
        </is>
      </c>
      <c r="I27" s="3" t="n"/>
      <c r="J27" s="3" t="n"/>
      <c r="K27" s="3" t="inlineStr">
        <is>
          <t>✅ 已驗證 (Grounding DINO 1.5 Pro Table 1)：54.3 AP zero-shot COCO transfer (paper text "achieves a 54.3 AP, improving upon GD Swin-L by 1.8 AP") [Open-set OD]</t>
        </is>
      </c>
      <c r="L27" s="6" t="inlineStr">
        <is>
          <t>https://arxiv.org/abs/2405.10300</t>
        </is>
      </c>
      <c r="M27" s="6" t="inlineStr">
        <is>
          <t>https://github.com/IDEA-Research/Grounding-DINO-1.5-API</t>
        </is>
      </c>
    </row>
    <row r="28">
      <c r="A28" s="3" t="inlineStr">
        <is>
          <t>RGB Salient OD</t>
        </is>
      </c>
      <c r="B28" s="3" t="inlineStr">
        <is>
          <t>BiRefNet</t>
        </is>
      </c>
      <c r="C28" s="3" t="inlineStr">
        <is>
          <t>Zheng et al.</t>
        </is>
      </c>
      <c r="D28" s="3" t="inlineStr">
        <is>
          <t>CAAI AIR</t>
        </is>
      </c>
      <c r="E28" s="3" t="inlineStr">
        <is>
          <t>2024-04</t>
        </is>
      </c>
      <c r="F28" s="3" t="inlineStr">
        <is>
          <t>Preprint</t>
        </is>
      </c>
      <c r="G28" s="3" t="n"/>
      <c r="H28" s="3" t="n"/>
      <c r="I28" s="3" t="n"/>
      <c r="J28" s="3" t="n"/>
      <c r="K28" s="3" t="inlineStr">
        <is>
          <t>⚠️ 誤放 (COCO 2017 sheet)：BiRefNet 是 high-resolution SOD/DIS 方法，不測 COCO 2017。應在 DUTS-TE/ECSSD/HKU-IS 等 SOD sheets</t>
        </is>
      </c>
      <c r="L28" s="6" t="inlineStr">
        <is>
          <t>https://arxiv.org/abs/2401.03407</t>
        </is>
      </c>
      <c r="M28" s="6" t="inlineStr">
        <is>
          <t>https://github.com/ZhengPeng7/BiRefNet</t>
        </is>
      </c>
    </row>
    <row r="29">
      <c r="A29" s="3" t="inlineStr">
        <is>
          <t>Real-Time OD</t>
        </is>
      </c>
      <c r="B29" s="3" t="inlineStr">
        <is>
          <t>YOLOv7-X</t>
        </is>
      </c>
      <c r="C29" s="3" t="inlineStr">
        <is>
          <t>Wang et al.</t>
        </is>
      </c>
      <c r="D29" s="3" t="inlineStr">
        <is>
          <t>CVPR</t>
        </is>
      </c>
      <c r="E29" s="3" t="inlineStr">
        <is>
          <t>2023-06</t>
        </is>
      </c>
      <c r="F29" s="3" t="inlineStr">
        <is>
          <t>Preprint</t>
        </is>
      </c>
      <c r="G29" s="3" t="n">
        <v>52.9</v>
      </c>
      <c r="H29" s="3" t="inlineStr">
        <is>
          <t>AP 52.9 val2017</t>
        </is>
      </c>
      <c r="I29" s="3" t="n"/>
      <c r="J29" s="3" t="n"/>
      <c r="K29" s="3" t="inlineStr">
        <is>
          <t>✅ 已驗證 (D-FINE Table 1, COCO val2017)：YOLOv7-X 52.9% AP [Real-Time OD]</t>
        </is>
      </c>
      <c r="L29" s="6" t="inlineStr">
        <is>
          <t>https://arxiv.org/abs/2207.02696</t>
        </is>
      </c>
      <c r="M29" s="6" t="inlineStr">
        <is>
          <t>https://github.com/WongKinYiu/yolov7</t>
        </is>
      </c>
    </row>
    <row r="30">
      <c r="A30" s="3" t="inlineStr">
        <is>
          <t>Few-Shot OD</t>
        </is>
      </c>
      <c r="B30" s="3" t="inlineStr">
        <is>
          <t>UniFS (UniDetector)</t>
        </is>
      </c>
      <c r="C30" s="3" t="inlineStr">
        <is>
          <t>Wang et al.</t>
        </is>
      </c>
      <c r="D30" s="3" t="inlineStr">
        <is>
          <t>CVPR</t>
        </is>
      </c>
      <c r="E30" s="3" t="inlineStr">
        <is>
          <t>2023-06</t>
        </is>
      </c>
      <c r="F30" s="3" t="inlineStr">
        <is>
          <t>Preprint</t>
        </is>
      </c>
      <c r="G30" s="3" t="n">
        <v>49.3</v>
      </c>
      <c r="H30" s="3" t="inlineStr">
        <is>
          <t>AP 49.3 val (R50 1x)</t>
        </is>
      </c>
      <c r="I30" s="3" t="n"/>
      <c r="J30" s="3" t="n"/>
      <c r="K30" s="3" t="inlineStr">
        <is>
          <t>✅ 已驗證 (UniDetector CVPR23 Table 2)：UniDetector ResNet-50 1× → 49.3 AP COCO val [Universal OD]</t>
        </is>
      </c>
      <c r="L30" s="6" t="inlineStr">
        <is>
          <t>https://arxiv.org/abs/2303.11749</t>
        </is>
      </c>
      <c r="M30" s="6" t="inlineStr">
        <is>
          <t>https://github.com/zhenyuw16/UniDetector</t>
        </is>
      </c>
    </row>
    <row r="31">
      <c r="A31" s="3" t="inlineStr">
        <is>
          <t>Real-Time OD</t>
        </is>
      </c>
      <c r="B31" s="3" t="inlineStr">
        <is>
          <t>RTMDet-X</t>
        </is>
      </c>
      <c r="C31" s="3" t="inlineStr">
        <is>
          <t>Lyu et al.</t>
        </is>
      </c>
      <c r="D31" s="3" t="inlineStr">
        <is>
          <t>arXiv</t>
        </is>
      </c>
      <c r="E31" s="3" t="inlineStr">
        <is>
          <t>2022-12</t>
        </is>
      </c>
      <c r="F31" s="3" t="inlineStr">
        <is>
          <t>Preprint</t>
        </is>
      </c>
      <c r="G31" s="3" t="n">
        <v>52.8</v>
      </c>
      <c r="H31" s="3" t="inlineStr">
        <is>
          <t>AP 52.8 val2017</t>
        </is>
      </c>
      <c r="I31" s="3" t="n"/>
      <c r="J31" s="3" t="n"/>
      <c r="K31" s="3" t="inlineStr">
        <is>
          <t>✅ 已驗證 (D-FINE Table 1, COCO val2017)：RTMDet-X 52.8% AP [Real-Time OD]</t>
        </is>
      </c>
      <c r="L31" s="6" t="inlineStr">
        <is>
          <t>https://arxiv.org/abs/2212.07784</t>
        </is>
      </c>
      <c r="M31" s="6" t="inlineStr">
        <is>
          <t>https://github.com/open-mmlab/mmdetection</t>
        </is>
      </c>
    </row>
    <row r="32">
      <c r="A32" s="3" t="inlineStr">
        <is>
          <t>Real-Time OD</t>
        </is>
      </c>
      <c r="B32" s="3" t="inlineStr">
        <is>
          <t>DAMO-YOLO-l</t>
        </is>
      </c>
      <c r="C32" s="3" t="inlineStr">
        <is>
          <t>Xu et al.</t>
        </is>
      </c>
      <c r="D32" s="3" t="inlineStr">
        <is>
          <t>arXiv</t>
        </is>
      </c>
      <c r="E32" s="3" t="inlineStr">
        <is>
          <t>2022-12</t>
        </is>
      </c>
      <c r="F32" s="3" t="inlineStr">
        <is>
          <t>Preprint</t>
        </is>
      </c>
      <c r="G32" s="3" t="n">
        <v>50.8</v>
      </c>
      <c r="H32" s="3" t="inlineStr">
        <is>
          <t>AP 50.8 test-dev</t>
        </is>
      </c>
      <c r="I32" s="3" t="n"/>
      <c r="J32" s="3" t="n"/>
      <c r="K32" s="3" t="inlineStr">
        <is>
          <t>✅ 已驗證 (DAMO-YOLO arXiv22 Table 1)：DAMO-YOLO-L 50.8% AP COCO test-dev, 42ms@T4 [Real-Time OD]</t>
        </is>
      </c>
      <c r="L32" s="6" t="inlineStr">
        <is>
          <t>https://arxiv.org/abs/2211.15444</t>
        </is>
      </c>
      <c r="M32" s="6" t="inlineStr">
        <is>
          <t>https://github.com/tinyvision/damo-yolo</t>
        </is>
      </c>
    </row>
    <row r="33">
      <c r="A33" s="3" t="inlineStr">
        <is>
          <t>General OD</t>
        </is>
      </c>
      <c r="B33" s="3" t="inlineStr">
        <is>
          <t>ViTDet (ViT-H, MAE)</t>
        </is>
      </c>
      <c r="C33" s="3" t="inlineStr">
        <is>
          <t>Li et al.</t>
        </is>
      </c>
      <c r="D33" s="3" t="inlineStr">
        <is>
          <t>ECCV</t>
        </is>
      </c>
      <c r="E33" s="3" t="inlineStr">
        <is>
          <t>2022-09</t>
        </is>
      </c>
      <c r="F33" s="3" t="inlineStr">
        <is>
          <t>Preprint</t>
        </is>
      </c>
      <c r="G33" s="3" t="n">
        <v>61.3</v>
      </c>
      <c r="H33" s="3" t="inlineStr">
        <is>
          <t>AP 61.3 (plain ViT-H, MAE)</t>
        </is>
      </c>
      <c r="I33" s="3" t="n"/>
      <c r="J33" s="3" t="n"/>
      <c r="K33" s="3" t="inlineStr">
        <is>
          <t>✅ 已驗證 (ViTDet ECCV22 abstract)：61.3 box AP on COCO with plain ViT-H, MAE pre-training [Plain ViT OD]</t>
        </is>
      </c>
      <c r="L33" s="6" t="inlineStr">
        <is>
          <t>https://arxiv.org/abs/2203.16527</t>
        </is>
      </c>
      <c r="M33" s="6" t="inlineStr">
        <is>
          <t>https://github.com/facebookresearch/detectron2</t>
        </is>
      </c>
    </row>
    <row r="34">
      <c r="A34" s="3" t="inlineStr">
        <is>
          <t>General OD</t>
        </is>
      </c>
      <c r="B34" s="3" t="inlineStr">
        <is>
          <t>MaxViT-XL Cascade</t>
        </is>
      </c>
      <c r="C34" s="3" t="inlineStr">
        <is>
          <t>Tu et al.</t>
        </is>
      </c>
      <c r="D34" s="3" t="inlineStr">
        <is>
          <t>ECCV</t>
        </is>
      </c>
      <c r="E34" s="3" t="inlineStr">
        <is>
          <t>2022-09</t>
        </is>
      </c>
      <c r="F34" s="3" t="inlineStr">
        <is>
          <t>Preprint</t>
        </is>
      </c>
      <c r="G34" s="3" t="n"/>
      <c r="H34" s="3" t="n"/>
      <c r="I34" s="3" t="n"/>
      <c r="J34" s="3" t="n"/>
      <c r="K34" s="3" t="inlineStr">
        <is>
          <t>⚠️ 自動抽取・指標待驗證 (已偵測使用此資料集)：Multi-axis attention</t>
        </is>
      </c>
      <c r="L34" s="6" t="inlineStr">
        <is>
          <t>https://arxiv.org/abs/2204.01697</t>
        </is>
      </c>
      <c r="M34" s="6" t="inlineStr">
        <is>
          <t>https://github.com/google-research/maxvit</t>
        </is>
      </c>
    </row>
    <row r="35">
      <c r="A35" s="3" t="inlineStr">
        <is>
          <t>Real-Time OD</t>
        </is>
      </c>
      <c r="B35" s="3" t="inlineStr">
        <is>
          <t>YOLOv6-L</t>
        </is>
      </c>
      <c r="C35" s="3" t="inlineStr">
        <is>
          <t>Li et al.</t>
        </is>
      </c>
      <c r="D35" s="3" t="inlineStr">
        <is>
          <t>arXiv</t>
        </is>
      </c>
      <c r="E35" s="3" t="inlineStr">
        <is>
          <t>2022-09</t>
        </is>
      </c>
      <c r="F35" s="3" t="inlineStr">
        <is>
          <t>Preprint</t>
        </is>
      </c>
      <c r="G35" s="3" t="n">
        <v>52.8</v>
      </c>
      <c r="H35" s="3" t="inlineStr">
        <is>
          <t>AP 52.8 val2017</t>
        </is>
      </c>
      <c r="I35" s="3" t="n"/>
      <c r="J35" s="3" t="n"/>
      <c r="K35" s="3" t="inlineStr">
        <is>
          <t>✅ 已驗證 (D-FINE Table 1, COCO val2017)：YOLOv6-L 52.8% AP [Real-Time OD]</t>
        </is>
      </c>
      <c r="L35" s="6" t="inlineStr">
        <is>
          <t>https://arxiv.org/abs/2209.02976</t>
        </is>
      </c>
      <c r="M35" s="6" t="inlineStr">
        <is>
          <t>https://github.com/meituan/YOLOv6</t>
        </is>
      </c>
    </row>
    <row r="36">
      <c r="A36" s="3" t="inlineStr">
        <is>
          <t>Few-Shot OD</t>
        </is>
      </c>
      <c r="B36" s="3" t="inlineStr">
        <is>
          <t>Meta-DETR</t>
        </is>
      </c>
      <c r="C36" s="3" t="inlineStr">
        <is>
          <t>Zhang et al.</t>
        </is>
      </c>
      <c r="D36" s="3" t="inlineStr">
        <is>
          <t>TPAMI</t>
        </is>
      </c>
      <c r="E36" s="3" t="inlineStr">
        <is>
          <t>2022-08</t>
        </is>
      </c>
      <c r="F36" s="3" t="inlineStr">
        <is>
          <t>Preprint</t>
        </is>
      </c>
      <c r="G36" s="3" t="n"/>
      <c r="H36" s="3" t="n"/>
      <c r="I36" s="3" t="n"/>
      <c r="J36" s="3" t="n"/>
      <c r="K36" s="3" t="inlineStr">
        <is>
          <t>⚠️ 自動抽取・指標待驗證 (已偵測使用此資料集)：Inter-class correlational meta-learning</t>
        </is>
      </c>
      <c r="L36" s="6" t="inlineStr">
        <is>
          <t>https://arxiv.org/abs/2208.00219</t>
        </is>
      </c>
      <c r="M36" s="6" t="inlineStr">
        <is>
          <t>https://github.com/ZhangGongjie/Meta-DETR</t>
        </is>
      </c>
    </row>
    <row r="37">
      <c r="A37" s="3" t="inlineStr">
        <is>
          <t>Real-Time OD</t>
        </is>
      </c>
      <c r="B37" s="3" t="inlineStr">
        <is>
          <t>PP-YOLOE+ (X)</t>
        </is>
      </c>
      <c r="C37" s="3" t="inlineStr">
        <is>
          <t>Xu et al.</t>
        </is>
      </c>
      <c r="D37" s="3" t="inlineStr">
        <is>
          <t>arXiv</t>
        </is>
      </c>
      <c r="E37" s="3" t="inlineStr">
        <is>
          <t>2022-07</t>
        </is>
      </c>
      <c r="F37" s="3" t="inlineStr">
        <is>
          <t>Preprint</t>
        </is>
      </c>
      <c r="G37" s="3" t="n">
        <v>54.7</v>
      </c>
      <c r="H37" s="3" t="inlineStr">
        <is>
          <t>AP 54.7 test-dev</t>
        </is>
      </c>
      <c r="I37" s="3" t="n"/>
      <c r="J37" s="3" t="n"/>
      <c r="K37" s="3" t="inlineStr">
        <is>
          <t>✅ 已驗證 (PP-YOLOE+ arXiv22 Table 1)：PP-YOLOE+-X 54.7% AP COCO test-dev [Real-Time OD]</t>
        </is>
      </c>
      <c r="L37" s="6" t="inlineStr">
        <is>
          <t>https://arxiv.org/abs/2203.16250</t>
        </is>
      </c>
      <c r="M37" s="6" t="inlineStr">
        <is>
          <t>https://github.com/PaddlePaddle/PaddleDetection</t>
        </is>
      </c>
    </row>
    <row r="38">
      <c r="A38" s="3" t="inlineStr">
        <is>
          <t>Few-Shot OD</t>
        </is>
      </c>
      <c r="B38" s="3" t="inlineStr">
        <is>
          <t>DETReg</t>
        </is>
      </c>
      <c r="C38" s="3" t="inlineStr">
        <is>
          <t>Bar et al.</t>
        </is>
      </c>
      <c r="D38" s="3" t="inlineStr">
        <is>
          <t>CVPR</t>
        </is>
      </c>
      <c r="E38" s="3" t="inlineStr">
        <is>
          <t>2022-06</t>
        </is>
      </c>
      <c r="F38" s="3" t="inlineStr">
        <is>
          <t>Preprint</t>
        </is>
      </c>
      <c r="G38" s="3" t="n">
        <v>45.5</v>
      </c>
      <c r="H38" s="3" t="inlineStr">
        <is>
          <t>AP 45.5 (semi-sup, Table 1)</t>
        </is>
      </c>
      <c r="I38" s="3" t="n"/>
      <c r="J38" s="3" t="n"/>
      <c r="K38" s="3" t="inlineStr">
        <is>
          <t>✅ 已驗證 (DETReg CVPR22 Table 1)：DETReg 45.5 AP COCO val under semi-supervised fine-tuning [Self-supervised pre-train OD]</t>
        </is>
      </c>
      <c r="L38" s="6" t="inlineStr">
        <is>
          <t>https://arxiv.org/abs/2106.04550</t>
        </is>
      </c>
      <c r="M38" s="6" t="inlineStr">
        <is>
          <t>https://github.com/amirbar/DETReg</t>
        </is>
      </c>
    </row>
    <row r="39">
      <c r="A39" s="3" t="inlineStr">
        <is>
          <t>General OD</t>
        </is>
      </c>
      <c r="B39" s="3" t="inlineStr">
        <is>
          <t>ConvNeXt-XL Cascade</t>
        </is>
      </c>
      <c r="C39" s="3" t="inlineStr">
        <is>
          <t>Liu et al.</t>
        </is>
      </c>
      <c r="D39" s="3" t="inlineStr">
        <is>
          <t>CVPR</t>
        </is>
      </c>
      <c r="E39" s="3" t="inlineStr">
        <is>
          <t>2022-03</t>
        </is>
      </c>
      <c r="F39" s="3" t="inlineStr">
        <is>
          <t>Preprint</t>
        </is>
      </c>
      <c r="G39" s="3" t="n"/>
      <c r="H39" s="3" t="n"/>
      <c r="I39" s="3" t="n"/>
      <c r="J39" s="3" t="n"/>
      <c r="K39" s="3" t="inlineStr">
        <is>
          <t>⚠️ 自動抽取・指標待驗證 (已偵測使用此資料集)：Pure ConvNet baseline</t>
        </is>
      </c>
      <c r="L39" s="6" t="inlineStr">
        <is>
          <t>https://arxiv.org/abs/2201.03545</t>
        </is>
      </c>
      <c r="M39" s="6" t="inlineStr">
        <is>
          <t>https://github.com/facebookresearch/ConvNeXt</t>
        </is>
      </c>
    </row>
    <row r="40">
      <c r="A40" s="3" t="inlineStr">
        <is>
          <t>General OD</t>
        </is>
      </c>
      <c r="B40" s="3" t="inlineStr">
        <is>
          <t>DN-DETR</t>
        </is>
      </c>
      <c r="C40" s="3" t="inlineStr">
        <is>
          <t>Li et al.</t>
        </is>
      </c>
      <c r="D40" s="3" t="inlineStr">
        <is>
          <t>CVPR</t>
        </is>
      </c>
      <c r="E40" s="3" t="inlineStr">
        <is>
          <t>2022-03</t>
        </is>
      </c>
      <c r="F40" s="3" t="inlineStr">
        <is>
          <t>Preprint</t>
        </is>
      </c>
      <c r="G40" s="3" t="n">
        <v>43.4</v>
      </c>
      <c r="H40" s="3" t="inlineStr">
        <is>
          <t>AP 43.4 (DN-Deformable-DETR-R50, 12ep)</t>
        </is>
      </c>
      <c r="I40" s="3" t="n"/>
      <c r="J40" s="3" t="n"/>
      <c r="K40" s="3" t="inlineStr">
        <is>
          <t>✅ 已驗證 (DN-DETR CVPR22 Table 1)：DN-Deformable-DETR-R50 43.4% AP COCO val (12 epochs) [DETR denoising training]</t>
        </is>
      </c>
      <c r="L40" s="6" t="inlineStr">
        <is>
          <t>https://arxiv.org/abs/2203.01305</t>
        </is>
      </c>
      <c r="M40" s="6" t="inlineStr">
        <is>
          <t>https://github.com/IDEA-Research/DN-DETR</t>
        </is>
      </c>
    </row>
    <row r="41">
      <c r="A41" s="3" t="inlineStr">
        <is>
          <t>General OD</t>
        </is>
      </c>
      <c r="B41" s="3" t="inlineStr">
        <is>
          <t>DAB-DETR</t>
        </is>
      </c>
      <c r="C41" s="3" t="inlineStr">
        <is>
          <t>Liu et al.</t>
        </is>
      </c>
      <c r="D41" s="3" t="inlineStr">
        <is>
          <t>ICLR</t>
        </is>
      </c>
      <c r="E41" s="3" t="inlineStr">
        <is>
          <t>2022-03</t>
        </is>
      </c>
      <c r="F41" s="3" t="inlineStr">
        <is>
          <t>Preprint</t>
        </is>
      </c>
      <c r="G41" s="3" t="n">
        <v>46.8</v>
      </c>
      <c r="H41" s="3" t="inlineStr">
        <is>
          <t>AP 46.8 (DAB-Deformable-DETR-R50)</t>
        </is>
      </c>
      <c r="I41" s="3" t="n"/>
      <c r="J41" s="3" t="n"/>
      <c r="K41" s="3" t="inlineStr">
        <is>
          <t>✅ 已驗證 (DAB-DETR ICLR22 Table 2)：DAB-Deformable-DETR-R50 46.8% AP COCO val (50 epochs) [DETR variant]</t>
        </is>
      </c>
      <c r="L41" s="6" t="inlineStr">
        <is>
          <t>https://arxiv.org/abs/2201.12329</t>
        </is>
      </c>
      <c r="M41" s="6" t="inlineStr">
        <is>
          <t>https://github.com/IDEA-Research/DAB-DETR</t>
        </is>
      </c>
    </row>
    <row r="42">
      <c r="A42" s="3" t="inlineStr">
        <is>
          <t>Few-Shot OD</t>
        </is>
      </c>
      <c r="B42" s="3" t="inlineStr">
        <is>
          <t>DeFRCN</t>
        </is>
      </c>
      <c r="C42" s="3" t="inlineStr">
        <is>
          <t>Qiao et al.</t>
        </is>
      </c>
      <c r="D42" s="3" t="inlineStr">
        <is>
          <t>ICCV</t>
        </is>
      </c>
      <c r="E42" s="3" t="inlineStr">
        <is>
          <t>2021-10</t>
        </is>
      </c>
      <c r="F42" s="3" t="inlineStr">
        <is>
          <t>Preprint</t>
        </is>
      </c>
      <c r="G42" s="3" t="n"/>
      <c r="H42" s="3" t="n"/>
      <c r="I42" s="3" t="n"/>
      <c r="J42" s="3" t="n"/>
      <c r="K42" s="3" t="inlineStr">
        <is>
          <t>⚠️ 自動抽取・指標待驗證 (已偵測使用此資料集)：Decoupled Faster R-CNN; strong baseline</t>
        </is>
      </c>
      <c r="L42" s="6" t="inlineStr">
        <is>
          <t>https://arxiv.org/abs/2108.09017</t>
        </is>
      </c>
      <c r="M42" s="6" t="inlineStr">
        <is>
          <t>https://github.com/er-muyue/DeFRCN</t>
        </is>
      </c>
    </row>
    <row r="43">
      <c r="A43" s="3" t="inlineStr">
        <is>
          <t>General OD</t>
        </is>
      </c>
      <c r="B43" s="3" t="inlineStr">
        <is>
          <t>Swin-L Cascade Mask R-CNN</t>
        </is>
      </c>
      <c r="C43" s="3" t="inlineStr">
        <is>
          <t>Liu et al.</t>
        </is>
      </c>
      <c r="D43" s="3" t="inlineStr">
        <is>
          <t>ICCV</t>
        </is>
      </c>
      <c r="E43" s="3" t="inlineStr">
        <is>
          <t>2021-08</t>
        </is>
      </c>
      <c r="F43" s="3" t="inlineStr">
        <is>
          <t>Preprint</t>
        </is>
      </c>
      <c r="G43" s="3" t="n"/>
      <c r="H43" s="3" t="n"/>
      <c r="I43" s="3" t="n"/>
      <c r="J43" s="3" t="n"/>
      <c r="K43" s="3" t="inlineStr">
        <is>
          <t>⚠️ 自動抽取・指標待驗證 (已偵測使用此資料集)：Swin transformer backbone</t>
        </is>
      </c>
      <c r="L43" s="6" t="inlineStr">
        <is>
          <t>https://arxiv.org/abs/2103.14030</t>
        </is>
      </c>
      <c r="M43" s="6" t="inlineStr">
        <is>
          <t>https://github.com/microsoft/Swin-Transformer</t>
        </is>
      </c>
    </row>
    <row r="44">
      <c r="A44" s="3" t="inlineStr">
        <is>
          <t>Real-Time OD</t>
        </is>
      </c>
      <c r="B44" s="3" t="inlineStr">
        <is>
          <t>YOLOX-X</t>
        </is>
      </c>
      <c r="C44" s="3" t="inlineStr">
        <is>
          <t>Ge et al.</t>
        </is>
      </c>
      <c r="D44" s="3" t="inlineStr">
        <is>
          <t>arXiv</t>
        </is>
      </c>
      <c r="E44" s="3" t="inlineStr">
        <is>
          <t>2021-08</t>
        </is>
      </c>
      <c r="F44" s="3" t="inlineStr">
        <is>
          <t>Preprint</t>
        </is>
      </c>
      <c r="G44" s="3" t="n">
        <v>51.2</v>
      </c>
      <c r="H44" s="3" t="inlineStr">
        <is>
          <t>AP 51.2 val</t>
        </is>
      </c>
      <c r="I44" s="3" t="n"/>
      <c r="J44" s="3" t="n"/>
      <c r="K44" s="3" t="inlineStr">
        <is>
          <t>✅ 已驗證 (YOLOX arXiv21 Table 3, COCO val)：YOLOX-X 51.2% AP, 99.1M params [Real-Time OD]</t>
        </is>
      </c>
      <c r="L44" s="6" t="inlineStr">
        <is>
          <t>https://arxiv.org/abs/2107.08430</t>
        </is>
      </c>
      <c r="M44" s="6" t="inlineStr">
        <is>
          <t>https://github.com/Megvii-BaseDetection/YOLOX</t>
        </is>
      </c>
    </row>
    <row r="45">
      <c r="A45" s="3" t="inlineStr">
        <is>
          <t>Few-Shot OD</t>
        </is>
      </c>
      <c r="B45" s="3" t="inlineStr">
        <is>
          <t>FSCE</t>
        </is>
      </c>
      <c r="C45" s="3" t="inlineStr">
        <is>
          <t>Sun et al.</t>
        </is>
      </c>
      <c r="D45" s="3" t="inlineStr">
        <is>
          <t>CVPR</t>
        </is>
      </c>
      <c r="E45" s="3" t="inlineStr">
        <is>
          <t>2021-06</t>
        </is>
      </c>
      <c r="F45" s="3" t="inlineStr">
        <is>
          <t>Preprint</t>
        </is>
      </c>
      <c r="G45" s="3" t="n"/>
      <c r="H45" s="3" t="n"/>
      <c r="I45" s="3" t="n"/>
      <c r="J45" s="3" t="n"/>
      <c r="K45" s="3" t="inlineStr">
        <is>
          <t>⚠️ 自動抽取・指標待驗證 (已偵測使用此資料集)：Contrastive proposal encoding</t>
        </is>
      </c>
      <c r="L45" s="6" t="inlineStr">
        <is>
          <t>https://arxiv.org/abs/2103.05950</t>
        </is>
      </c>
      <c r="M45" s="6" t="inlineStr">
        <is>
          <t>https://github.com/megvii-research/FSCE</t>
        </is>
      </c>
    </row>
    <row r="46">
      <c r="A46" s="3" t="inlineStr">
        <is>
          <t>General OD</t>
        </is>
      </c>
      <c r="B46" s="3" t="inlineStr">
        <is>
          <t>Deformable DETR (R50)</t>
        </is>
      </c>
      <c r="C46" s="3" t="inlineStr">
        <is>
          <t>Zhu et al.</t>
        </is>
      </c>
      <c r="D46" s="3" t="inlineStr">
        <is>
          <t>ICLR</t>
        </is>
      </c>
      <c r="E46" s="3" t="inlineStr">
        <is>
          <t>2021-05</t>
        </is>
      </c>
      <c r="F46" s="3" t="inlineStr">
        <is>
          <t>Preprint</t>
        </is>
      </c>
      <c r="G46" s="3" t="n">
        <v>46.9</v>
      </c>
      <c r="H46" s="3" t="inlineStr">
        <is>
          <t>AP 46.9 (ResNet-50)</t>
        </is>
      </c>
      <c r="I46" s="3" t="n"/>
      <c r="J46" s="3" t="n"/>
      <c r="K46" s="3" t="inlineStr">
        <is>
          <t>✅ 已驗證 (Deformable DETR ICLR21 Table 3)：R50 backbone, 46.9% AP, end-to-end transformer detector [DETR-based]</t>
        </is>
      </c>
      <c r="L46" s="6" t="inlineStr">
        <is>
          <t>https://arxiv.org/abs/2010.04159</t>
        </is>
      </c>
      <c r="M46" s="6" t="inlineStr">
        <is>
          <t>https://github.com/fundamentalvision/Deformable-DETR</t>
        </is>
      </c>
    </row>
    <row r="47">
      <c r="A47" s="3" t="inlineStr">
        <is>
          <t>General OD</t>
        </is>
      </c>
      <c r="B47" s="3" t="inlineStr">
        <is>
          <t>Sparse R-CNN (R101)</t>
        </is>
      </c>
      <c r="C47" s="3" t="inlineStr">
        <is>
          <t>Sun et al.</t>
        </is>
      </c>
      <c r="D47" s="3" t="inlineStr">
        <is>
          <t>CVPR</t>
        </is>
      </c>
      <c r="E47" s="3" t="inlineStr">
        <is>
          <t>2021-01</t>
        </is>
      </c>
      <c r="F47" s="3" t="inlineStr">
        <is>
          <t>Preprint</t>
        </is>
      </c>
      <c r="G47" s="3" t="n">
        <v>44.1</v>
      </c>
      <c r="H47" s="3" t="inlineStr">
        <is>
          <t>AP 44.1 val (R101-FPN)</t>
        </is>
      </c>
      <c r="I47" s="3" t="n"/>
      <c r="J47" s="3" t="n"/>
      <c r="K47" s="3" t="inlineStr">
        <is>
          <t>✅ 已驗證 (Sparse R-CNN CVPR21 Table 1)：R101-FPN 44.1% AP [Sparse Query OD]</t>
        </is>
      </c>
      <c r="L47" s="6" t="inlineStr">
        <is>
          <t>https://arxiv.org/abs/2011.12450</t>
        </is>
      </c>
      <c r="M47" s="6" t="inlineStr">
        <is>
          <t>https://github.com/PeizeSun/SparseR-CNN</t>
        </is>
      </c>
    </row>
    <row r="48">
      <c r="A48" s="3" t="inlineStr">
        <is>
          <t>General OD</t>
        </is>
      </c>
      <c r="B48" s="3" t="inlineStr">
        <is>
          <t>DETR (R101)</t>
        </is>
      </c>
      <c r="C48" s="3" t="inlineStr">
        <is>
          <t>Carion et al.</t>
        </is>
      </c>
      <c r="D48" s="3" t="inlineStr">
        <is>
          <t>ECCV</t>
        </is>
      </c>
      <c r="E48" s="3" t="inlineStr">
        <is>
          <t>2020-09</t>
        </is>
      </c>
      <c r="F48" s="3" t="inlineStr">
        <is>
          <t>Preprint</t>
        </is>
      </c>
      <c r="G48" s="3" t="n">
        <v>43.5</v>
      </c>
      <c r="H48" s="3" t="inlineStr">
        <is>
          <t>AP 43.5 val</t>
        </is>
      </c>
      <c r="I48" s="3" t="n"/>
      <c r="J48" s="3" t="n"/>
      <c r="K48" s="3" t="inlineStr">
        <is>
          <t>✅ 已驗證 (DETR ECCV20 Table 1)：DETR-R101 43.5% AP on COCO 2017 val [DETR-based OD]</t>
        </is>
      </c>
      <c r="L48" s="6" t="inlineStr">
        <is>
          <t>https://arxiv.org/abs/2005.12872</t>
        </is>
      </c>
      <c r="M48" s="6" t="inlineStr">
        <is>
          <t>https://github.com/facebookresearch/detr</t>
        </is>
      </c>
    </row>
    <row r="49">
      <c r="A49" s="3" t="inlineStr">
        <is>
          <t>Few-Shot OD</t>
        </is>
      </c>
      <c r="B49" s="3" t="inlineStr">
        <is>
          <t>MPSR</t>
        </is>
      </c>
      <c r="C49" s="3" t="inlineStr">
        <is>
          <t>Wu et al.</t>
        </is>
      </c>
      <c r="D49" s="3" t="inlineStr">
        <is>
          <t>ECCV</t>
        </is>
      </c>
      <c r="E49" s="3" t="inlineStr">
        <is>
          <t>2020-08</t>
        </is>
      </c>
      <c r="F49" s="3" t="inlineStr">
        <is>
          <t>Preprint</t>
        </is>
      </c>
      <c r="G49" s="3" t="n"/>
      <c r="H49" s="3" t="n"/>
      <c r="I49" s="3" t="n"/>
      <c r="J49" s="3" t="n"/>
      <c r="K49" s="3" t="inlineStr">
        <is>
          <t>⚠️ 自動抽取・指標待驗證 (已偵測使用此資料集)：Multi-scale positive samples</t>
        </is>
      </c>
      <c r="L49" s="6" t="inlineStr">
        <is>
          <t>https://arxiv.org/abs/2007.09384</t>
        </is>
      </c>
      <c r="M49" s="6" t="inlineStr">
        <is>
          <t>https://github.com/jiaxi-wu/MPSR</t>
        </is>
      </c>
    </row>
    <row r="50">
      <c r="A50" s="3" t="inlineStr">
        <is>
          <t>Few-Shot OD</t>
        </is>
      </c>
      <c r="B50" s="3" t="inlineStr">
        <is>
          <t>TFA w/cos</t>
        </is>
      </c>
      <c r="C50" s="3" t="inlineStr">
        <is>
          <t>Wang et al.</t>
        </is>
      </c>
      <c r="D50" s="3" t="inlineStr">
        <is>
          <t>ICML</t>
        </is>
      </c>
      <c r="E50" s="3" t="inlineStr">
        <is>
          <t>2020-07</t>
        </is>
      </c>
      <c r="F50" s="3" t="inlineStr">
        <is>
          <t>Preprint</t>
        </is>
      </c>
      <c r="G50" s="3" t="n"/>
      <c r="H50" s="3" t="n"/>
      <c r="I50" s="3" t="n"/>
      <c r="J50" s="3" t="n"/>
      <c r="K50" s="3" t="inlineStr">
        <is>
          <t>⚠️ 自動抽取・指標待驗證 (已偵測使用此資料集)：Two-stage fine-tuning baseline</t>
        </is>
      </c>
      <c r="L50" s="6" t="inlineStr">
        <is>
          <t>https://arxiv.org/abs/2003.06957</t>
        </is>
      </c>
      <c r="M50" s="6" t="inlineStr">
        <is>
          <t>https://github.com/ucbdrive/few-shot-object-detection</t>
        </is>
      </c>
    </row>
    <row r="51">
      <c r="A51" s="3" t="inlineStr">
        <is>
          <t>Real-Time OD</t>
        </is>
      </c>
      <c r="B51" s="3" t="inlineStr">
        <is>
          <t>EfficientDet-D7</t>
        </is>
      </c>
      <c r="C51" s="3" t="inlineStr">
        <is>
          <t>Tan et al.</t>
        </is>
      </c>
      <c r="D51" s="3" t="inlineStr">
        <is>
          <t>CVPR</t>
        </is>
      </c>
      <c r="E51" s="3" t="inlineStr">
        <is>
          <t>2020-06</t>
        </is>
      </c>
      <c r="F51" s="3" t="inlineStr">
        <is>
          <t>Preprint</t>
        </is>
      </c>
      <c r="G51" s="3" t="n">
        <v>55.1</v>
      </c>
      <c r="H51" s="3" t="inlineStr">
        <is>
          <t>AP 55.1 test-dev</t>
        </is>
      </c>
      <c r="I51" s="3" t="n"/>
      <c r="J51" s="3" t="n"/>
      <c r="K51" s="3" t="inlineStr">
        <is>
          <t>✅ 已驗證 (EfficientDet CVPR20 paper abstract)：EfficientDet-D7 55.1% AP on COCO test-dev, single-model single-scale [Real-Time OD]</t>
        </is>
      </c>
      <c r="L51" s="6" t="inlineStr">
        <is>
          <t>https://arxiv.org/abs/1911.09070</t>
        </is>
      </c>
      <c r="M51" s="6" t="inlineStr">
        <is>
          <t>https://github.com/google/automl/tree/master/efficientdet</t>
        </is>
      </c>
    </row>
    <row r="52">
      <c r="A52" s="3" t="inlineStr">
        <is>
          <t>Few-Shot OD</t>
        </is>
      </c>
      <c r="B52" s="3" t="inlineStr">
        <is>
          <t>Meta R-CNN</t>
        </is>
      </c>
      <c r="C52" s="3" t="inlineStr">
        <is>
          <t>Yan et al.</t>
        </is>
      </c>
      <c r="D52" s="3" t="inlineStr">
        <is>
          <t>ICCV</t>
        </is>
      </c>
      <c r="E52" s="3" t="inlineStr">
        <is>
          <t>2019-10</t>
        </is>
      </c>
      <c r="F52" s="3" t="inlineStr">
        <is>
          <t>Preprint</t>
        </is>
      </c>
      <c r="G52" s="3" t="n"/>
      <c r="H52" s="3" t="n"/>
      <c r="I52" s="3" t="n"/>
      <c r="J52" s="3" t="n"/>
      <c r="K52" s="3" t="inlineStr">
        <is>
          <t>⚠️ 自動抽取・指標待驗證 (已偵測使用此資料集)：Class-agnostic meta-learning</t>
        </is>
      </c>
      <c r="L52" s="6" t="inlineStr">
        <is>
          <t>https://arxiv.org/abs/1909.13032</t>
        </is>
      </c>
      <c r="M52" s="6" t="inlineStr">
        <is>
          <t>https://github.com/yanxp/MetaR-CNN</t>
        </is>
      </c>
    </row>
    <row r="53">
      <c r="A53" s="3" t="inlineStr">
        <is>
          <t>Few-Shot OD</t>
        </is>
      </c>
      <c r="B53" s="3" t="inlineStr">
        <is>
          <t>FSRW</t>
        </is>
      </c>
      <c r="C53" s="3" t="inlineStr">
        <is>
          <t>Kang et al.</t>
        </is>
      </c>
      <c r="D53" s="3" t="inlineStr">
        <is>
          <t>ICCV</t>
        </is>
      </c>
      <c r="E53" s="3" t="inlineStr">
        <is>
          <t>2019-10</t>
        </is>
      </c>
      <c r="F53" s="3" t="inlineStr">
        <is>
          <t>Preprint</t>
        </is>
      </c>
      <c r="G53" s="3" t="n"/>
      <c r="H53" s="3" t="n"/>
      <c r="I53" s="3" t="n"/>
      <c r="J53" s="3" t="n"/>
      <c r="K53" s="3" t="inlineStr">
        <is>
          <t>⚠️ 自動抽取・指標待驗證 (已偵測使用此資料集)：Reweighting features</t>
        </is>
      </c>
      <c r="L53" s="6" t="inlineStr">
        <is>
          <t>https://arxiv.org/abs/1812.01866</t>
        </is>
      </c>
      <c r="M53" s="6" t="inlineStr">
        <is>
          <t>https://github.com/bingykang/Fewshot_Detection</t>
        </is>
      </c>
    </row>
    <row r="54">
      <c r="A54" s="3" t="inlineStr">
        <is>
          <t>General OD</t>
        </is>
      </c>
      <c r="B54" s="3" t="inlineStr">
        <is>
          <t>CenterNet</t>
        </is>
      </c>
      <c r="C54" s="3" t="inlineStr">
        <is>
          <t>Zhou et al.</t>
        </is>
      </c>
      <c r="D54" s="3" t="inlineStr">
        <is>
          <t>arXiv</t>
        </is>
      </c>
      <c r="E54" s="3" t="inlineStr">
        <is>
          <t>2019-04</t>
        </is>
      </c>
      <c r="F54" s="3" t="inlineStr">
        <is>
          <t>Preprint</t>
        </is>
      </c>
      <c r="G54" s="3" t="n">
        <v>42.1</v>
      </c>
      <c r="H54" s="3" t="inlineStr">
        <is>
          <t>AP 42.1 (HG-104, single-scale)</t>
        </is>
      </c>
      <c r="I54" s="3" t="n"/>
      <c r="J54" s="3" t="n"/>
      <c r="K54" s="3" t="inlineStr">
        <is>
          <t>✅ 已驗證 (CenterNet ICCV19 Table 2)：Hourglass-104 42.1% AP [Anchor-free OD]</t>
        </is>
      </c>
      <c r="L54" s="6" t="inlineStr">
        <is>
          <t>https://arxiv.org/abs/1904.07850</t>
        </is>
      </c>
      <c r="M54" s="6" t="inlineStr">
        <is>
          <t>https://github.com/xingyizhou/CenterNet</t>
        </is>
      </c>
    </row>
    <row r="55">
      <c r="A55" s="3" t="inlineStr">
        <is>
          <t>General OD</t>
        </is>
      </c>
      <c r="B55" s="3" t="inlineStr">
        <is>
          <t>FCOS (R101)</t>
        </is>
      </c>
      <c r="C55" s="3" t="inlineStr">
        <is>
          <t>Tian et al.</t>
        </is>
      </c>
      <c r="D55" s="3" t="inlineStr">
        <is>
          <t>ICCV</t>
        </is>
      </c>
      <c r="E55" s="3" t="inlineStr">
        <is>
          <t>2019-04</t>
        </is>
      </c>
      <c r="F55" s="3" t="inlineStr">
        <is>
          <t>Preprint</t>
        </is>
      </c>
      <c r="G55" s="3" t="n">
        <v>41.5</v>
      </c>
      <c r="H55" s="3" t="inlineStr">
        <is>
          <t>AP 41.5 test-dev (R101-FPN)</t>
        </is>
      </c>
      <c r="I55" s="3" t="n"/>
      <c r="J55" s="3" t="n"/>
      <c r="K55" s="3" t="inlineStr">
        <is>
          <t>✅ 已驗證 (FCOS ICCV19 Table 4)：FCOS ResNet-101-FPN 41.5 AP COCO test-dev [Anchor-free OD]</t>
        </is>
      </c>
      <c r="L55" s="6" t="inlineStr">
        <is>
          <t>https://arxiv.org/abs/1904.01355</t>
        </is>
      </c>
      <c r="M55" s="6" t="inlineStr">
        <is>
          <t>https://github.com/tianzhi0549/FCOS</t>
        </is>
      </c>
    </row>
    <row r="56">
      <c r="A56" s="3" t="inlineStr">
        <is>
          <t>General OD</t>
        </is>
      </c>
      <c r="B56" s="3" t="inlineStr">
        <is>
          <t>Cascade R-CNN (R101-FPN)</t>
        </is>
      </c>
      <c r="C56" s="3" t="inlineStr">
        <is>
          <t>Cai &amp; Vasconcelos</t>
        </is>
      </c>
      <c r="D56" s="3" t="inlineStr">
        <is>
          <t>CVPR</t>
        </is>
      </c>
      <c r="E56" s="3" t="inlineStr">
        <is>
          <t>2018-06</t>
        </is>
      </c>
      <c r="F56" s="3" t="inlineStr">
        <is>
          <t>Preprint</t>
        </is>
      </c>
      <c r="G56" s="3" t="n">
        <v>42.8</v>
      </c>
      <c r="H56" s="3" t="inlineStr">
        <is>
          <t>AP 42.8</t>
        </is>
      </c>
      <c r="I56" s="3" t="n"/>
      <c r="J56" s="3" t="n"/>
      <c r="K56" s="3" t="inlineStr">
        <is>
          <t>✅ 已驗證 (Cascade R-CNN CVPR18 Table 5)：ResNet-101 42.8% AP [Two-Stage Cascade OD]</t>
        </is>
      </c>
      <c r="L56" s="6" t="inlineStr">
        <is>
          <t>https://arxiv.org/abs/1712.00726</t>
        </is>
      </c>
      <c r="M56" s="6" t="inlineStr">
        <is>
          <t>https://github.com/zhaoweicai/cascade-rcnn</t>
        </is>
      </c>
    </row>
    <row r="57">
      <c r="A57" s="3" t="inlineStr">
        <is>
          <t>General OD</t>
        </is>
      </c>
      <c r="B57" s="3" t="inlineStr">
        <is>
          <t>RetinaNet (R101)</t>
        </is>
      </c>
      <c r="C57" s="3" t="inlineStr">
        <is>
          <t>Lin et al.</t>
        </is>
      </c>
      <c r="D57" s="3" t="inlineStr">
        <is>
          <t>ICCV</t>
        </is>
      </c>
      <c r="E57" s="3" t="inlineStr">
        <is>
          <t>2017-10</t>
        </is>
      </c>
      <c r="F57" s="3" t="inlineStr">
        <is>
          <t>Preprint</t>
        </is>
      </c>
      <c r="G57" s="3" t="n">
        <v>39.1</v>
      </c>
      <c r="H57" s="3" t="inlineStr">
        <is>
          <t>AP 39.1</t>
        </is>
      </c>
      <c r="I57" s="3" t="n"/>
      <c r="J57" s="3" t="n"/>
      <c r="K57" s="3" t="inlineStr">
        <is>
          <t>✅ 已驗證 (RetinaNet ICCV17 Table 2)：ResNet-101-FPN 39.1% AP [Focal Loss OD]</t>
        </is>
      </c>
      <c r="L57" s="6" t="inlineStr">
        <is>
          <t>https://arxiv.org/abs/1708.02002</t>
        </is>
      </c>
      <c r="M57" s="6" t="inlineStr">
        <is>
          <t>https://github.com/facebookresearch/Detectron</t>
        </is>
      </c>
    </row>
    <row r="58">
      <c r="A58" s="3" t="inlineStr">
        <is>
          <t>General OD</t>
        </is>
      </c>
      <c r="B58" s="3" t="inlineStr">
        <is>
          <t>Mask R-CNN (R50-FPN)</t>
        </is>
      </c>
      <c r="C58" s="3" t="inlineStr">
        <is>
          <t>He et al.</t>
        </is>
      </c>
      <c r="D58" s="3" t="inlineStr">
        <is>
          <t>ICCV</t>
        </is>
      </c>
      <c r="E58" s="3" t="inlineStr">
        <is>
          <t>2017-10</t>
        </is>
      </c>
      <c r="F58" s="3" t="inlineStr">
        <is>
          <t>Preprint</t>
        </is>
      </c>
      <c r="G58" s="3" t="n">
        <v>38.6</v>
      </c>
      <c r="H58" s="3" t="inlineStr">
        <is>
          <t>AP 38.6 (R50-FPN box AP, Detectron2)</t>
        </is>
      </c>
      <c r="I58" s="3" t="n"/>
      <c r="J58" s="3" t="n"/>
      <c r="K58" s="3" t="inlineStr">
        <is>
          <t>✅ 已驗證 (Mask R-CNN paper Table 3 + Detectron2 model zoo)：Mask R-CNN R50-FPN ~38.6 box AP COCO val (R101 paper Table 3: 38.2 test-dev box)</t>
        </is>
      </c>
      <c r="L58" s="6" t="inlineStr">
        <is>
          <t>https://arxiv.org/abs/1703.06870</t>
        </is>
      </c>
      <c r="M58" s="6" t="inlineStr">
        <is>
          <t>https://github.com/facebookresearch/maskrcnn-benchmark</t>
        </is>
      </c>
    </row>
    <row r="59">
      <c r="A59" s="3" t="inlineStr">
        <is>
          <t>General OD</t>
        </is>
      </c>
      <c r="B59" s="3" t="inlineStr">
        <is>
          <t>Faster R-CNN (R50-FPN)</t>
        </is>
      </c>
      <c r="C59" s="3" t="inlineStr">
        <is>
          <t>Ren et al.</t>
        </is>
      </c>
      <c r="D59" s="3" t="inlineStr">
        <is>
          <t>NeurIPS</t>
        </is>
      </c>
      <c r="E59" s="3" t="inlineStr">
        <is>
          <t>2015-06</t>
        </is>
      </c>
      <c r="F59" s="3" t="inlineStr">
        <is>
          <t>Preprint</t>
        </is>
      </c>
      <c r="G59" s="3" t="n">
        <v>40.2</v>
      </c>
      <c r="H59" s="3" t="inlineStr">
        <is>
          <t>AP 40.2 val (Detectron2)</t>
        </is>
      </c>
      <c r="I59" s="3" t="n"/>
      <c r="J59" s="3" t="n"/>
      <c r="K59" s="3" t="inlineStr">
        <is>
          <t>✅ 已驗證 (DETR Table 1 cites Detectron2 baseline)：Faster R-CNN R50-FPN 40.2% AP on COCO 2017 val [Two-Stage OD baseline]</t>
        </is>
      </c>
      <c r="L59" s="6" t="inlineStr">
        <is>
          <t>https://arxiv.org/abs/1506.01497</t>
        </is>
      </c>
      <c r="M59" s="6" t="inlineStr">
        <is>
          <t>https://github.com/rbgirshick/py-faster-rcnn</t>
        </is>
      </c>
    </row>
    <row r="60">
      <c r="A60" s="3" t="inlineStr">
        <is>
          <t>Few-Shot OD</t>
        </is>
      </c>
      <c r="B60" s="3" t="inlineStr">
        <is>
          <t>Exploring Hierarchical Consistency and Unbiased Objectness for Open-Vocabulary Object Dete</t>
        </is>
      </c>
      <c r="C60" s="3" t="inlineStr">
        <is>
          <t>Sanghoon Lee, Geon Lee, Hyekang Park, Bumsub Ham</t>
        </is>
      </c>
      <c r="D60" s="3" t="inlineStr">
        <is>
          <t>arXiv</t>
        </is>
      </c>
      <c r="E60" s="3" t="inlineStr">
        <is>
          <t>2026-04</t>
        </is>
      </c>
      <c r="F60" s="3" t="inlineStr">
        <is>
          <t>Preprint</t>
        </is>
      </c>
      <c r="G60" s="3" t="n"/>
      <c r="H60" s="3" t="n"/>
      <c r="I60" s="3" t="n"/>
      <c r="J60" s="3" t="n"/>
      <c r="K60" s="3" t="inlineStr">
        <is>
          <t>⚠️ 待 PDF 個別驗證：Exploring Hierarchical Consistency and Unbiased Ob 為 CVPR/WACV 2025 個別 paper，需單獨下載 PDF 抽取 COCO AP</t>
        </is>
      </c>
      <c r="L60" s="6" t="inlineStr">
        <is>
          <t>https://arxiv.org/abs/2604.23344</t>
        </is>
      </c>
      <c r="M60" s="6" t="inlineStr">
        <is>
          <t>N/A</t>
        </is>
      </c>
    </row>
    <row r="61">
      <c r="A61" s="3" t="inlineStr">
        <is>
          <t>General OD</t>
        </is>
      </c>
      <c r="B61" s="3" t="inlineStr">
        <is>
          <t>UHR-DETR: Efficient End-to-End Small Object Detection for Ultra-High-Resolution Remote Sen</t>
        </is>
      </c>
      <c r="C61" s="3" t="inlineStr">
        <is>
          <t>Jingfang Li, Haoran Zhu, Wen Yang, Jinrui Zhang, Fang Xu, Haijian Zhang, Gui-Song Xia</t>
        </is>
      </c>
      <c r="D61" s="3" t="inlineStr">
        <is>
          <t>arXiv</t>
        </is>
      </c>
      <c r="E61" s="3" t="inlineStr">
        <is>
          <t>2026-04</t>
        </is>
      </c>
      <c r="F61" s="3" t="inlineStr">
        <is>
          <t>Preprint</t>
        </is>
      </c>
      <c r="G61" s="3" t="n"/>
      <c r="H61" s="3" t="n"/>
      <c r="I61" s="3" t="n"/>
      <c r="J61" s="3" t="n"/>
      <c r="K61" s="3" t="inlineStr">
        <is>
          <t>⚠️ 待 PDF 個別驗證：UHR-DETR 為 CVPR/WACV 2025 個別 paper，需單獨下載 PDF 抽取 COCO AP</t>
        </is>
      </c>
      <c r="L61" s="6" t="inlineStr">
        <is>
          <t>https://arxiv.org/abs/2604.21435</t>
        </is>
      </c>
      <c r="M61" s="6" t="inlineStr">
        <is>
          <t>N/A</t>
        </is>
      </c>
    </row>
    <row r="62">
      <c r="A62" s="3" t="inlineStr">
        <is>
          <t>General OD</t>
        </is>
      </c>
      <c r="B62" s="3" t="inlineStr">
        <is>
          <t>Brain-Inspired Spiking Neural Networks for Energy-Efficient</t>
        </is>
      </c>
      <c r="C62" s="3" t="inlineStr">
        <is>
          <t>—</t>
        </is>
      </c>
      <c r="D62" s="3" t="inlineStr">
        <is>
          <t>CVPR 2025</t>
        </is>
      </c>
      <c r="E62" s="3" t="inlineStr">
        <is>
          <t>2025-06</t>
        </is>
      </c>
      <c r="F62" s="3" t="inlineStr">
        <is>
          <t>Preprint</t>
        </is>
      </c>
      <c r="G62" s="3" t="n"/>
      <c r="H62" s="3" t="n"/>
      <c r="I62" s="3" t="n"/>
      <c r="J62" s="3" t="n"/>
      <c r="K62" s="3" t="inlineStr">
        <is>
          <t>⚠️ 待 PDF 個別驗證：Brain-Inspired Spiking Neural Networks for Energy- 為 CVPR/WACV 2025 個別 paper，需單獨下載 PDF 抽取 COCO AP</t>
        </is>
      </c>
      <c r="L62" s="6" t="inlineStr">
        <is>
          <t>https://openaccess.thecvf.com/content/CVPR2025/html/Li_Brain-Inspired_Spiking_Neural_Networks_for_Energy-Efficient_Object_Detection_CVPR_2025_paper.html</t>
        </is>
      </c>
      <c r="M62" s="6" t="inlineStr">
        <is>
          <t>N/A</t>
        </is>
      </c>
    </row>
    <row r="63">
      <c r="A63" s="3" t="inlineStr">
        <is>
          <t>General OD</t>
        </is>
      </c>
      <c r="B63" s="3" t="inlineStr">
        <is>
          <t>Believing is Seeing</t>
        </is>
      </c>
      <c r="C63" s="3" t="inlineStr">
        <is>
          <t>—</t>
        </is>
      </c>
      <c r="D63" s="3" t="inlineStr">
        <is>
          <t>CVPR 2025</t>
        </is>
      </c>
      <c r="E63" s="3" t="inlineStr">
        <is>
          <t>2025-06</t>
        </is>
      </c>
      <c r="F63" s="3" t="inlineStr">
        <is>
          <t>Preprint</t>
        </is>
      </c>
      <c r="G63" s="3" t="n"/>
      <c r="H63" s="3" t="n"/>
      <c r="I63" s="3" t="n"/>
      <c r="J63" s="3" t="n"/>
      <c r="K63" s="3" t="inlineStr">
        <is>
          <t>⚠️ 待 PDF 個別驗證：Believing is Seeing 為 CVPR/WACV 2025 個別 paper，需單獨下載 PDF 抽取 COCO AP</t>
        </is>
      </c>
      <c r="L63" s="6" t="inlineStr">
        <is>
          <t>https://openaccess.thecvf.com/content/CVPR2025/html/Bhattacharjee_Believing_is_Seeing_Unobserved_Object_Detection_using_Generative_Models_CVPR_2025_paper.html</t>
        </is>
      </c>
      <c r="M63" s="6" t="inlineStr">
        <is>
          <t>N/A</t>
        </is>
      </c>
    </row>
    <row r="64">
      <c r="A64" s="3" t="inlineStr">
        <is>
          <t>General OD</t>
        </is>
      </c>
      <c r="B64" s="3" t="inlineStr">
        <is>
          <t>OW-OVD</t>
        </is>
      </c>
      <c r="C64" s="3" t="inlineStr">
        <is>
          <t>—</t>
        </is>
      </c>
      <c r="D64" s="3" t="inlineStr">
        <is>
          <t>CVPR 2025</t>
        </is>
      </c>
      <c r="E64" s="3" t="inlineStr">
        <is>
          <t>2025-06</t>
        </is>
      </c>
      <c r="F64" s="3" t="inlineStr">
        <is>
          <t>Preprint</t>
        </is>
      </c>
      <c r="G64" s="3" t="n"/>
      <c r="H64" s="3" t="n"/>
      <c r="I64" s="3" t="n"/>
      <c r="J64" s="3" t="n"/>
      <c r="K64" s="3" t="inlineStr">
        <is>
          <t>⚠️ 自動抽取・指標待驗證 (已偵測使用此資料集)：CVF Open Access 自動收錄；指標待人工驗證。OW-OVD: Unified Open World and Open Vocabulary Obje</t>
        </is>
      </c>
      <c r="L64" s="6" t="inlineStr">
        <is>
          <t>https://openaccess.thecvf.com/content/CVPR2025/html/Xi_OW-OVD_Unified_Open_World_and_Open_Vocabulary_Object_Detection_CVPR_2025_paper.html</t>
        </is>
      </c>
      <c r="M64" s="6" t="inlineStr">
        <is>
          <t>N/A</t>
        </is>
      </c>
    </row>
    <row r="65">
      <c r="A65" s="3" t="inlineStr">
        <is>
          <t>General OD</t>
        </is>
      </c>
      <c r="B65" s="3" t="inlineStr">
        <is>
          <t>Shift the Lens</t>
        </is>
      </c>
      <c r="C65" s="3" t="inlineStr">
        <is>
          <t>—</t>
        </is>
      </c>
      <c r="D65" s="3" t="inlineStr">
        <is>
          <t>CVPR 2025</t>
        </is>
      </c>
      <c r="E65" s="3" t="inlineStr">
        <is>
          <t>2025-06</t>
        </is>
      </c>
      <c r="F65" s="3" t="inlineStr">
        <is>
          <t>Preprint</t>
        </is>
      </c>
      <c r="G65" s="3" t="n"/>
      <c r="H65" s="3" t="n"/>
      <c r="I65" s="3" t="n"/>
      <c r="J65" s="3" t="n"/>
      <c r="K65" s="3" t="inlineStr">
        <is>
          <t>⚠️ 自動抽取・指標待驗證 (已偵測使用此資料集)：CVF Open Access 自動收錄；指標待人工驗證。Shift the Lens: Environment-Aware Unsupervised Camo</t>
        </is>
      </c>
      <c r="L65" s="6" t="inlineStr">
        <is>
          <t>https://openaccess.thecvf.com/content/CVPR2025/html/Du_Shift_the_Lens_Environment-Aware_Unsupervised_Camouflaged_Object_Detection_CVPR_2025_paper.html</t>
        </is>
      </c>
      <c r="M65" s="6" t="inlineStr">
        <is>
          <t>N/A</t>
        </is>
      </c>
    </row>
    <row r="66">
      <c r="A66" s="3" t="inlineStr">
        <is>
          <t>General OD</t>
        </is>
      </c>
      <c r="B66" s="3" t="inlineStr">
        <is>
          <t>Mr. DETR</t>
        </is>
      </c>
      <c r="C66" s="3" t="inlineStr">
        <is>
          <t>—</t>
        </is>
      </c>
      <c r="D66" s="3" t="inlineStr">
        <is>
          <t>CVPR 2025</t>
        </is>
      </c>
      <c r="E66" s="3" t="inlineStr">
        <is>
          <t>2025-06</t>
        </is>
      </c>
      <c r="F66" s="3" t="inlineStr">
        <is>
          <t>Preprint</t>
        </is>
      </c>
      <c r="G66" s="3" t="n"/>
      <c r="H66" s="3" t="n"/>
      <c r="I66" s="3" t="n"/>
      <c r="J66" s="3" t="n"/>
      <c r="K66" s="3" t="inlineStr">
        <is>
          <t>⚠️ 待 PDF 個別驗證：Mr. DETR 為 CVPR/WACV 2025 個別 paper，需單獨下載 PDF 抽取 COCO AP</t>
        </is>
      </c>
      <c r="L66" s="6" t="inlineStr">
        <is>
          <t>https://openaccess.thecvf.com/content/CVPR2025/html/Zhang_Mr._DETR_Instructive_Multi-Route_Training_for_Detection_Transformers_CVPR_2025_paper.html</t>
        </is>
      </c>
      <c r="M66" s="6" t="inlineStr">
        <is>
          <t>N/A</t>
        </is>
      </c>
    </row>
    <row r="67">
      <c r="A67" s="3" t="inlineStr">
        <is>
          <t>RGB Salient OD</t>
        </is>
      </c>
      <c r="B67" s="3" t="inlineStr">
        <is>
          <t>Visual Consensus Prompting for Co-Salient Object Detection</t>
        </is>
      </c>
      <c r="C67" s="3" t="inlineStr">
        <is>
          <t>—</t>
        </is>
      </c>
      <c r="D67" s="3" t="inlineStr">
        <is>
          <t>CVPR 2025</t>
        </is>
      </c>
      <c r="E67" s="3" t="inlineStr">
        <is>
          <t>2025-06</t>
        </is>
      </c>
      <c r="F67" s="3" t="inlineStr">
        <is>
          <t>Preprint</t>
        </is>
      </c>
      <c r="G67" s="3" t="n"/>
      <c r="H67" s="3" t="n"/>
      <c r="I67" s="3" t="n"/>
      <c r="J67" s="3" t="n"/>
      <c r="K67" s="3" t="inlineStr">
        <is>
          <t>⚠️ 自動抽取・指標待驗證 (已偵測使用此資料集)：CVF Open Access 自動收錄；指標待人工驗證。Visual Consensus Prompting for Co-Salient Object De</t>
        </is>
      </c>
      <c r="L67" s="6" t="inlineStr">
        <is>
          <t>https://openaccess.thecvf.com/content/CVPR2025/html/Wang_Visual_Consensus_Prompting_for_Co-Salient_Object_Detection_CVPR_2025_paper.html</t>
        </is>
      </c>
      <c r="M67" s="6" t="inlineStr">
        <is>
          <t>N/A</t>
        </is>
      </c>
    </row>
    <row r="68">
      <c r="A68" s="3" t="inlineStr">
        <is>
          <t>General OD</t>
        </is>
      </c>
      <c r="B68" s="3" t="inlineStr">
        <is>
          <t>Language-Guided Salient Object Ranking</t>
        </is>
      </c>
      <c r="C68" s="3" t="inlineStr">
        <is>
          <t>—</t>
        </is>
      </c>
      <c r="D68" s="3" t="inlineStr">
        <is>
          <t>CVPR 2025</t>
        </is>
      </c>
      <c r="E68" s="3" t="inlineStr">
        <is>
          <t>2025-06</t>
        </is>
      </c>
      <c r="F68" s="3" t="inlineStr">
        <is>
          <t>Preprint</t>
        </is>
      </c>
      <c r="G68" s="3" t="n"/>
      <c r="H68" s="3" t="n"/>
      <c r="I68" s="3" t="n"/>
      <c r="J68" s="3" t="n"/>
      <c r="K68" s="3" t="inlineStr">
        <is>
          <t>⚠️ 自動抽取・指標待驗證 (已偵測使用此資料集)：CVF Open Access 自動收錄；指標待人工驗證。Language-Guided Salient Object Ranking</t>
        </is>
      </c>
      <c r="L68" s="6" t="inlineStr">
        <is>
          <t>https://openaccess.thecvf.com/content/CVPR2025/html/Liu_Language-Guided_Salient_Object_Ranking_CVPR_2025_paper.html</t>
        </is>
      </c>
      <c r="M68" s="6" t="inlineStr">
        <is>
          <t>N/A</t>
        </is>
      </c>
    </row>
    <row r="69">
      <c r="A69" s="3" t="inlineStr">
        <is>
          <t>General OD</t>
        </is>
      </c>
      <c r="B69" s="3" t="inlineStr">
        <is>
          <t>Test-Time Backdoor Detection for Object Detection Models</t>
        </is>
      </c>
      <c r="C69" s="3" t="inlineStr">
        <is>
          <t>—</t>
        </is>
      </c>
      <c r="D69" s="3" t="inlineStr">
        <is>
          <t>CVPR 2025</t>
        </is>
      </c>
      <c r="E69" s="3" t="inlineStr">
        <is>
          <t>2025-06</t>
        </is>
      </c>
      <c r="F69" s="3" t="inlineStr">
        <is>
          <t>Preprint</t>
        </is>
      </c>
      <c r="G69" s="3" t="n"/>
      <c r="H69" s="3" t="n"/>
      <c r="I69" s="3" t="n"/>
      <c r="J69" s="3" t="n"/>
      <c r="K69" s="3" t="inlineStr">
        <is>
          <t>⚠️ 自動抽取・指標待驗證 (已偵測使用此資料集)：CVF Open Access 自動收錄；指標待人工驗證。Test-Time Backdoor Detection for Object Detection M</t>
        </is>
      </c>
      <c r="L69" s="6" t="inlineStr">
        <is>
          <t>https://openaccess.thecvf.com/content/CVPR2025/html/Zhang_Test-Time_Backdoor_Detection_for_Object_Detection_Models_CVPR_2025_paper.html</t>
        </is>
      </c>
      <c r="M69" s="6" t="inlineStr">
        <is>
          <t>N/A</t>
        </is>
      </c>
    </row>
    <row r="70">
      <c r="A70" s="3" t="inlineStr">
        <is>
          <t>General OD</t>
        </is>
      </c>
      <c r="B70" s="3" t="inlineStr">
        <is>
          <t>Search and Detect</t>
        </is>
      </c>
      <c r="C70" s="3" t="inlineStr">
        <is>
          <t>—</t>
        </is>
      </c>
      <c r="D70" s="3" t="inlineStr">
        <is>
          <t>CVPR 2025</t>
        </is>
      </c>
      <c r="E70" s="3" t="inlineStr">
        <is>
          <t>2025-06</t>
        </is>
      </c>
      <c r="F70" s="3" t="inlineStr">
        <is>
          <t>Preprint</t>
        </is>
      </c>
      <c r="G70" s="3" t="n"/>
      <c r="H70" s="3" t="n"/>
      <c r="I70" s="3" t="n"/>
      <c r="J70" s="3" t="n"/>
      <c r="K70" s="3" t="inlineStr">
        <is>
          <t>⚠️ 待 PDF 個別驗證：Search and Detect 為 CVPR/WACV 2025 個別 paper，需單獨下載 PDF 抽取 COCO AP</t>
        </is>
      </c>
      <c r="L70" s="6" t="inlineStr">
        <is>
          <t>https://openaccess.thecvf.com/content/CVPR2025/html/Sidhu_Search_and_Detect_Training-Free_Long_Tail_Object_Detection_via_Web-Image_CVPR_2025_paper.html</t>
        </is>
      </c>
      <c r="M70" s="6" t="inlineStr">
        <is>
          <t>N/A</t>
        </is>
      </c>
    </row>
    <row r="71">
      <c r="A71" s="3" t="inlineStr">
        <is>
          <t>General OD</t>
        </is>
      </c>
      <c r="B71" s="3" t="inlineStr">
        <is>
          <t>ROD-MLLM</t>
        </is>
      </c>
      <c r="C71" s="3" t="inlineStr">
        <is>
          <t>—</t>
        </is>
      </c>
      <c r="D71" s="3" t="inlineStr">
        <is>
          <t>CVPR 2025</t>
        </is>
      </c>
      <c r="E71" s="3" t="inlineStr">
        <is>
          <t>2025-06</t>
        </is>
      </c>
      <c r="F71" s="3" t="inlineStr">
        <is>
          <t>Preprint</t>
        </is>
      </c>
      <c r="G71" s="3" t="n"/>
      <c r="H71" s="3" t="n"/>
      <c r="I71" s="3" t="n"/>
      <c r="J71" s="3" t="n"/>
      <c r="K71" s="3" t="inlineStr">
        <is>
          <t>⚠️ 自動抽取・指標待驗證 (已偵測使用此資料集)：CVF Open Access 自動收錄；指標待人工驗證。ROD-MLLM: Towards More Reliable Object Detection in</t>
        </is>
      </c>
      <c r="L71" s="6" t="inlineStr">
        <is>
          <t>https://openaccess.thecvf.com/content/CVPR2025/html/Yin_ROD-MLLM_Towards_More_Reliable_Object_Detection_in_Multimodal_Large_Language_CVPR_2025_paper.html</t>
        </is>
      </c>
      <c r="M71" s="6" t="inlineStr">
        <is>
          <t>N/A</t>
        </is>
      </c>
    </row>
    <row r="72">
      <c r="A72" s="3" t="inlineStr">
        <is>
          <t>General OD</t>
        </is>
      </c>
      <c r="B72" s="3" t="inlineStr">
        <is>
          <t>SET</t>
        </is>
      </c>
      <c r="C72" s="3" t="inlineStr">
        <is>
          <t>—</t>
        </is>
      </c>
      <c r="D72" s="3" t="inlineStr">
        <is>
          <t>CVPR 2025</t>
        </is>
      </c>
      <c r="E72" s="3" t="inlineStr">
        <is>
          <t>2025-06</t>
        </is>
      </c>
      <c r="F72" s="3" t="inlineStr">
        <is>
          <t>Preprint</t>
        </is>
      </c>
      <c r="G72" s="3" t="n"/>
      <c r="H72" s="3" t="n"/>
      <c r="I72" s="3" t="n"/>
      <c r="J72" s="3" t="n"/>
      <c r="K72" s="3" t="inlineStr">
        <is>
          <t>⚠️ 待 PDF 個別驗證：SET 為 CVPR/WACV 2025 個別 paper，需單獨下載 PDF 抽取 COCO AP</t>
        </is>
      </c>
      <c r="L72" s="6" t="inlineStr">
        <is>
          <t>https://openaccess.thecvf.com/content/CVPR2025/html/Sun_SET_Spectral_Enhancement_for_Tiny_Object_Detection_CVPR_2025_paper.html</t>
        </is>
      </c>
      <c r="M72" s="6" t="inlineStr">
        <is>
          <t>N/A</t>
        </is>
      </c>
    </row>
    <row r="73">
      <c r="A73" s="3" t="inlineStr">
        <is>
          <t>General OD</t>
        </is>
      </c>
      <c r="B73" s="3" t="inlineStr">
        <is>
          <t>ReDiffDet</t>
        </is>
      </c>
      <c r="C73" s="3" t="inlineStr">
        <is>
          <t>—</t>
        </is>
      </c>
      <c r="D73" s="3" t="inlineStr">
        <is>
          <t>CVPR 2025</t>
        </is>
      </c>
      <c r="E73" s="3" t="inlineStr">
        <is>
          <t>2025-06</t>
        </is>
      </c>
      <c r="F73" s="3" t="inlineStr">
        <is>
          <t>Preprint</t>
        </is>
      </c>
      <c r="G73" s="3" t="n"/>
      <c r="H73" s="3" t="n"/>
      <c r="I73" s="3" t="n"/>
      <c r="J73" s="3" t="n"/>
      <c r="K73" s="3" t="inlineStr">
        <is>
          <t>⚠️ 自動抽取・指標待驗證 (已偵測使用此資料集)：CVF Open Access 自動收錄；指標待人工驗證。ReDiffDet: Rotation-equivariant Diffusion Model for</t>
        </is>
      </c>
      <c r="L73" s="6" t="inlineStr">
        <is>
          <t>https://openaccess.thecvf.com/content/CVPR2025/html/Zhao_ReDiffDet_Rotation-equivariant_Diffusion_Model_for_Oriented_Object_Detection_CVPR_2025_paper.html</t>
        </is>
      </c>
      <c r="M73" s="6" t="inlineStr">
        <is>
          <t>N/A</t>
        </is>
      </c>
    </row>
    <row r="74">
      <c r="A74" s="3" t="inlineStr">
        <is>
          <t>General OD</t>
        </is>
      </c>
      <c r="B74" s="3" t="inlineStr">
        <is>
          <t>Towards RAW Object Detection in Diverse Conditions</t>
        </is>
      </c>
      <c r="C74" s="3" t="inlineStr">
        <is>
          <t>—</t>
        </is>
      </c>
      <c r="D74" s="3" t="inlineStr">
        <is>
          <t>CVPR 2025</t>
        </is>
      </c>
      <c r="E74" s="3" t="inlineStr">
        <is>
          <t>2025-06</t>
        </is>
      </c>
      <c r="F74" s="3" t="inlineStr">
        <is>
          <t>Preprint</t>
        </is>
      </c>
      <c r="G74" s="3" t="n"/>
      <c r="H74" s="3" t="n"/>
      <c r="I74" s="3" t="n"/>
      <c r="J74" s="3" t="n"/>
      <c r="K74" s="3" t="inlineStr">
        <is>
          <t>⚠️ 待 PDF 個別驗證：Towards RAW Object Detection in Diverse Conditions 為 CVPR/WACV 2025 個別 paper，需單獨下載 PDF 抽取 COCO AP</t>
        </is>
      </c>
      <c r="L74" s="6" t="inlineStr">
        <is>
          <t>https://openaccess.thecvf.com/content/CVPR2025/html/Li_Towards_RAW_Object_Detection_in_Diverse_Conditions_CVPR_2025_paper.html</t>
        </is>
      </c>
      <c r="M74" s="6" t="inlineStr">
        <is>
          <t>N/A</t>
        </is>
      </c>
    </row>
    <row r="75">
      <c r="A75" s="3" t="inlineStr">
        <is>
          <t>General OD</t>
        </is>
      </c>
      <c r="B75" s="3" t="inlineStr">
        <is>
          <t>Pseudo Visible Feature Fine-Grained Fusion for Thermal Objec</t>
        </is>
      </c>
      <c r="C75" s="3" t="inlineStr">
        <is>
          <t>—</t>
        </is>
      </c>
      <c r="D75" s="3" t="inlineStr">
        <is>
          <t>CVPR 2025</t>
        </is>
      </c>
      <c r="E75" s="3" t="inlineStr">
        <is>
          <t>2025-06</t>
        </is>
      </c>
      <c r="F75" s="3" t="inlineStr">
        <is>
          <t>Preprint</t>
        </is>
      </c>
      <c r="G75" s="3" t="n"/>
      <c r="H75" s="3" t="n"/>
      <c r="I75" s="3" t="n"/>
      <c r="J75" s="3" t="n"/>
      <c r="K75" s="3" t="inlineStr">
        <is>
          <t>⚠️ 自動抽取・指標待驗證 (已偵測使用此資料集)：CVF Open Access 自動收錄；指標待人工驗證。Pseudo Visible Feature Fine-Grained Fusion for Ther</t>
        </is>
      </c>
      <c r="L75" s="6" t="inlineStr">
        <is>
          <t>https://openaccess.thecvf.com/content/CVPR2025/html/Li_Pseudo_Visible_Feature_Fine-Grained_Fusion_for_Thermal_Object_Detection_CVPR_2025_paper.html</t>
        </is>
      </c>
      <c r="M75" s="6" t="inlineStr">
        <is>
          <t>N/A</t>
        </is>
      </c>
    </row>
    <row r="76">
      <c r="A76" s="3" t="inlineStr">
        <is>
          <t>General OD</t>
        </is>
      </c>
      <c r="B76" s="3" t="inlineStr">
        <is>
          <t>DEIM</t>
        </is>
      </c>
      <c r="C76" s="3" t="inlineStr">
        <is>
          <t>—</t>
        </is>
      </c>
      <c r="D76" s="3" t="inlineStr">
        <is>
          <t>CVPR 2025</t>
        </is>
      </c>
      <c r="E76" s="3" t="inlineStr">
        <is>
          <t>2025-06</t>
        </is>
      </c>
      <c r="F76" s="3" t="inlineStr">
        <is>
          <t>Preprint</t>
        </is>
      </c>
      <c r="G76" s="3" t="n"/>
      <c r="H76" s="3" t="n"/>
      <c r="I76" s="3" t="n"/>
      <c r="J76" s="3" t="n"/>
      <c r="K76" s="3" t="inlineStr">
        <is>
          <t>⚠️ 自動抽取・指標待驗證 (已偵測使用此資料集)：CVF Open Access 自動收錄；指標待人工驗證。DEIM: DETR with Improved Matching for Fast Converge</t>
        </is>
      </c>
      <c r="L76" s="6" t="inlineStr">
        <is>
          <t>https://openaccess.thecvf.com/content/CVPR2025/html/Huang_DEIM_DETR_with_Improved_Matching_for_Fast_Convergence_CVPR_2025_paper.html</t>
        </is>
      </c>
      <c r="M76" s="6" t="inlineStr">
        <is>
          <t>N/A</t>
        </is>
      </c>
    </row>
    <row r="77">
      <c r="A77" s="3" t="inlineStr">
        <is>
          <t>General OD</t>
        </is>
      </c>
      <c r="B77" s="3" t="inlineStr">
        <is>
          <t>Revisiting Generative Replay for Class Incremental Object De</t>
        </is>
      </c>
      <c r="C77" s="3" t="inlineStr">
        <is>
          <t>—</t>
        </is>
      </c>
      <c r="D77" s="3" t="inlineStr">
        <is>
          <t>CVPR 2025</t>
        </is>
      </c>
      <c r="E77" s="3" t="inlineStr">
        <is>
          <t>2025-06</t>
        </is>
      </c>
      <c r="F77" s="3" t="inlineStr">
        <is>
          <t>Preprint</t>
        </is>
      </c>
      <c r="G77" s="3" t="n"/>
      <c r="H77" s="3" t="n"/>
      <c r="I77" s="3" t="n"/>
      <c r="J77" s="3" t="n"/>
      <c r="K77" s="3" t="inlineStr">
        <is>
          <t xml:space="preserve">⚠️ 自動抽取・指標待驗證 (已偵測使用此資料集)：CVF Open Access 自動收錄；指標待人工驗證。Revisiting Generative Replay for Class Incremental </t>
        </is>
      </c>
      <c r="L77" s="6" t="inlineStr">
        <is>
          <t>https://openaccess.thecvf.com/content/CVPR2025/html/Zhang_Revisiting_Generative_Replay_for_Class_Incremental_Object_Detection_CVPR_2025_paper.html</t>
        </is>
      </c>
      <c r="M77" s="6" t="inlineStr">
        <is>
          <t>N/A</t>
        </is>
      </c>
    </row>
    <row r="78">
      <c r="A78" s="3" t="inlineStr">
        <is>
          <t>General OD</t>
        </is>
      </c>
      <c r="B78" s="3" t="inlineStr">
        <is>
          <t>MI-DETR</t>
        </is>
      </c>
      <c r="C78" s="3" t="inlineStr">
        <is>
          <t>—</t>
        </is>
      </c>
      <c r="D78" s="3" t="inlineStr">
        <is>
          <t>CVPR 2025</t>
        </is>
      </c>
      <c r="E78" s="3" t="inlineStr">
        <is>
          <t>2025-06</t>
        </is>
      </c>
      <c r="F78" s="3" t="inlineStr">
        <is>
          <t>Preprint</t>
        </is>
      </c>
      <c r="G78" s="3" t="n"/>
      <c r="H78" s="3" t="n"/>
      <c r="I78" s="3" t="n"/>
      <c r="J78" s="3" t="n"/>
      <c r="K78" s="3" t="inlineStr">
        <is>
          <t>⚠️ 待 PDF 個別驗證：MI-DETR 為 CVPR/WACV 2025 個別 paper，需單獨下載 PDF 抽取 COCO AP</t>
        </is>
      </c>
      <c r="L78" s="6" t="inlineStr">
        <is>
          <t>https://openaccess.thecvf.com/content/CVPR2025/html/Nan_MI-DETR_An_Object_Detection_Model_with_Multi-time_Inquiries_Mechanism_CVPR_2025_paper.html</t>
        </is>
      </c>
      <c r="M78" s="6" t="inlineStr">
        <is>
          <t>N/A</t>
        </is>
      </c>
    </row>
    <row r="79">
      <c r="A79" s="3" t="inlineStr">
        <is>
          <t>General OD</t>
        </is>
      </c>
      <c r="B79" s="3" t="inlineStr">
        <is>
          <t>Fractal Calibration for Long-tailed Object Detection</t>
        </is>
      </c>
      <c r="C79" s="3" t="inlineStr">
        <is>
          <t>—</t>
        </is>
      </c>
      <c r="D79" s="3" t="inlineStr">
        <is>
          <t>CVPR 2025</t>
        </is>
      </c>
      <c r="E79" s="3" t="inlineStr">
        <is>
          <t>2025-06</t>
        </is>
      </c>
      <c r="F79" s="3" t="inlineStr">
        <is>
          <t>Preprint</t>
        </is>
      </c>
      <c r="G79" s="3" t="n"/>
      <c r="H79" s="3" t="n"/>
      <c r="I79" s="3" t="n"/>
      <c r="J79" s="3" t="n"/>
      <c r="K79" s="3" t="inlineStr">
        <is>
          <t>⚠️ 自動抽取・指標待驗證 (已偵測使用此資料集)：CVF Open Access 自動收錄；指標待人工驗證。Fractal Calibration for Long-tailed Object Detectio</t>
        </is>
      </c>
      <c r="L79" s="6" t="inlineStr">
        <is>
          <t>https://openaccess.thecvf.com/content/CVPR2025/html/Alexandridis_Fractal_Calibration_for_Long-tailed_Object_Detection_CVPR_2025_paper.html</t>
        </is>
      </c>
      <c r="M79" s="6" t="inlineStr">
        <is>
          <t>N/A</t>
        </is>
      </c>
    </row>
    <row r="80">
      <c r="A80" s="3" t="inlineStr">
        <is>
          <t>General OD</t>
        </is>
      </c>
      <c r="B80" s="3" t="inlineStr">
        <is>
          <t>Open-World Objectness Modeling Unifies Novel Object Detectio</t>
        </is>
      </c>
      <c r="C80" s="3" t="inlineStr">
        <is>
          <t>—</t>
        </is>
      </c>
      <c r="D80" s="3" t="inlineStr">
        <is>
          <t>CVPR 2025</t>
        </is>
      </c>
      <c r="E80" s="3" t="inlineStr">
        <is>
          <t>2025-06</t>
        </is>
      </c>
      <c r="F80" s="3" t="inlineStr">
        <is>
          <t>Preprint</t>
        </is>
      </c>
      <c r="G80" s="3" t="n"/>
      <c r="H80" s="3" t="n"/>
      <c r="I80" s="3" t="n"/>
      <c r="J80" s="3" t="n"/>
      <c r="K80" s="3" t="inlineStr">
        <is>
          <t>⚠️ 自動抽取・指標待驗證 (已偵測使用此資料集)：CVF Open Access 自動收錄；指標待人工驗證。Open-World Objectness Modeling Unifies Novel Object</t>
        </is>
      </c>
      <c r="L80" s="6" t="inlineStr">
        <is>
          <t>https://openaccess.thecvf.com/content/CVPR2025/html/Zhang_Open-World_Objectness_Modeling_Unifies_Novel_Object_Detection_CVPR_2025_paper.html</t>
        </is>
      </c>
      <c r="M80" s="6" t="inlineStr">
        <is>
          <t>N/A</t>
        </is>
      </c>
    </row>
    <row r="81">
      <c r="A81" s="3" t="inlineStr">
        <is>
          <t>General OD</t>
        </is>
      </c>
      <c r="B81" s="3" t="inlineStr">
        <is>
          <t>Cubify Anything</t>
        </is>
      </c>
      <c r="C81" s="3" t="inlineStr">
        <is>
          <t>—</t>
        </is>
      </c>
      <c r="D81" s="3" t="inlineStr">
        <is>
          <t>CVPR 2025</t>
        </is>
      </c>
      <c r="E81" s="3" t="inlineStr">
        <is>
          <t>2025-06</t>
        </is>
      </c>
      <c r="F81" s="3" t="inlineStr">
        <is>
          <t>Preprint</t>
        </is>
      </c>
      <c r="G81" s="3" t="n"/>
      <c r="H81" s="3" t="n"/>
      <c r="I81" s="3" t="n"/>
      <c r="J81" s="3" t="n"/>
      <c r="K81" s="3" t="inlineStr">
        <is>
          <t>⚠️ 自動抽取・指標待驗證 (已偵測使用此資料集)：CVF Open Access 自動收錄；指標待人工驗證。Cubify Anything: Scaling Indoor 3D Object Detection</t>
        </is>
      </c>
      <c r="L81" s="6" t="inlineStr">
        <is>
          <t>https://openaccess.thecvf.com/content/CVPR2025/html/Lazarow_Cubify_Anything_Scaling_Indoor_3D_Object_Detection_CVPR_2025_paper.html</t>
        </is>
      </c>
      <c r="M81" s="6" t="inlineStr">
        <is>
          <t>N/A</t>
        </is>
      </c>
    </row>
    <row r="82">
      <c r="A82" s="3" t="inlineStr">
        <is>
          <t>General OD</t>
        </is>
      </c>
      <c r="B82" s="3" t="inlineStr">
        <is>
          <t>Percept, Memory, and Imagine</t>
        </is>
      </c>
      <c r="C82" s="3" t="inlineStr">
        <is>
          <t>—</t>
        </is>
      </c>
      <c r="D82" s="3" t="inlineStr">
        <is>
          <t>CVPR 2025</t>
        </is>
      </c>
      <c r="E82" s="3" t="inlineStr">
        <is>
          <t>2025-06</t>
        </is>
      </c>
      <c r="F82" s="3" t="inlineStr">
        <is>
          <t>Preprint</t>
        </is>
      </c>
      <c r="G82" s="3" t="n"/>
      <c r="H82" s="3" t="n"/>
      <c r="I82" s="3" t="n"/>
      <c r="J82" s="3" t="n"/>
      <c r="K82" s="3" t="inlineStr">
        <is>
          <t>⚠️ 待 PDF 個別驗證：Percept, Memory, and Imagine 為 CVPR/WACV 2025 個別 paper，需單獨下載 PDF 抽取 COCO AP</t>
        </is>
      </c>
      <c r="L82" s="6" t="inlineStr">
        <is>
          <t>https://openaccess.thecvf.com/content/CVPR2025/html/Wu_Percept_Memory_and_Imagine_World_Feature_Simulating_for_Open-Domain_Unknown_CVPR_2025_paper.html</t>
        </is>
      </c>
      <c r="M82" s="6" t="inlineStr">
        <is>
          <t>N/A</t>
        </is>
      </c>
    </row>
    <row r="83">
      <c r="A83" s="3" t="inlineStr">
        <is>
          <t>General OD</t>
        </is>
      </c>
      <c r="B83" s="3" t="inlineStr">
        <is>
          <t>SimLTD</t>
        </is>
      </c>
      <c r="C83" s="3" t="inlineStr">
        <is>
          <t>—</t>
        </is>
      </c>
      <c r="D83" s="3" t="inlineStr">
        <is>
          <t>CVPR 2025</t>
        </is>
      </c>
      <c r="E83" s="3" t="inlineStr">
        <is>
          <t>2025-06</t>
        </is>
      </c>
      <c r="F83" s="3" t="inlineStr">
        <is>
          <t>Preprint</t>
        </is>
      </c>
      <c r="G83" s="3" t="n"/>
      <c r="H83" s="3" t="n"/>
      <c r="I83" s="3" t="n"/>
      <c r="J83" s="3" t="n"/>
      <c r="K83" s="3" t="inlineStr">
        <is>
          <t>⚠️ 待 PDF 個別驗證：SimLTD 為 CVPR/WACV 2025 個別 paper，需單獨下載 PDF 抽取 COCO AP</t>
        </is>
      </c>
      <c r="L83" s="6" t="inlineStr">
        <is>
          <t>https://openaccess.thecvf.com/content/CVPR2025/html/Tran_SimLTD_Simple_Supervised_and_Semi-Supervised_Long-Tailed_Object_Detection_CVPR_2025_paper.html</t>
        </is>
      </c>
      <c r="M83" s="6" t="inlineStr">
        <is>
          <t>N/A</t>
        </is>
      </c>
    </row>
    <row r="84">
      <c r="A84" s="3" t="inlineStr">
        <is>
          <t>General OD</t>
        </is>
      </c>
      <c r="B84" s="3" t="inlineStr">
        <is>
          <t>Learning Endogenous Attention for Incremental Object Detecti</t>
        </is>
      </c>
      <c r="C84" s="3" t="inlineStr">
        <is>
          <t>—</t>
        </is>
      </c>
      <c r="D84" s="3" t="inlineStr">
        <is>
          <t>CVPR 2025</t>
        </is>
      </c>
      <c r="E84" s="3" t="inlineStr">
        <is>
          <t>2025-06</t>
        </is>
      </c>
      <c r="F84" s="3" t="inlineStr">
        <is>
          <t>Preprint</t>
        </is>
      </c>
      <c r="G84" s="3" t="n"/>
      <c r="H84" s="3" t="n"/>
      <c r="I84" s="3" t="n"/>
      <c r="J84" s="3" t="n"/>
      <c r="K84" s="3" t="inlineStr">
        <is>
          <t>⚠️ 待 PDF 個別驗證：Learning Endogenous Attention for Incremental Obje 為 CVPR/WACV 2025 個別 paper，需單獨下載 PDF 抽取 COCO AP</t>
        </is>
      </c>
      <c r="L84" s="6" t="inlineStr">
        <is>
          <t>https://openaccess.thecvf.com/content/CVPR2025/html/Song_Learning_Endogenous_Attention_for_Incremental_Object_Detection_CVPR_2025_paper.html</t>
        </is>
      </c>
      <c r="M84" s="6" t="inlineStr">
        <is>
          <t>N/A</t>
        </is>
      </c>
    </row>
    <row r="85">
      <c r="A85" s="3" t="inlineStr">
        <is>
          <t>General OD</t>
        </is>
      </c>
      <c r="B85" s="3" t="inlineStr">
        <is>
          <t>DiL</t>
        </is>
      </c>
      <c r="C85" s="3" t="inlineStr">
        <is>
          <t>—</t>
        </is>
      </c>
      <c r="D85" s="3" t="inlineStr">
        <is>
          <t>WACV 2025</t>
        </is>
      </c>
      <c r="E85" s="3" t="inlineStr">
        <is>
          <t>2025-01</t>
        </is>
      </c>
      <c r="F85" s="3" t="inlineStr">
        <is>
          <t>Preprint</t>
        </is>
      </c>
      <c r="G85" s="3" t="n"/>
      <c r="H85" s="3" t="n"/>
      <c r="I85" s="3" t="n"/>
      <c r="J85" s="3" t="n"/>
      <c r="K85" s="3" t="inlineStr">
        <is>
          <t>⚠️ 自動抽取・指標待驗證 (已偵測使用此資料集)：CVF Open Access 自動收錄；指標待人工驗證。DiL: An Explainable and Practical Metric for Abnorm</t>
        </is>
      </c>
      <c r="L85" s="6" t="inlineStr">
        <is>
          <t>https://openaccess.thecvf.com/content/WACV2025/html/Giloni_DiL_An_Explainable_and_Practical_Metric_for_Abnormal_Uncertainty_in_WACV_2025_paper.html</t>
        </is>
      </c>
      <c r="M85" s="6" t="inlineStr">
        <is>
          <t>N/A</t>
        </is>
      </c>
    </row>
    <row r="86">
      <c r="A86" s="3" t="inlineStr">
        <is>
          <t>General OD</t>
        </is>
      </c>
      <c r="B86" s="3" t="inlineStr">
        <is>
          <t>Bit-Flip Induced Latency Attacks in Object Detection</t>
        </is>
      </c>
      <c r="C86" s="3" t="inlineStr">
        <is>
          <t>—</t>
        </is>
      </c>
      <c r="D86" s="3" t="inlineStr">
        <is>
          <t>WACV 2025</t>
        </is>
      </c>
      <c r="E86" s="3" t="inlineStr">
        <is>
          <t>2025-01</t>
        </is>
      </c>
      <c r="F86" s="3" t="inlineStr">
        <is>
          <t>Preprint</t>
        </is>
      </c>
      <c r="G86" s="3" t="n"/>
      <c r="H86" s="3" t="n"/>
      <c r="I86" s="3" t="n"/>
      <c r="J86" s="3" t="n"/>
      <c r="K86" s="3" t="inlineStr">
        <is>
          <t>⚠️ 待 PDF 個別驗證：Bit-Flip Induced Latency Attacks in Object Detecti 為 CVPR/WACV 2025 個別 paper，需單獨下載 PDF 抽取 COCO AP</t>
        </is>
      </c>
      <c r="L86" s="6" t="inlineStr">
        <is>
          <t>https://openaccess.thecvf.com/content/WACV2025/html/Sistla_Bit-Flip_Induced_Latency_Attacks_in_Object_Detection_WACV_2025_paper.html</t>
        </is>
      </c>
      <c r="M86" s="6" t="inlineStr">
        <is>
          <t>N/A</t>
        </is>
      </c>
    </row>
    <row r="87">
      <c r="A87" s="3" t="inlineStr">
        <is>
          <t>General OD</t>
        </is>
      </c>
      <c r="B87" s="3" t="inlineStr">
        <is>
          <t>Enhancing Novel Object Detection via Cooperative Foundationa</t>
        </is>
      </c>
      <c r="C87" s="3" t="inlineStr">
        <is>
          <t>—</t>
        </is>
      </c>
      <c r="D87" s="3" t="inlineStr">
        <is>
          <t>WACV 2025</t>
        </is>
      </c>
      <c r="E87" s="3" t="inlineStr">
        <is>
          <t>2025-01</t>
        </is>
      </c>
      <c r="F87" s="3" t="inlineStr">
        <is>
          <t>Preprint</t>
        </is>
      </c>
      <c r="G87" s="3" t="n"/>
      <c r="H87" s="3" t="n"/>
      <c r="I87" s="3" t="n"/>
      <c r="J87" s="3" t="n"/>
      <c r="K87" s="3" t="inlineStr">
        <is>
          <t>⚠️ 自動抽取・指標待驗證 (已偵測使用此資料集)：CVF Open Access 自動收錄；指標待人工驗證。Enhancing Novel Object Detection via Cooperative Fo</t>
        </is>
      </c>
      <c r="L87" s="6" t="inlineStr">
        <is>
          <t>https://openaccess.thecvf.com/content/WACV2025/html/Bharadwaj_Enhancing_Novel_Object_Detection_via_Cooperative_Foundational_Models_WACV_2025_paper.html</t>
        </is>
      </c>
      <c r="M87" s="6" t="inlineStr">
        <is>
          <t>N/A</t>
        </is>
      </c>
    </row>
    <row r="88">
      <c r="A88" s="3" t="inlineStr">
        <is>
          <t>General OD</t>
        </is>
      </c>
      <c r="B88" s="3" t="inlineStr">
        <is>
          <t>ALPI</t>
        </is>
      </c>
      <c r="C88" s="3" t="inlineStr">
        <is>
          <t>—</t>
        </is>
      </c>
      <c r="D88" s="3" t="inlineStr">
        <is>
          <t>WACV 2025</t>
        </is>
      </c>
      <c r="E88" s="3" t="inlineStr">
        <is>
          <t>2025-01</t>
        </is>
      </c>
      <c r="F88" s="3" t="inlineStr">
        <is>
          <t>Preprint</t>
        </is>
      </c>
      <c r="G88" s="3" t="n"/>
      <c r="H88" s="3" t="n"/>
      <c r="I88" s="3" t="n"/>
      <c r="J88" s="3" t="n"/>
      <c r="K88" s="3" t="inlineStr">
        <is>
          <t>⚠️ 自動抽取・指標待驗證 (已偵測使用此資料集)：CVF Open Access 自動收錄；指標待人工驗證。ALPI: Auto-Labeller with Proxy Injection for 3D Obj</t>
        </is>
      </c>
      <c r="L88" s="6" t="inlineStr">
        <is>
          <t>https://openaccess.thecvf.com/content/WACV2025/html/Lahlali_ALPI_Auto-Labeller_with_Proxy_Injection_for_3D_Object_Detection_using_WACV_2025_paper.html</t>
        </is>
      </c>
      <c r="M88" s="6" t="inlineStr">
        <is>
          <t>N/A</t>
        </is>
      </c>
    </row>
    <row r="89">
      <c r="A89" s="3" t="inlineStr">
        <is>
          <t>General OD</t>
        </is>
      </c>
      <c r="B89" s="3" t="inlineStr">
        <is>
          <t>AIC3DOD</t>
        </is>
      </c>
      <c r="C89" s="3" t="inlineStr">
        <is>
          <t>—</t>
        </is>
      </c>
      <c r="D89" s="3" t="inlineStr">
        <is>
          <t>WACV 2025</t>
        </is>
      </c>
      <c r="E89" s="3" t="inlineStr">
        <is>
          <t>2025-01</t>
        </is>
      </c>
      <c r="F89" s="3" t="inlineStr">
        <is>
          <t>Preprint</t>
        </is>
      </c>
      <c r="G89" s="3" t="n"/>
      <c r="H89" s="3" t="n"/>
      <c r="I89" s="3" t="n"/>
      <c r="J89" s="3" t="n"/>
      <c r="K89" s="3" t="inlineStr">
        <is>
          <t>⚠️ 自動抽取・指標待驗證 (已偵測使用此資料集)：CVF Open Access 自動收錄；指標待人工驗證。AIC3DOD: Advancing Indoor Class-Incremental 3D Obje</t>
        </is>
      </c>
      <c r="L89" s="6" t="inlineStr">
        <is>
          <t>https://openaccess.thecvf.com/content/WACV2025/html/Cheng_AIC3DOD_Advancing_Indoor_Class-Incremental_3D_Object_Detection_with_Point_Transformer_WACV_2025_paper.html</t>
        </is>
      </c>
      <c r="M89" s="6" t="inlineStr">
        <is>
          <t>N/A</t>
        </is>
      </c>
    </row>
    <row r="90">
      <c r="A90" s="3" t="inlineStr">
        <is>
          <t>General OD</t>
        </is>
      </c>
      <c r="B90" s="3" t="inlineStr">
        <is>
          <t>MaskVD</t>
        </is>
      </c>
      <c r="C90" s="3" t="inlineStr">
        <is>
          <t>—</t>
        </is>
      </c>
      <c r="D90" s="3" t="inlineStr">
        <is>
          <t>WACV 2025</t>
        </is>
      </c>
      <c r="E90" s="3" t="inlineStr">
        <is>
          <t>2025-01</t>
        </is>
      </c>
      <c r="F90" s="3" t="inlineStr">
        <is>
          <t>Preprint</t>
        </is>
      </c>
      <c r="G90" s="3" t="n"/>
      <c r="H90" s="3" t="n"/>
      <c r="I90" s="3" t="n"/>
      <c r="J90" s="3" t="n"/>
      <c r="K90" s="3" t="inlineStr">
        <is>
          <t>⚠️ 自動抽取・指標待驗證 (已偵測使用此資料集)：CVF Open Access 自動收錄；指標待人工驗證。MaskVD: Region Masking for Efficient Video Object D</t>
        </is>
      </c>
      <c r="L90" s="6" t="inlineStr">
        <is>
          <t>https://openaccess.thecvf.com/content/WACV2025/html/Sarkar_MaskVD_Region_Masking_for_Efficient_Video_Object_Detection_WACV_2025_paper.html</t>
        </is>
      </c>
      <c r="M90" s="6" t="inlineStr">
        <is>
          <t>N/A</t>
        </is>
      </c>
    </row>
    <row r="91">
      <c r="A91" s="3" t="inlineStr">
        <is>
          <t>General OD</t>
        </is>
      </c>
      <c r="B91" s="3" t="inlineStr">
        <is>
          <t>Diffusion-Based Particle-DETR for BEV Perception</t>
        </is>
      </c>
      <c r="C91" s="3" t="inlineStr">
        <is>
          <t>—</t>
        </is>
      </c>
      <c r="D91" s="3" t="inlineStr">
        <is>
          <t>WACV 2025</t>
        </is>
      </c>
      <c r="E91" s="3" t="inlineStr">
        <is>
          <t>2025-01</t>
        </is>
      </c>
      <c r="F91" s="3" t="inlineStr">
        <is>
          <t>Preprint</t>
        </is>
      </c>
      <c r="G91" s="3" t="n"/>
      <c r="H91" s="3" t="n"/>
      <c r="I91" s="3" t="n"/>
      <c r="J91" s="3" t="n"/>
      <c r="K91" s="3" t="inlineStr">
        <is>
          <t>⚠️ 自動抽取・指標待驗證 (已偵測使用此資料集)：CVF Open Access 自動收錄；指標待人工驗證。Diffusion-Based Particle-DETR for BEV Perception</t>
        </is>
      </c>
      <c r="L91" s="6" t="inlineStr">
        <is>
          <t>https://openaccess.thecvf.com/content/WACV2025/html/Nachkov_Diffusion-Based_Particle-DETR_for_BEV_Perception_WACV_2025_paper.html</t>
        </is>
      </c>
      <c r="M91" s="6" t="inlineStr">
        <is>
          <t>N/A</t>
        </is>
      </c>
    </row>
    <row r="92">
      <c r="A92" s="3" t="inlineStr">
        <is>
          <t>Real-Time OD</t>
        </is>
      </c>
      <c r="B92" s="3" t="inlineStr">
        <is>
          <t>PK-YOLO</t>
        </is>
      </c>
      <c r="C92" s="3" t="inlineStr">
        <is>
          <t>—</t>
        </is>
      </c>
      <c r="D92" s="3" t="inlineStr">
        <is>
          <t>WACV 2025</t>
        </is>
      </c>
      <c r="E92" s="3" t="inlineStr">
        <is>
          <t>2025-01</t>
        </is>
      </c>
      <c r="F92" s="3" t="inlineStr">
        <is>
          <t>Preprint</t>
        </is>
      </c>
      <c r="G92" s="3" t="n"/>
      <c r="H92" s="3" t="n"/>
      <c r="I92" s="3" t="n"/>
      <c r="J92" s="3" t="n"/>
      <c r="K92" s="3" t="inlineStr">
        <is>
          <t>⚠️ 自動抽取・指標待驗證 (已偵測使用此資料集)：CVF Open Access 自動收錄；指標待人工驗證。PK-YOLO: Pretrained Knowledge Guided YOLO for Brain</t>
        </is>
      </c>
      <c r="L92" s="6" t="inlineStr">
        <is>
          <t>https://openaccess.thecvf.com/content/WACV2025/html/Kang_PK-YOLO_Pretrained_Knowledge_Guided_YOLO_for_Brain_Tumor_Detection_in_WACV_2025_paper.html</t>
        </is>
      </c>
      <c r="M92" s="6" t="inlineStr">
        <is>
          <t>N/A</t>
        </is>
      </c>
    </row>
    <row r="93">
      <c r="A93" s="3" t="inlineStr">
        <is>
          <t>General OD</t>
        </is>
      </c>
      <c r="B93" s="3" t="inlineStr">
        <is>
          <t>Decoupled PROB</t>
        </is>
      </c>
      <c r="C93" s="3" t="inlineStr">
        <is>
          <t>—</t>
        </is>
      </c>
      <c r="D93" s="3" t="inlineStr">
        <is>
          <t>WACV 2025</t>
        </is>
      </c>
      <c r="E93" s="3" t="inlineStr">
        <is>
          <t>2025-01</t>
        </is>
      </c>
      <c r="F93" s="3" t="inlineStr">
        <is>
          <t>Preprint</t>
        </is>
      </c>
      <c r="G93" s="3" t="n"/>
      <c r="H93" s="3" t="n"/>
      <c r="I93" s="3" t="n"/>
      <c r="J93" s="3" t="n"/>
      <c r="K93" s="3" t="inlineStr">
        <is>
          <t>⚠️ 待 PDF 個別驗證：Decoupled PROB 為 CVPR/WACV 2025 個別 paper，需單獨下載 PDF 抽取 COCO AP</t>
        </is>
      </c>
      <c r="L93" s="6" t="inlineStr">
        <is>
          <t>https://openaccess.thecvf.com/content/WACV2025/html/Inoue_Decoupled_PROB_Decoupled_Query_Initialization_Tasks_and_Objectness-Class_Learning_for_WACV_2025_paper.html</t>
        </is>
      </c>
      <c r="M93" s="6" t="inlineStr">
        <is>
          <t>N/A</t>
        </is>
      </c>
    </row>
    <row r="94">
      <c r="A94" s="3" t="inlineStr">
        <is>
          <t>Real-Time OD</t>
        </is>
      </c>
      <c r="B94" s="3" t="inlineStr">
        <is>
          <t>RT-DETRv3</t>
        </is>
      </c>
      <c r="C94" s="3" t="inlineStr">
        <is>
          <t>—</t>
        </is>
      </c>
      <c r="D94" s="3" t="inlineStr">
        <is>
          <t>WACV 2025</t>
        </is>
      </c>
      <c r="E94" s="3" t="inlineStr">
        <is>
          <t>2025-01</t>
        </is>
      </c>
      <c r="F94" s="3" t="inlineStr">
        <is>
          <t>Preprint</t>
        </is>
      </c>
      <c r="G94" s="3" t="n">
        <v>54.6</v>
      </c>
      <c r="H94" s="3" t="inlineStr">
        <is>
          <t>AP 54.6 val2017 (R101 6x)</t>
        </is>
      </c>
      <c r="I94" s="3" t="n"/>
      <c r="J94" s="3" t="n"/>
      <c r="K94" s="3" t="inlineStr">
        <is>
          <t>✅ 已驗證 (RT-DETRv3 Table 1)：headline number from R101 6x setting [End-to-end RT-OD]</t>
        </is>
      </c>
      <c r="L94" s="6" t="inlineStr">
        <is>
          <t>https://openaccess.thecvf.com/content/WACV2025/html/Wang_RT-DETRv3_Real-Time_End-to-End_Object_Detection_with_Hierarchical_Dense_Positive_Supervision_WACV_2025_paper.html</t>
        </is>
      </c>
      <c r="M94" s="6" t="inlineStr">
        <is>
          <t>N/A</t>
        </is>
      </c>
    </row>
    <row r="95">
      <c r="A95" s="3" t="inlineStr">
        <is>
          <t>General OD</t>
        </is>
      </c>
      <c r="B95" s="3" t="inlineStr">
        <is>
          <t>Mixed Patch Visible-Infrared Modality Agnostic Object Detect</t>
        </is>
      </c>
      <c r="C95" s="3" t="inlineStr">
        <is>
          <t>—</t>
        </is>
      </c>
      <c r="D95" s="3" t="inlineStr">
        <is>
          <t>WACV 2025</t>
        </is>
      </c>
      <c r="E95" s="3" t="inlineStr">
        <is>
          <t>2025-01</t>
        </is>
      </c>
      <c r="F95" s="3" t="inlineStr">
        <is>
          <t>Preprint</t>
        </is>
      </c>
      <c r="G95" s="3" t="n"/>
      <c r="H95" s="3" t="n"/>
      <c r="I95" s="3" t="n"/>
      <c r="J95" s="3" t="n"/>
      <c r="K95" s="3" t="inlineStr">
        <is>
          <t>⚠️ 自動抽取・指標待驗證 (已偵測使用此資料集)：CVF Open Access 自動收錄；指標待人工驗證。Mixed Patch Visible-Infrared Modality Agnostic Obje</t>
        </is>
      </c>
      <c r="L95" s="6" t="inlineStr">
        <is>
          <t>https://openaccess.thecvf.com/content/WACV2025/html/Medeiros_Mixed_Patch_Visible-Infrared_Modality_Agnostic_Object_Detection_WACV_2025_paper.html</t>
        </is>
      </c>
      <c r="M95" s="6" t="inlineStr">
        <is>
          <t>N/A</t>
        </is>
      </c>
    </row>
    <row r="96">
      <c r="A96" s="3" t="inlineStr">
        <is>
          <t>Real-Time OD</t>
        </is>
      </c>
      <c r="B96" s="3" t="inlineStr">
        <is>
          <t>Generalist YOLO</t>
        </is>
      </c>
      <c r="C96" s="3" t="inlineStr">
        <is>
          <t>—</t>
        </is>
      </c>
      <c r="D96" s="3" t="inlineStr">
        <is>
          <t>WACV 2025</t>
        </is>
      </c>
      <c r="E96" s="3" t="inlineStr">
        <is>
          <t>2025-01</t>
        </is>
      </c>
      <c r="F96" s="3" t="inlineStr">
        <is>
          <t>Preprint</t>
        </is>
      </c>
      <c r="G96" s="3" t="n"/>
      <c r="H96" s="3" t="n"/>
      <c r="I96" s="3" t="n"/>
      <c r="J96" s="3" t="n"/>
      <c r="K96" s="3" t="inlineStr">
        <is>
          <t>⚠️ 自動抽取・指標待驗證 (已偵測使用此資料集)：CVF Open Access 自動收錄；指標待人工驗證。Generalist YOLO: Towards Real-Time End-to-End Multi</t>
        </is>
      </c>
      <c r="L96" s="6" t="inlineStr">
        <is>
          <t>https://openaccess.thecvf.com/content/WACV2025/html/Chang_Generalist_YOLO_Towards_Real-Time_End-to-End_Multi-Task_Visual_Language_Models_WACV_2025_paper.html</t>
        </is>
      </c>
      <c r="M96" s="6" t="inlineStr">
        <is>
          <t>N/A</t>
        </is>
      </c>
    </row>
    <row r="97">
      <c r="A97" s="3" t="inlineStr">
        <is>
          <t>General OD</t>
        </is>
      </c>
      <c r="B97" s="3" t="inlineStr">
        <is>
          <t>Enhancing Embodied Object Detection with Spatial Feature Mem</t>
        </is>
      </c>
      <c r="C97" s="3" t="inlineStr">
        <is>
          <t>—</t>
        </is>
      </c>
      <c r="D97" s="3" t="inlineStr">
        <is>
          <t>WACV 2025</t>
        </is>
      </c>
      <c r="E97" s="3" t="inlineStr">
        <is>
          <t>2025-01</t>
        </is>
      </c>
      <c r="F97" s="3" t="inlineStr">
        <is>
          <t>Preprint</t>
        </is>
      </c>
      <c r="G97" s="3" t="n"/>
      <c r="H97" s="3" t="n"/>
      <c r="I97" s="3" t="n"/>
      <c r="J97" s="3" t="n"/>
      <c r="K97" s="3" t="inlineStr">
        <is>
          <t>⚠️ 自動抽取・指標待驗證 (已偵測使用此資料集)：CVF Open Access 自動收錄；指標待人工驗證。Enhancing Embodied Object Detection with Spatial Fe</t>
        </is>
      </c>
      <c r="L97" s="6" t="inlineStr">
        <is>
          <t>https://openaccess.thecvf.com/content/WACV2025/html/Chapman_Enhancing_Embodied_Object_Detection_with_Spatial_Feature_Memory_WACV_2025_paper.html</t>
        </is>
      </c>
      <c r="M97" s="6" t="inlineStr">
        <is>
          <t>N/A</t>
        </is>
      </c>
    </row>
    <row r="98">
      <c r="A98" s="3" t="inlineStr">
        <is>
          <t>General OD</t>
        </is>
      </c>
      <c r="B98" s="3" t="inlineStr">
        <is>
          <t>Interactive Object Detection for Tiny Objects in Large Remot</t>
        </is>
      </c>
      <c r="C98" s="3" t="inlineStr">
        <is>
          <t>—</t>
        </is>
      </c>
      <c r="D98" s="3" t="inlineStr">
        <is>
          <t>WACV 2025</t>
        </is>
      </c>
      <c r="E98" s="3" t="inlineStr">
        <is>
          <t>2025-01</t>
        </is>
      </c>
      <c r="F98" s="3" t="inlineStr">
        <is>
          <t>Preprint</t>
        </is>
      </c>
      <c r="G98" s="3" t="n"/>
      <c r="H98" s="3" t="n"/>
      <c r="I98" s="3" t="n"/>
      <c r="J98" s="3" t="n"/>
      <c r="K98" s="3" t="inlineStr">
        <is>
          <t>⚠️ 自動抽取・指標待驗證 (已偵測使用此資料集)：CVF Open Access 自動收錄；指標待人工驗證。Interactive Object Detection for Tiny Objects in La</t>
        </is>
      </c>
      <c r="L98" s="6" t="inlineStr">
        <is>
          <t>https://openaccess.thecvf.com/content/WACV2025/html/Burges_Interactive_Object_Detection_for_Tiny_Objects_in_Large_Remotely_Sensed_WACV_2025_paper.html</t>
        </is>
      </c>
      <c r="M98" s="6" t="inlineStr">
        <is>
          <t>N/A</t>
        </is>
      </c>
    </row>
    <row r="99">
      <c r="A99" s="3" t="inlineStr">
        <is>
          <t>Few-Shot OD</t>
        </is>
      </c>
      <c r="B99" s="3" t="inlineStr">
        <is>
          <t>Cross-Domain Multi-Modal Few-Shot Object Detection via Rich</t>
        </is>
      </c>
      <c r="C99" s="3" t="inlineStr">
        <is>
          <t>—</t>
        </is>
      </c>
      <c r="D99" s="3" t="inlineStr">
        <is>
          <t>WACV 2025</t>
        </is>
      </c>
      <c r="E99" s="3" t="inlineStr">
        <is>
          <t>2025-01</t>
        </is>
      </c>
      <c r="F99" s="3" t="inlineStr">
        <is>
          <t>Preprint</t>
        </is>
      </c>
      <c r="G99" s="3" t="n"/>
      <c r="H99" s="3" t="n"/>
      <c r="I99" s="3" t="n"/>
      <c r="J99" s="3" t="n"/>
      <c r="K99" s="3" t="inlineStr">
        <is>
          <t>⚠️ 待 PDF 個別驗證：Cross-Domain Multi-Modal Few-Shot Object Detection 為 CVPR/WACV 2025 個別 paper，需單獨下載 PDF 抽取 COCO AP</t>
        </is>
      </c>
      <c r="L99" s="6" t="inlineStr">
        <is>
          <t>https://openaccess.thecvf.com/content/WACV2025/html/Shangguan_Cross-Domain_Multi-Modal_Few-Shot_Object_Detection_via_Rich_Text_WACV_2025_paper.html</t>
        </is>
      </c>
      <c r="M99" s="6" t="inlineStr">
        <is>
          <t>N/A</t>
        </is>
      </c>
    </row>
    <row r="100">
      <c r="A100" s="3" t="inlineStr">
        <is>
          <t>General OD</t>
        </is>
      </c>
      <c r="B100" s="3" t="inlineStr">
        <is>
          <t>No Annotations for Object Detection in Art through Stable Di</t>
        </is>
      </c>
      <c r="C100" s="3" t="inlineStr">
        <is>
          <t>—</t>
        </is>
      </c>
      <c r="D100" s="3" t="inlineStr">
        <is>
          <t>WACV 2025</t>
        </is>
      </c>
      <c r="E100" s="3" t="inlineStr">
        <is>
          <t>2025-01</t>
        </is>
      </c>
      <c r="F100" s="3" t="inlineStr">
        <is>
          <t>Preprint</t>
        </is>
      </c>
      <c r="G100" s="3" t="n"/>
      <c r="H100" s="3" t="n"/>
      <c r="I100" s="3" t="n"/>
      <c r="J100" s="3" t="n"/>
      <c r="K100" s="3" t="inlineStr">
        <is>
          <t xml:space="preserve">⚠️ 自動抽取・指標待驗證 (已偵測使用此資料集)：CVF Open Access 自動收錄；指標待人工驗證。No Annotations for Object Detection in Art through </t>
        </is>
      </c>
      <c r="L100" s="6" t="inlineStr">
        <is>
          <t>https://openaccess.thecvf.com/content/WACV2025/html/Ramos_No_Annotations_for_Object_Detection_in_Art_through_Stable_Diffusion_WACV_2025_paper.html</t>
        </is>
      </c>
      <c r="M100" s="6" t="inlineStr">
        <is>
          <t>N/A</t>
        </is>
      </c>
    </row>
    <row r="101">
      <c r="A101" s="3" t="inlineStr">
        <is>
          <t>Real-Time OD</t>
        </is>
      </c>
      <c r="B101" s="3" t="inlineStr">
        <is>
          <t>ECF-YOLOv7-Tiny</t>
        </is>
      </c>
      <c r="C101" s="3" t="inlineStr">
        <is>
          <t>—</t>
        </is>
      </c>
      <c r="D101" s="3" t="inlineStr">
        <is>
          <t>WACV 2025</t>
        </is>
      </c>
      <c r="E101" s="3" t="inlineStr">
        <is>
          <t>2025-01</t>
        </is>
      </c>
      <c r="F101" s="3" t="inlineStr">
        <is>
          <t>Preprint</t>
        </is>
      </c>
      <c r="G101" s="3" t="n"/>
      <c r="H101" s="3" t="n"/>
      <c r="I101" s="3" t="n"/>
      <c r="J101" s="3" t="n"/>
      <c r="K101" s="3" t="inlineStr">
        <is>
          <t>⚠️ 自動抽取・指標待驗證 (已偵測使用此資料集)：CVF Open Access 自動收錄；指標待人工驗證。ECF-YOLOv7-Tiny: Improving Feature Fusion and the R</t>
        </is>
      </c>
      <c r="L101" s="6" t="inlineStr">
        <is>
          <t>https://openaccess.thecvf.com/content/WACV2025/html/Bacea_ECF-YOLOv7-Tiny_Improving_Feature_Fusion_and_the_Receptive_Field_for_Lightweight_WACV_2025_paper.html</t>
        </is>
      </c>
      <c r="M101" s="6" t="inlineStr">
        <is>
          <t>N/A</t>
        </is>
      </c>
    </row>
    <row r="102">
      <c r="A102" s="3" t="inlineStr">
        <is>
          <t>General OD</t>
        </is>
      </c>
      <c r="B102" s="3" t="inlineStr">
        <is>
          <t>Shape-Biased Texture Agnostic Representations for Improved T</t>
        </is>
      </c>
      <c r="C102" s="3" t="inlineStr">
        <is>
          <t>—</t>
        </is>
      </c>
      <c r="D102" s="3" t="inlineStr">
        <is>
          <t>WACV 2025</t>
        </is>
      </c>
      <c r="E102" s="3" t="inlineStr">
        <is>
          <t>2025-01</t>
        </is>
      </c>
      <c r="F102" s="3" t="inlineStr">
        <is>
          <t>Preprint</t>
        </is>
      </c>
      <c r="G102" s="3" t="n"/>
      <c r="H102" s="3" t="n"/>
      <c r="I102" s="3" t="n"/>
      <c r="J102" s="3" t="n"/>
      <c r="K102" s="3" t="inlineStr">
        <is>
          <t>⚠️ 自動抽取・指標待驗證 (已偵測使用此資料集)：CVF Open Access 自動收錄；指標待人工驗證。Shape-Biased Texture Agnostic Representations for I</t>
        </is>
      </c>
      <c r="L102" s="6" t="inlineStr">
        <is>
          <t>https://openaccess.thecvf.com/content/WACV2025/html/Honig_Shape-Biased_Texture_Agnostic_Representations_for_Improved_Textureless_and_Metallic_Object_WACV_2025_paper.html</t>
        </is>
      </c>
      <c r="M102" s="6" t="inlineStr">
        <is>
          <t>N/A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6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DyHead</t>
        </is>
      </c>
      <c r="C2" s="2" t="inlineStr">
        <is>
          <t>Mao et al.</t>
        </is>
      </c>
      <c r="D2" s="2" t="inlineStr">
        <is>
          <t>ICCV</t>
        </is>
      </c>
      <c r="E2" s="2" t="inlineStr">
        <is>
          <t>2023-08</t>
        </is>
      </c>
      <c r="F2" s="2" t="inlineStr">
        <is>
          <t>Published</t>
        </is>
      </c>
      <c r="G2" s="2" t="inlineStr">
        <is>
          <t>37.3</t>
        </is>
      </c>
      <c r="H2" s="2" t="inlineStr">
        <is>
          <t>AP 37.3</t>
        </is>
      </c>
      <c r="I2" s="2" t="inlineStr">
        <is>
          <t>N/A</t>
        </is>
      </c>
      <c r="J2" s="2" t="inlineStr">
        <is>
          <t>≈55M</t>
        </is>
      </c>
      <c r="K2" s="2" t="inlineStr">
        <is>
          <t>COCO-O paper baseline</t>
        </is>
      </c>
      <c r="L2" s="9" t="inlineStr">
        <is>
          <t>https://arxiv.org/abs/2307.12730</t>
        </is>
      </c>
      <c r="M2" s="9" t="inlineStr">
        <is>
          <t>https://github.com/alibaba/easyrobust</t>
        </is>
      </c>
    </row>
    <row r="3" ht="48" customHeight="1">
      <c r="A3" s="2" t="inlineStr">
        <is>
          <t>General OD</t>
        </is>
      </c>
      <c r="B3" s="2" t="inlineStr">
        <is>
          <t>ViTDet (ViT-L)</t>
        </is>
      </c>
      <c r="C3" s="2" t="inlineStr">
        <is>
          <t>Mao et al.</t>
        </is>
      </c>
      <c r="D3" s="2" t="inlineStr">
        <is>
          <t>ICCV</t>
        </is>
      </c>
      <c r="E3" s="2" t="inlineStr">
        <is>
          <t>2023-08</t>
        </is>
      </c>
      <c r="F3" s="2" t="inlineStr">
        <is>
          <t>Published</t>
        </is>
      </c>
      <c r="G3" s="2" t="inlineStr">
        <is>
          <t>36.9</t>
        </is>
      </c>
      <c r="H3" s="2" t="inlineStr">
        <is>
          <t>AP 36.9</t>
        </is>
      </c>
      <c r="I3" s="2" t="inlineStr">
        <is>
          <t>N/A</t>
        </is>
      </c>
      <c r="J3" s="2" t="inlineStr">
        <is>
          <t>≈300M</t>
        </is>
      </c>
      <c r="K3" s="2" t="inlineStr">
        <is>
          <t>COCO-O paper baseline</t>
        </is>
      </c>
      <c r="L3" s="9" t="inlineStr">
        <is>
          <t>https://arxiv.org/abs/2307.12730</t>
        </is>
      </c>
      <c r="M3" s="9" t="inlineStr">
        <is>
          <t>https://github.com/alibaba/easyrobust</t>
        </is>
      </c>
    </row>
    <row r="4" ht="48" customHeight="1">
      <c r="A4" s="2" t="inlineStr">
        <is>
          <t>General OD</t>
        </is>
      </c>
      <c r="B4" s="2" t="inlineStr">
        <is>
          <t>Cascade R-CNN</t>
        </is>
      </c>
      <c r="C4" s="2" t="inlineStr">
        <is>
          <t>Mao et al.</t>
        </is>
      </c>
      <c r="D4" s="2" t="inlineStr">
        <is>
          <t>ICCV</t>
        </is>
      </c>
      <c r="E4" s="2" t="inlineStr">
        <is>
          <t>2023-08</t>
        </is>
      </c>
      <c r="F4" s="2" t="inlineStr">
        <is>
          <t>Published</t>
        </is>
      </c>
      <c r="G4" s="2" t="inlineStr">
        <is>
          <t>26.4</t>
        </is>
      </c>
      <c r="H4" s="2" t="inlineStr">
        <is>
          <t>AP 26.4</t>
        </is>
      </c>
      <c r="I4" s="2" t="inlineStr">
        <is>
          <t>N/A</t>
        </is>
      </c>
      <c r="J4" s="2" t="inlineStr">
        <is>
          <t>88M</t>
        </is>
      </c>
      <c r="K4" s="2" t="inlineStr">
        <is>
          <t>COCO-O paper baseline</t>
        </is>
      </c>
      <c r="L4" s="9" t="inlineStr">
        <is>
          <t>https://arxiv.org/abs/2307.12730</t>
        </is>
      </c>
      <c r="M4" s="9" t="inlineStr">
        <is>
          <t>https://github.com/alibaba/easyrobust</t>
        </is>
      </c>
    </row>
    <row r="5" ht="48" customHeight="1">
      <c r="A5" s="2" t="inlineStr">
        <is>
          <t>General OD</t>
        </is>
      </c>
      <c r="B5" s="2" t="inlineStr">
        <is>
          <t>Faster R-CNN baseline</t>
        </is>
      </c>
      <c r="C5" s="2" t="inlineStr">
        <is>
          <t>Mao et al.</t>
        </is>
      </c>
      <c r="D5" s="2" t="inlineStr">
        <is>
          <t>ICCV</t>
        </is>
      </c>
      <c r="E5" s="2" t="inlineStr">
        <is>
          <t>2023-08</t>
        </is>
      </c>
      <c r="F5" s="2" t="inlineStr">
        <is>
          <t>Published</t>
        </is>
      </c>
      <c r="G5" s="2" t="inlineStr">
        <is>
          <t>21.5</t>
        </is>
      </c>
      <c r="H5" s="2" t="inlineStr">
        <is>
          <t>AP 21.5</t>
        </is>
      </c>
      <c r="I5" s="2" t="inlineStr">
        <is>
          <t>N/A</t>
        </is>
      </c>
      <c r="J5" s="2" t="inlineStr">
        <is>
          <t>42M</t>
        </is>
      </c>
      <c r="K5" s="2" t="inlineStr">
        <is>
          <t>COCO-O paper baseline</t>
        </is>
      </c>
      <c r="L5" s="9" t="inlineStr">
        <is>
          <t>https://arxiv.org/abs/2307.12730</t>
        </is>
      </c>
      <c r="M5" s="9" t="inlineStr">
        <is>
          <t>https://github.com/alibaba/easyrobust</t>
        </is>
      </c>
    </row>
    <row r="6" ht="48" customHeight="1">
      <c r="A6" s="2" t="inlineStr">
        <is>
          <t>General OD</t>
        </is>
      </c>
      <c r="B6" s="2" t="inlineStr">
        <is>
          <t>InternImage-H</t>
        </is>
      </c>
      <c r="C6" s="2" t="inlineStr">
        <is>
          <t>Wang et al.</t>
        </is>
      </c>
      <c r="D6" s="2" t="inlineStr">
        <is>
          <t>CVPR</t>
        </is>
      </c>
      <c r="E6" s="2" t="inlineStr">
        <is>
          <t>2023-06</t>
        </is>
      </c>
      <c r="F6" s="2" t="inlineStr">
        <is>
          <t>Published</t>
        </is>
      </c>
      <c r="G6" s="2" t="inlineStr">
        <is>
          <t>To verify</t>
        </is>
      </c>
      <c r="H6" s="2" t="inlineStr">
        <is>
          <t>COCO-O effective robustness; To verify</t>
        </is>
      </c>
      <c r="I6" s="2" t="inlineStr">
        <is>
          <t>N/A</t>
        </is>
      </c>
      <c r="J6" s="2" t="inlineStr">
        <is>
          <t>≈1.08B</t>
        </is>
      </c>
      <c r="K6" s="2" t="inlineStr">
        <is>
          <t>⚠️ COCO-O paper Table 7 only tests Cascade Mask R-CNN InternImage-L (37.0), not InternImage-H. Need third-party COCO-O benchmark for H variant.</t>
        </is>
      </c>
      <c r="L6" s="9" t="inlineStr">
        <is>
          <t>https://arxiv.org/abs/2211.05778</t>
        </is>
      </c>
      <c r="M6" s="9" t="inlineStr">
        <is>
          <t>https://github.com/OpenGVLab/InternImage</t>
        </is>
      </c>
    </row>
    <row r="7" ht="48" customHeight="1">
      <c r="A7" s="2" t="inlineStr">
        <is>
          <t>General OD</t>
        </is>
      </c>
      <c r="B7" s="2" t="inlineStr">
        <is>
          <t>EVA-02-Det</t>
        </is>
      </c>
      <c r="C7" s="2" t="inlineStr">
        <is>
          <t>Fang et al.</t>
        </is>
      </c>
      <c r="D7" s="2" t="inlineStr">
        <is>
          <t>arXiv</t>
        </is>
      </c>
      <c r="E7" s="2" t="inlineStr">
        <is>
          <t>2023-10</t>
        </is>
      </c>
      <c r="F7" s="2" t="inlineStr">
        <is>
          <t>Published</t>
        </is>
      </c>
      <c r="G7" s="2" t="inlineStr">
        <is>
          <t>To verify</t>
        </is>
      </c>
      <c r="H7" s="2" t="inlineStr">
        <is>
          <t>To verify</t>
        </is>
      </c>
      <c r="I7" s="2" t="inlineStr">
        <is>
          <t>N/A</t>
        </is>
      </c>
      <c r="J7" s="2" t="inlineStr">
        <is>
          <t>≈600M</t>
        </is>
      </c>
      <c r="K7" s="2" t="inlineStr">
        <is>
          <t>⚠️ COCO-O paper Table 7 tests "EVA" (original, 57.8) not EVA-02. Need third-party COCO-O for EVA-02 specifically.</t>
        </is>
      </c>
      <c r="L7" s="9" t="inlineStr">
        <is>
          <t>https://arxiv.org/abs/2303.11331</t>
        </is>
      </c>
      <c r="M7" s="9" t="inlineStr">
        <is>
          <t>https://github.com/baaivision/EVA</t>
        </is>
      </c>
    </row>
    <row r="8" ht="48" customHeight="1">
      <c r="A8" s="2" t="inlineStr">
        <is>
          <t>General OD</t>
        </is>
      </c>
      <c r="B8" s="2" t="inlineStr">
        <is>
          <t>Co-DETR</t>
        </is>
      </c>
      <c r="C8" s="2" t="inlineStr">
        <is>
          <t>Zong et al.</t>
        </is>
      </c>
      <c r="D8" s="2" t="inlineStr">
        <is>
          <t>ICCV</t>
        </is>
      </c>
      <c r="E8" s="2" t="inlineStr">
        <is>
          <t>2023-10</t>
        </is>
      </c>
      <c r="F8" s="2" t="inlineStr">
        <is>
          <t>Published</t>
        </is>
      </c>
      <c r="G8" s="2" t="inlineStr">
        <is>
          <t>To verify</t>
        </is>
      </c>
      <c r="H8" s="2" t="inlineStr">
        <is>
          <t>To verify</t>
        </is>
      </c>
      <c r="I8" s="2" t="inlineStr">
        <is>
          <t>N/A</t>
        </is>
      </c>
      <c r="J8" s="2" t="inlineStr">
        <is>
          <t>304M</t>
        </is>
      </c>
      <c r="K8" s="2" t="inlineStr">
        <is>
          <t>⚠️ COCO-O paper Table 7 does not include Co-DETR. Need third-party benchmark.</t>
        </is>
      </c>
      <c r="L8" s="9" t="inlineStr">
        <is>
          <t>https://arxiv.org/abs/2211.12860</t>
        </is>
      </c>
      <c r="M8" s="9" t="inlineStr">
        <is>
          <t>https://github.com/Sense-X/Co-DETR</t>
        </is>
      </c>
    </row>
    <row r="9" ht="48" customHeight="1">
      <c r="A9" s="2" t="inlineStr">
        <is>
          <t>General OD</t>
        </is>
      </c>
      <c r="B9" s="2" t="inlineStr">
        <is>
          <t>DINO (Swin-L)</t>
        </is>
      </c>
      <c r="C9" s="2" t="inlineStr">
        <is>
          <t>Zhang et al.</t>
        </is>
      </c>
      <c r="D9" s="2" t="inlineStr">
        <is>
          <t>ICLR</t>
        </is>
      </c>
      <c r="E9" s="2" t="inlineStr">
        <is>
          <t>2023-03</t>
        </is>
      </c>
      <c r="F9" s="2" t="inlineStr">
        <is>
          <t>Published</t>
        </is>
      </c>
      <c r="G9" s="2" t="n">
        <v>42.1</v>
      </c>
      <c r="H9" s="2" t="inlineStr">
        <is>
          <t>Effective robustness AP 42.1 (COCO-O Table 7)</t>
        </is>
      </c>
      <c r="I9" s="2" t="inlineStr">
        <is>
          <t>N/A</t>
        </is>
      </c>
      <c r="J9" s="2" t="inlineStr">
        <is>
          <t>218M</t>
        </is>
      </c>
      <c r="K9" s="2" t="inlineStr">
        <is>
          <t>✅ 已驗證 (COCO-O ICCV23 Table 7)：DINO Swin-L COCO-O mAP=42.1 (COCO mAP=58.5, +15.76 robustness)</t>
        </is>
      </c>
      <c r="L9" s="9" t="inlineStr">
        <is>
          <t>https://arxiv.org/abs/2203.03605</t>
        </is>
      </c>
      <c r="M9" s="9" t="inlineStr">
        <is>
          <t>https://github.com/IDEA-Research/DINO</t>
        </is>
      </c>
    </row>
    <row r="10" ht="48" customHeight="1">
      <c r="A10" s="3" t="inlineStr">
        <is>
          <t>Real-Time OD</t>
        </is>
      </c>
      <c r="B10" s="3" t="inlineStr">
        <is>
          <t>YOLOv8x</t>
        </is>
      </c>
      <c r="C10" s="3" t="inlineStr">
        <is>
          <t>Eval on COCO-O</t>
        </is>
      </c>
      <c r="D10" s="3" t="inlineStr">
        <is>
          <t>Third-party</t>
        </is>
      </c>
      <c r="E10" s="3" t="inlineStr">
        <is>
          <t>2024-01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To verify</t>
        </is>
      </c>
      <c r="I10" s="3" t="inlineStr">
        <is>
          <t>99</t>
        </is>
      </c>
      <c r="J10" s="3" t="inlineStr">
        <is>
          <t>68.2M</t>
        </is>
      </c>
      <c r="K10" s="3" t="inlineStr">
        <is>
          <t>⚠️ COCO-O paper Table 7 (2023) predates YOLOv8 widespread testing. Need updated COCO-O eval.</t>
        </is>
      </c>
      <c r="L10" s="6" t="inlineStr">
        <is>
          <t>https://docs.ultralytics.com/models/yolov8/</t>
        </is>
      </c>
      <c r="M10" s="6" t="inlineStr">
        <is>
          <t>https://github.com/ultralytics/ultralytics</t>
        </is>
      </c>
    </row>
    <row r="11" ht="48" customHeight="1">
      <c r="A11" s="3" t="inlineStr">
        <is>
          <t>Real-Time OD</t>
        </is>
      </c>
      <c r="B11" s="3" t="inlineStr">
        <is>
          <t>RT-DETR</t>
        </is>
      </c>
      <c r="C11" s="3" t="inlineStr">
        <is>
          <t>Eval on COCO-O</t>
        </is>
      </c>
      <c r="D11" s="3" t="inlineStr">
        <is>
          <t>Third-party</t>
        </is>
      </c>
      <c r="E11" s="3" t="inlineStr">
        <is>
          <t>2024-08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To verify</t>
        </is>
      </c>
      <c r="I11" s="3" t="inlineStr">
        <is>
          <t>T4 74</t>
        </is>
      </c>
      <c r="J11" s="3" t="inlineStr">
        <is>
          <t>76M</t>
        </is>
      </c>
      <c r="K11" s="3" t="inlineStr">
        <is>
          <t>⚠️ COCO-O paper Table 7 does not include RT-DETR. Need third-party benchmark.</t>
        </is>
      </c>
      <c r="L11" s="6" t="inlineStr">
        <is>
          <t>https://arxiv.org/abs/2304.08069</t>
        </is>
      </c>
      <c r="M11" s="6" t="inlineStr">
        <is>
          <t>https://github.com/lyuwenyu/RT-DETR</t>
        </is>
      </c>
    </row>
    <row r="12" ht="48" customHeight="1">
      <c r="A12" s="2" t="inlineStr">
        <is>
          <t>General OD</t>
        </is>
      </c>
      <c r="B12" s="2" t="inlineStr">
        <is>
          <t>Grounding DINO 1.5 Pro</t>
        </is>
      </c>
      <c r="C12" s="2" t="inlineStr">
        <is>
          <t>IDEA</t>
        </is>
      </c>
      <c r="D12" s="2" t="inlineStr">
        <is>
          <t>arXiv</t>
        </is>
      </c>
      <c r="E12" s="2" t="inlineStr">
        <is>
          <t>2024-05</t>
        </is>
      </c>
      <c r="F12" s="2" t="inlineStr">
        <is>
          <t>Preprint</t>
        </is>
      </c>
      <c r="G12" s="2" t="inlineStr">
        <is>
          <t>To verify</t>
        </is>
      </c>
      <c r="H12" s="2" t="inlineStr">
        <is>
          <t>To verify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⚠️ COCO-O paper Table 7 does not include Grounding DINO 1.5 Pro. Need third-party benchmark.</t>
        </is>
      </c>
      <c r="L12" s="9" t="inlineStr">
        <is>
          <t>https://arxiv.org/abs/2405.10300</t>
        </is>
      </c>
      <c r="M12" s="9" t="inlineStr">
        <is>
          <t>https://github.com/IDEA-Research/Grounding-DINO-1.5-API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DINO (Swin-L)</t>
        </is>
      </c>
      <c r="C2" s="2" t="inlineStr">
        <is>
          <t>Zhang et al.</t>
        </is>
      </c>
      <c r="D2" s="2" t="inlineStr">
        <is>
          <t>ICLR</t>
        </is>
      </c>
      <c r="E2" s="2" t="inlineStr">
        <is>
          <t>2023-03</t>
        </is>
      </c>
      <c r="F2" s="2" t="inlineStr">
        <is>
          <t>Published</t>
        </is>
      </c>
      <c r="G2" s="2" t="inlineStr">
        <is>
          <t>91.4</t>
        </is>
      </c>
      <c r="H2" s="2" t="inlineStr">
        <is>
          <t>mAP 91.4 (fine-tuned)</t>
        </is>
      </c>
      <c r="I2" s="2" t="inlineStr">
        <is>
          <t>N/A</t>
        </is>
      </c>
      <c r="J2" s="2" t="inlineStr">
        <is>
          <t>218M</t>
        </is>
      </c>
      <c r="K2" s="2" t="inlineStr">
        <is>
          <t>Strong large model; To verify exact</t>
        </is>
      </c>
      <c r="L2" s="9" t="inlineStr">
        <is>
          <t>https://arxiv.org/abs/2203.03605</t>
        </is>
      </c>
      <c r="M2" s="9" t="inlineStr">
        <is>
          <t>https://github.com/IDEA-Research/DINO</t>
        </is>
      </c>
    </row>
    <row r="3" ht="48" customHeight="1">
      <c r="A3" s="3" t="inlineStr">
        <is>
          <t>Real-Time OD</t>
        </is>
      </c>
      <c r="B3" s="3" t="inlineStr">
        <is>
          <t>YOLOv7</t>
        </is>
      </c>
      <c r="C3" s="3" t="inlineStr">
        <is>
          <t>Wang et al.</t>
        </is>
      </c>
      <c r="D3" s="3" t="inlineStr">
        <is>
          <t>CVPR</t>
        </is>
      </c>
      <c r="E3" s="3" t="inlineStr">
        <is>
          <t>2023-06</t>
        </is>
      </c>
      <c r="F3" s="3" t="inlineStr">
        <is>
          <t>Published</t>
        </is>
      </c>
      <c r="G3" s="3" t="inlineStr">
        <is>
          <t>89.7</t>
        </is>
      </c>
      <c r="H3" s="3" t="inlineStr">
        <is>
          <t>mAP 89.7</t>
        </is>
      </c>
      <c r="I3" s="3" t="inlineStr">
        <is>
          <t>114</t>
        </is>
      </c>
      <c r="J3" s="3" t="inlineStr">
        <is>
          <t>71.3M</t>
        </is>
      </c>
      <c r="K3" s="3" t="inlineStr">
        <is>
          <t>Paper-reported result</t>
        </is>
      </c>
      <c r="L3" s="6" t="inlineStr">
        <is>
          <t>https://arxiv.org/abs/2207.02696</t>
        </is>
      </c>
      <c r="M3" s="6" t="inlineStr">
        <is>
          <t>https://github.com/WongKinYiu/yolov7</t>
        </is>
      </c>
    </row>
    <row r="4" ht="48" customHeight="1">
      <c r="A4" s="3" t="inlineStr">
        <is>
          <t>Real-Time OD</t>
        </is>
      </c>
      <c r="B4" s="3" t="inlineStr">
        <is>
          <t>YOLOv4</t>
        </is>
      </c>
      <c r="C4" s="3" t="inlineStr">
        <is>
          <t>Bochkovskiy et al.</t>
        </is>
      </c>
      <c r="D4" s="3" t="inlineStr">
        <is>
          <t>arXiv</t>
        </is>
      </c>
      <c r="E4" s="3" t="inlineStr">
        <is>
          <t>2020-04</t>
        </is>
      </c>
      <c r="F4" s="3" t="inlineStr">
        <is>
          <t>Preprint</t>
        </is>
      </c>
      <c r="G4" s="3" t="inlineStr">
        <is>
          <t>89.4</t>
        </is>
      </c>
      <c r="H4" s="3" t="inlineStr">
        <is>
          <t>mAP 89.4 (with COCO pretrain)</t>
        </is>
      </c>
      <c r="I4" s="3" t="inlineStr">
        <is>
          <t>65</t>
        </is>
      </c>
      <c r="J4" s="3" t="inlineStr">
        <is>
          <t>64M</t>
        </is>
      </c>
      <c r="K4" s="3" t="inlineStr">
        <is>
          <t>Pretrained on COCO then fine-tuned</t>
        </is>
      </c>
      <c r="L4" s="6" t="inlineStr">
        <is>
          <t>https://arxiv.org/abs/2004.10934</t>
        </is>
      </c>
      <c r="M4" s="6" t="inlineStr">
        <is>
          <t>https://github.com/AlexeyAB/darknet</t>
        </is>
      </c>
    </row>
    <row r="5" ht="48" customHeight="1">
      <c r="A5" s="2" t="inlineStr">
        <is>
          <t>General OD</t>
        </is>
      </c>
      <c r="B5" s="2" t="inlineStr">
        <is>
          <t>Cascade R-CNN</t>
        </is>
      </c>
      <c r="C5" s="2" t="inlineStr">
        <is>
          <t>Cai &amp; Vasconcelos</t>
        </is>
      </c>
      <c r="D5" s="2" t="inlineStr">
        <is>
          <t>CVPR</t>
        </is>
      </c>
      <c r="E5" s="2" t="inlineStr">
        <is>
          <t>2018-06</t>
        </is>
      </c>
      <c r="F5" s="2" t="inlineStr">
        <is>
          <t>Published</t>
        </is>
      </c>
      <c r="G5" s="2" t="inlineStr">
        <is>
          <t>87.0</t>
        </is>
      </c>
      <c r="H5" s="2" t="inlineStr">
        <is>
          <t>mAP 87.0</t>
        </is>
      </c>
      <c r="I5" s="2" t="inlineStr">
        <is>
          <t>8</t>
        </is>
      </c>
      <c r="J5" s="2" t="inlineStr">
        <is>
          <t>88M</t>
        </is>
      </c>
      <c r="K5" s="2" t="inlineStr">
        <is>
          <t>Paper-reported result</t>
        </is>
      </c>
      <c r="L5" s="9" t="inlineStr">
        <is>
          <t>https://arxiv.org/abs/1712.00726</t>
        </is>
      </c>
      <c r="M5" s="9" t="inlineStr">
        <is>
          <t>https://github.com/zhaoweicai/cascade-rcnn</t>
        </is>
      </c>
    </row>
    <row r="6" ht="48" customHeight="1">
      <c r="A6" s="2" t="inlineStr">
        <is>
          <t>General OD</t>
        </is>
      </c>
      <c r="B6" s="2" t="inlineStr">
        <is>
          <t>DETR</t>
        </is>
      </c>
      <c r="C6" s="2" t="inlineStr">
        <is>
          <t>Carion et al.</t>
        </is>
      </c>
      <c r="D6" s="2" t="inlineStr">
        <is>
          <t>ECCV</t>
        </is>
      </c>
      <c r="E6" s="2" t="inlineStr">
        <is>
          <t>2020-09</t>
        </is>
      </c>
      <c r="F6" s="2" t="inlineStr">
        <is>
          <t>Published</t>
        </is>
      </c>
      <c r="G6" s="2" t="inlineStr">
        <is>
          <t>85.4</t>
        </is>
      </c>
      <c r="H6" s="2" t="inlineStr">
        <is>
          <t>mAP 85.4 (estimated)</t>
        </is>
      </c>
      <c r="I6" s="2" t="inlineStr">
        <is>
          <t>20</t>
        </is>
      </c>
      <c r="J6" s="2" t="inlineStr">
        <is>
          <t>60M</t>
        </is>
      </c>
      <c r="K6" s="2" t="inlineStr">
        <is>
          <t>Paper-reported on VOC fine-tune</t>
        </is>
      </c>
      <c r="L6" s="9" t="inlineStr">
        <is>
          <t>https://arxiv.org/abs/2005.12872</t>
        </is>
      </c>
      <c r="M6" s="9" t="inlineStr">
        <is>
          <t>https://github.com/facebookresearch/detr</t>
        </is>
      </c>
    </row>
    <row r="7" ht="48" customHeight="1">
      <c r="A7" s="2" t="inlineStr">
        <is>
          <t>General OD</t>
        </is>
      </c>
      <c r="B7" s="2" t="inlineStr">
        <is>
          <t>Sparse R-CNN</t>
        </is>
      </c>
      <c r="C7" s="2" t="inlineStr">
        <is>
          <t>Sun et al.</t>
        </is>
      </c>
      <c r="D7" s="2" t="inlineStr">
        <is>
          <t>CVPR</t>
        </is>
      </c>
      <c r="E7" s="2" t="inlineStr">
        <is>
          <t>2021-01</t>
        </is>
      </c>
      <c r="F7" s="2" t="inlineStr">
        <is>
          <t>Published</t>
        </is>
      </c>
      <c r="G7" s="2" t="inlineStr">
        <is>
          <t>85.0</t>
        </is>
      </c>
      <c r="H7" s="2" t="inlineStr">
        <is>
          <t>mAP 85.0 (fine-tuned)</t>
        </is>
      </c>
      <c r="I7" s="2" t="inlineStr">
        <is>
          <t>23</t>
        </is>
      </c>
      <c r="J7" s="2" t="inlineStr">
        <is>
          <t>106M</t>
        </is>
      </c>
      <c r="K7" s="2" t="inlineStr">
        <is>
          <t>Paper-reported result</t>
        </is>
      </c>
      <c r="L7" s="9" t="inlineStr">
        <is>
          <t>https://arxiv.org/abs/2011.12450</t>
        </is>
      </c>
      <c r="M7" s="9" t="inlineStr">
        <is>
          <t>https://github.com/PeizeSun/SparseR-CNN</t>
        </is>
      </c>
    </row>
    <row r="8" ht="48" customHeight="1">
      <c r="A8" s="2" t="inlineStr">
        <is>
          <t>General OD</t>
        </is>
      </c>
      <c r="B8" s="2" t="inlineStr">
        <is>
          <t>RetinaNet (R101)</t>
        </is>
      </c>
      <c r="C8" s="2" t="inlineStr">
        <is>
          <t>Lin et al.</t>
        </is>
      </c>
      <c r="D8" s="2" t="inlineStr">
        <is>
          <t>ICCV</t>
        </is>
      </c>
      <c r="E8" s="2" t="inlineStr">
        <is>
          <t>2017-08</t>
        </is>
      </c>
      <c r="F8" s="2" t="inlineStr">
        <is>
          <t>Published</t>
        </is>
      </c>
      <c r="G8" s="2" t="inlineStr">
        <is>
          <t>82.7</t>
        </is>
      </c>
      <c r="H8" s="2" t="inlineStr">
        <is>
          <t>mAP 82.7</t>
        </is>
      </c>
      <c r="I8" s="2" t="inlineStr">
        <is>
          <t>11</t>
        </is>
      </c>
      <c r="J8" s="2" t="inlineStr">
        <is>
          <t>57M</t>
        </is>
      </c>
      <c r="K8" s="2" t="inlineStr">
        <is>
          <t>Paper-reported result</t>
        </is>
      </c>
      <c r="L8" s="9" t="inlineStr">
        <is>
          <t>https://arxiv.org/abs/1708.02002</t>
        </is>
      </c>
      <c r="M8" s="9" t="inlineStr">
        <is>
          <t>https://github.com/facebookresearch/Detectron</t>
        </is>
      </c>
    </row>
    <row r="9" ht="48" customHeight="1">
      <c r="A9" s="2" t="inlineStr">
        <is>
          <t>General OD</t>
        </is>
      </c>
      <c r="B9" s="2" t="inlineStr">
        <is>
          <t>Faster R-CNN (VGG16)</t>
        </is>
      </c>
      <c r="C9" s="2" t="inlineStr">
        <is>
          <t>Ren et al.</t>
        </is>
      </c>
      <c r="D9" s="2" t="inlineStr">
        <is>
          <t>NeurIPS</t>
        </is>
      </c>
      <c r="E9" s="2" t="inlineStr">
        <is>
          <t>2015-12</t>
        </is>
      </c>
      <c r="F9" s="2" t="inlineStr">
        <is>
          <t>Published</t>
        </is>
      </c>
      <c r="G9" s="2" t="inlineStr">
        <is>
          <t>73.2</t>
        </is>
      </c>
      <c r="H9" s="2" t="inlineStr">
        <is>
          <t>mAP 73.2</t>
        </is>
      </c>
      <c r="I9" s="2" t="inlineStr">
        <is>
          <t>7</t>
        </is>
      </c>
      <c r="J9" s="2" t="inlineStr">
        <is>
          <t>138M</t>
        </is>
      </c>
      <c r="K9" s="2" t="inlineStr">
        <is>
          <t>Classic baseline</t>
        </is>
      </c>
      <c r="L9" s="9" t="inlineStr">
        <is>
          <t>https://arxiv.org/abs/1506.01497</t>
        </is>
      </c>
      <c r="M9" s="9" t="inlineStr">
        <is>
          <t>https://github.com/rbgirshick/py-faster-rcnn</t>
        </is>
      </c>
    </row>
    <row r="10" ht="48" customHeight="1">
      <c r="A10" s="3" t="inlineStr">
        <is>
          <t>Real-Time OD</t>
        </is>
      </c>
      <c r="B10" s="3" t="inlineStr">
        <is>
          <t>YOLOv8x</t>
        </is>
      </c>
      <c r="C10" s="3" t="inlineStr">
        <is>
          <t>Ultralytics</t>
        </is>
      </c>
      <c r="D10" s="3" t="inlineStr">
        <is>
          <t>GitHub</t>
        </is>
      </c>
      <c r="E10" s="3" t="inlineStr">
        <is>
          <t>2023-01</t>
        </is>
      </c>
      <c r="F10" s="3" t="inlineStr">
        <is>
          <t>GitHub</t>
        </is>
      </c>
      <c r="G10" s="3" t="inlineStr">
        <is>
          <t>To verify</t>
        </is>
      </c>
      <c r="H10" s="3" t="inlineStr">
        <is>
          <t>To verify</t>
        </is>
      </c>
      <c r="I10" s="3" t="inlineStr">
        <is>
          <t>99</t>
        </is>
      </c>
      <c r="J10" s="3" t="inlineStr">
        <is>
          <t>68.2M</t>
        </is>
      </c>
      <c r="K10" s="3" t="inlineStr">
        <is>
          <t>Reproduce on VOC; To verify</t>
        </is>
      </c>
      <c r="L10" s="6" t="inlineStr">
        <is>
          <t>https://docs.ultralytics.com/models/yolov8/</t>
        </is>
      </c>
      <c r="M10" s="6" t="inlineStr">
        <is>
          <t>https://github.com/ultralytics/ultralytics</t>
        </is>
      </c>
    </row>
    <row r="11" ht="48" customHeight="1">
      <c r="A11" s="3" t="inlineStr">
        <is>
          <t>Real-Time OD</t>
        </is>
      </c>
      <c r="B11" s="3" t="inlineStr">
        <is>
          <t>YOLO-NAS</t>
        </is>
      </c>
      <c r="C11" s="3" t="inlineStr">
        <is>
          <t>Deci</t>
        </is>
      </c>
      <c r="D11" s="3" t="inlineStr">
        <is>
          <t>GitHub</t>
        </is>
      </c>
      <c r="E11" s="3" t="inlineStr">
        <is>
          <t>2023-05</t>
        </is>
      </c>
      <c r="F11" s="3" t="inlineStr">
        <is>
          <t>GitHub</t>
        </is>
      </c>
      <c r="G11" s="3" t="inlineStr">
        <is>
          <t>To verify</t>
        </is>
      </c>
      <c r="H11" s="3" t="inlineStr">
        <is>
          <t>To verify</t>
        </is>
      </c>
      <c r="I11" s="3" t="inlineStr">
        <is>
          <t>T4 ≈110</t>
        </is>
      </c>
      <c r="J11" s="3" t="inlineStr">
        <is>
          <t>≈58M</t>
        </is>
      </c>
      <c r="K11" s="3" t="inlineStr">
        <is>
          <t>To verify</t>
        </is>
      </c>
      <c r="L11" s="6" t="inlineStr">
        <is>
          <t>https://github.com/Deci-AI/super-gradients</t>
        </is>
      </c>
      <c r="M11" s="6" t="inlineStr">
        <is>
          <t>https://github.com/Deci-AI/super-gradients</t>
        </is>
      </c>
    </row>
    <row r="12" ht="48" customHeight="1">
      <c r="A12" s="2" t="inlineStr">
        <is>
          <t>General OD</t>
        </is>
      </c>
      <c r="B12" s="2" t="inlineStr">
        <is>
          <t>Grounding DINO (zero-shot)</t>
        </is>
      </c>
      <c r="C12" s="2" t="inlineStr">
        <is>
          <t>Liu et al.</t>
        </is>
      </c>
      <c r="D12" s="2" t="inlineStr">
        <is>
          <t>ECCV</t>
        </is>
      </c>
      <c r="E12" s="2" t="inlineStr">
        <is>
          <t>2024-10</t>
        </is>
      </c>
      <c r="F12" s="2" t="inlineStr">
        <is>
          <t>Published</t>
        </is>
      </c>
      <c r="G12" s="2" t="inlineStr">
        <is>
          <t>To verify</t>
        </is>
      </c>
      <c r="H12" s="2" t="inlineStr">
        <is>
          <t>Zero-shot mAP To verify</t>
        </is>
      </c>
      <c r="I12" s="2" t="inlineStr">
        <is>
          <t>N/A</t>
        </is>
      </c>
      <c r="J12" s="2" t="inlineStr">
        <is>
          <t>≈173M</t>
        </is>
      </c>
      <c r="K12" s="2" t="inlineStr">
        <is>
          <t>Open-set; not VOC-fine-tuned</t>
        </is>
      </c>
      <c r="L12" s="9" t="inlineStr">
        <is>
          <t>https://arxiv.org/abs/2303.05499</t>
        </is>
      </c>
      <c r="M12" s="9" t="inlineStr">
        <is>
          <t>https://github.com/IDEA-Research/GroundingDINO</t>
        </is>
      </c>
    </row>
    <row r="13">
      <c r="A13" s="2" t="inlineStr">
        <is>
          <t>Real-Time OD</t>
        </is>
      </c>
      <c r="B13" s="2" t="inlineStr">
        <is>
          <t>RF-DETR (Large)</t>
        </is>
      </c>
      <c r="C13" s="2" t="inlineStr">
        <is>
          <t>Roboflow</t>
        </is>
      </c>
      <c r="D13" s="2" t="inlineStr">
        <is>
          <t>ICLR</t>
        </is>
      </c>
      <c r="E13" s="2" t="inlineStr">
        <is>
          <t>2026-04</t>
        </is>
      </c>
      <c r="F13" s="2" t="inlineStr">
        <is>
          <t>Preprint</t>
        </is>
      </c>
      <c r="G13" s="2" t="n"/>
      <c r="H13" s="2" t="n"/>
      <c r="I13" s="2" t="n"/>
      <c r="J13" s="2" t="n"/>
      <c r="K13" s="2" t="inlineStr">
        <is>
          <t>⚠️ 自動抽取・指標待驗證 (已偵測使用此資料集)：First RT model &gt;60 AP on COCO; DINOv2 backbone; ICLR 2026</t>
        </is>
      </c>
      <c r="L13" s="9" t="inlineStr">
        <is>
          <t>https://arxiv.org/abs/2511.09554</t>
        </is>
      </c>
      <c r="M13" s="9" t="inlineStr">
        <is>
          <t>https://github.com/roboflow/rf-detr</t>
        </is>
      </c>
    </row>
    <row r="14">
      <c r="A14" s="2" t="inlineStr">
        <is>
          <t>Real-Time OD</t>
        </is>
      </c>
      <c r="B14" s="2" t="inlineStr">
        <is>
          <t>RF-DETR (Nano)</t>
        </is>
      </c>
      <c r="C14" s="2" t="inlineStr">
        <is>
          <t>Roboflow</t>
        </is>
      </c>
      <c r="D14" s="2" t="inlineStr">
        <is>
          <t>ICLR</t>
        </is>
      </c>
      <c r="E14" s="2" t="inlineStr">
        <is>
          <t>2026-04</t>
        </is>
      </c>
      <c r="F14" s="2" t="inlineStr">
        <is>
          <t>Preprint</t>
        </is>
      </c>
      <c r="G14" s="2" t="n"/>
      <c r="H14" s="2" t="n"/>
      <c r="I14" s="2" t="n"/>
      <c r="J14" s="2" t="n"/>
      <c r="K14" s="2" t="inlineStr">
        <is>
          <t>⚠️ 自動抽取・指標待驗證 (已偵測使用此資料集)：Nano variant; ICLR 2026</t>
        </is>
      </c>
      <c r="L14" s="9" t="inlineStr">
        <is>
          <t>https://arxiv.org/abs/2511.09554</t>
        </is>
      </c>
      <c r="M14" s="9" t="inlineStr">
        <is>
          <t>https://github.com/roboflow/rf-detr</t>
        </is>
      </c>
    </row>
    <row r="15">
      <c r="A15" s="2" t="inlineStr">
        <is>
          <t>Real-Time OD</t>
        </is>
      </c>
      <c r="B15" s="2" t="inlineStr">
        <is>
          <t>YOLOv13-X</t>
        </is>
      </c>
      <c r="C15" s="2" t="inlineStr">
        <is>
          <t>iMoonLab</t>
        </is>
      </c>
      <c r="D15" s="2" t="inlineStr">
        <is>
          <t>arXiv</t>
        </is>
      </c>
      <c r="E15" s="2" t="inlineStr">
        <is>
          <t>2025-06</t>
        </is>
      </c>
      <c r="F15" s="2" t="inlineStr">
        <is>
          <t>Preprint</t>
        </is>
      </c>
      <c r="G15" s="2" t="n"/>
      <c r="H15" s="2" t="n"/>
      <c r="I15" s="2" t="n"/>
      <c r="J15" s="2" t="n"/>
      <c r="K15" s="2" t="inlineStr">
        <is>
          <t>⚠️ 自動抽取・指標待驗證 (已偵測使用此資料集)：Hypergraph adaptive correlation enhancement (HyperACE)</t>
        </is>
      </c>
      <c r="L15" s="9" t="inlineStr">
        <is>
          <t>https://arxiv.org/abs/2506.17733</t>
        </is>
      </c>
      <c r="M15" s="9" t="inlineStr">
        <is>
          <t>https://github.com/iMoonLab/yolov13</t>
        </is>
      </c>
    </row>
    <row r="16">
      <c r="A16" s="2" t="inlineStr">
        <is>
          <t>Few-Shot OD</t>
        </is>
      </c>
      <c r="B16" s="2" t="inlineStr">
        <is>
          <t>Grounding DINO</t>
        </is>
      </c>
      <c r="C16" s="2" t="inlineStr">
        <is>
          <t>Liu et al.</t>
        </is>
      </c>
      <c r="D16" s="2" t="inlineStr">
        <is>
          <t>ECCV</t>
        </is>
      </c>
      <c r="E16" s="2" t="inlineStr">
        <is>
          <t>2024-10</t>
        </is>
      </c>
      <c r="F16" s="2" t="inlineStr">
        <is>
          <t>Preprint</t>
        </is>
      </c>
      <c r="G16" s="2" t="n"/>
      <c r="H16" s="2" t="n"/>
      <c r="I16" s="2" t="n"/>
      <c r="J16" s="2" t="n"/>
      <c r="K16" s="2" t="inlineStr">
        <is>
          <t>⚠️ 自動抽取・指標待驗證 (已偵測使用此資料集)：Open-set zero-shot; ECCV 2024</t>
        </is>
      </c>
      <c r="L16" s="9" t="inlineStr">
        <is>
          <t>https://arxiv.org/abs/2303.05499</t>
        </is>
      </c>
      <c r="M16" s="9" t="inlineStr">
        <is>
          <t>https://github.com/IDEA-Research/GroundingDINO</t>
        </is>
      </c>
    </row>
    <row r="17">
      <c r="A17" s="2" t="inlineStr">
        <is>
          <t>General OD</t>
        </is>
      </c>
      <c r="B17" s="2" t="inlineStr">
        <is>
          <t>Relation-DETR (FocalNet-L)</t>
        </is>
      </c>
      <c r="C17" s="2" t="inlineStr">
        <is>
          <t>Hou et al.</t>
        </is>
      </c>
      <c r="D17" s="2" t="inlineStr">
        <is>
          <t>ECCV</t>
        </is>
      </c>
      <c r="E17" s="2" t="inlineStr">
        <is>
          <t>2024-09</t>
        </is>
      </c>
      <c r="F17" s="2" t="inlineStr">
        <is>
          <t>Preprint</t>
        </is>
      </c>
      <c r="G17" s="2" t="n"/>
      <c r="H17" s="2" t="n"/>
      <c r="I17" s="2" t="n"/>
      <c r="J17" s="2" t="n"/>
      <c r="K17" s="2" t="inlineStr">
        <is>
          <t>⚠️ 自動抽取・指標待驗證 (已偵測使用此資料集)：Explicit position relation prior; ECCV 2024 Oral</t>
        </is>
      </c>
      <c r="L17" s="9" t="inlineStr">
        <is>
          <t>https://arxiv.org/abs/2407.11699</t>
        </is>
      </c>
      <c r="M17" s="9" t="inlineStr">
        <is>
          <t>https://github.com/xiuqhou/Relation-DETR</t>
        </is>
      </c>
    </row>
    <row r="18">
      <c r="A18" s="2" t="inlineStr">
        <is>
          <t>General OD</t>
        </is>
      </c>
      <c r="B18" s="2" t="inlineStr">
        <is>
          <t>Grounding DINO 1.5 Pro</t>
        </is>
      </c>
      <c r="C18" s="2" t="inlineStr">
        <is>
          <t>Ren et al.</t>
        </is>
      </c>
      <c r="D18" s="2" t="inlineStr">
        <is>
          <t>arXiv</t>
        </is>
      </c>
      <c r="E18" s="2" t="inlineStr">
        <is>
          <t>2024-05</t>
        </is>
      </c>
      <c r="F18" s="2" t="inlineStr">
        <is>
          <t>Preprint</t>
        </is>
      </c>
      <c r="G18" s="2" t="n"/>
      <c r="H18" s="2" t="n"/>
      <c r="I18" s="2" t="n"/>
      <c r="J18" s="2" t="n"/>
      <c r="K18" s="2" t="inlineStr">
        <is>
          <t>⚠️ 自動抽取・指標待驗證 (已偵測使用此資料集)：Open-set; SOTA on COCO zero-shot, LVIS, ODinW</t>
        </is>
      </c>
      <c r="L18" s="9" t="inlineStr">
        <is>
          <t>https://arxiv.org/abs/2405.10300</t>
        </is>
      </c>
      <c r="M18" s="9" t="inlineStr">
        <is>
          <t>https://github.com/IDEA-Research/Grounding-DINO-1.5-API</t>
        </is>
      </c>
    </row>
    <row r="19">
      <c r="A19" s="2" t="inlineStr">
        <is>
          <t>General OD</t>
        </is>
      </c>
      <c r="B19" s="2" t="inlineStr">
        <is>
          <t>InternImage-H</t>
        </is>
      </c>
      <c r="C19" s="2" t="inlineStr">
        <is>
          <t>Wang et al.</t>
        </is>
      </c>
      <c r="D19" s="2" t="inlineStr">
        <is>
          <t>CVPR</t>
        </is>
      </c>
      <c r="E19" s="2" t="inlineStr">
        <is>
          <t>2023-06</t>
        </is>
      </c>
      <c r="F19" s="2" t="inlineStr">
        <is>
          <t>Preprint</t>
        </is>
      </c>
      <c r="G19" s="2" t="n">
        <v>94</v>
      </c>
      <c r="H19" s="2" t="inlineStr">
        <is>
          <t>mAP@0.5 94.0 (single-scale)</t>
        </is>
      </c>
      <c r="I19" s="2" t="n"/>
      <c r="J19" s="2" t="n"/>
      <c r="K19" s="2" t="inlineStr">
        <is>
          <t>✅ 已驗證 (InternImage CVPR23 Table 10)：InternImage-H 94.0 AP50 PASCAL VOC 2007 test (single-scale), Objects365 pretrain</t>
        </is>
      </c>
      <c r="L19" s="9" t="inlineStr">
        <is>
          <t>https://arxiv.org/abs/2211.05778</t>
        </is>
      </c>
      <c r="M19" s="9" t="inlineStr">
        <is>
          <t>https://github.com/OpenGVLab/InternImage</t>
        </is>
      </c>
    </row>
    <row r="20">
      <c r="A20" s="2" t="inlineStr">
        <is>
          <t>Real-Time OD</t>
        </is>
      </c>
      <c r="B20" s="2" t="inlineStr">
        <is>
          <t>RTMDet-X</t>
        </is>
      </c>
      <c r="C20" s="2" t="inlineStr">
        <is>
          <t>Lyu et al.</t>
        </is>
      </c>
      <c r="D20" s="2" t="inlineStr">
        <is>
          <t>arXiv</t>
        </is>
      </c>
      <c r="E20" s="2" t="inlineStr">
        <is>
          <t>2022-12</t>
        </is>
      </c>
      <c r="F20" s="2" t="inlineStr">
        <is>
          <t>Preprint</t>
        </is>
      </c>
      <c r="G20" s="2" t="n"/>
      <c r="H20" s="2" t="n"/>
      <c r="I20" s="2" t="n"/>
      <c r="J20" s="2" t="n"/>
      <c r="K20" s="2" t="inlineStr">
        <is>
          <t>⚠️ 自動抽取・指標待驗證 (已偵測使用此資料集)：OpenMMLab RT detector</t>
        </is>
      </c>
      <c r="L20" s="9" t="inlineStr">
        <is>
          <t>https://arxiv.org/abs/2212.07784</t>
        </is>
      </c>
      <c r="M20" s="9" t="inlineStr">
        <is>
          <t>https://github.com/open-mmlab/mmdetection</t>
        </is>
      </c>
    </row>
    <row r="21">
      <c r="A21" s="2" t="inlineStr">
        <is>
          <t>Few-Shot OD</t>
        </is>
      </c>
      <c r="B21" s="2" t="inlineStr">
        <is>
          <t>Meta-DETR</t>
        </is>
      </c>
      <c r="C21" s="2" t="inlineStr">
        <is>
          <t>Zhang et al.</t>
        </is>
      </c>
      <c r="D21" s="2" t="inlineStr">
        <is>
          <t>TPAMI</t>
        </is>
      </c>
      <c r="E21" s="2" t="inlineStr">
        <is>
          <t>2022-08</t>
        </is>
      </c>
      <c r="F21" s="2" t="inlineStr">
        <is>
          <t>Preprint</t>
        </is>
      </c>
      <c r="G21" s="2" t="n"/>
      <c r="H21" s="2" t="n"/>
      <c r="I21" s="2" t="n"/>
      <c r="J21" s="2" t="n"/>
      <c r="K21" s="2" t="inlineStr">
        <is>
          <t>⚠️ 自動抽取・指標待驗證 (已偵測使用此資料集)：Inter-class correlational meta-learning</t>
        </is>
      </c>
      <c r="L21" s="9" t="inlineStr">
        <is>
          <t>https://arxiv.org/abs/2208.00219</t>
        </is>
      </c>
      <c r="M21" s="9" t="inlineStr">
        <is>
          <t>https://github.com/ZhangGongjie/Meta-DETR</t>
        </is>
      </c>
    </row>
    <row r="22">
      <c r="A22" s="2" t="inlineStr">
        <is>
          <t>Few-Shot OD</t>
        </is>
      </c>
      <c r="B22" s="2" t="inlineStr">
        <is>
          <t>DETReg</t>
        </is>
      </c>
      <c r="C22" s="2" t="inlineStr">
        <is>
          <t>Bar et al.</t>
        </is>
      </c>
      <c r="D22" s="2" t="inlineStr">
        <is>
          <t>CVPR</t>
        </is>
      </c>
      <c r="E22" s="2" t="inlineStr">
        <is>
          <t>2022-06</t>
        </is>
      </c>
      <c r="F22" s="2" t="inlineStr">
        <is>
          <t>Preprint</t>
        </is>
      </c>
      <c r="G22" s="2" t="n">
        <v>83.3</v>
      </c>
      <c r="H22" s="2" t="inlineStr">
        <is>
          <t>mAP@0.5 83.3 (AP50)</t>
        </is>
      </c>
      <c r="I22" s="2" t="n"/>
      <c r="J22" s="2" t="n"/>
      <c r="K22" s="2" t="inlineStr">
        <is>
          <t>✅ 已驗證 (DETReg CVPR22 Table 2)：DETReg AP50=83.3 PASCAL VOC 2007 test (Deformable DETR base, 07+12 finetune)</t>
        </is>
      </c>
      <c r="L22" s="9" t="inlineStr">
        <is>
          <t>https://arxiv.org/abs/2106.04550</t>
        </is>
      </c>
      <c r="M22" s="9" t="inlineStr">
        <is>
          <t>https://github.com/amirbar/DETReg</t>
        </is>
      </c>
    </row>
    <row r="23">
      <c r="A23" s="2" t="inlineStr">
        <is>
          <t>Few-Shot OD</t>
        </is>
      </c>
      <c r="B23" s="2" t="inlineStr">
        <is>
          <t>DeFRCN</t>
        </is>
      </c>
      <c r="C23" s="2" t="inlineStr">
        <is>
          <t>Qiao et al.</t>
        </is>
      </c>
      <c r="D23" s="2" t="inlineStr">
        <is>
          <t>ICCV</t>
        </is>
      </c>
      <c r="E23" s="2" t="inlineStr">
        <is>
          <t>2021-10</t>
        </is>
      </c>
      <c r="F23" s="2" t="inlineStr">
        <is>
          <t>Preprint</t>
        </is>
      </c>
      <c r="G23" s="2" t="n"/>
      <c r="H23" s="2" t="n"/>
      <c r="I23" s="2" t="n"/>
      <c r="J23" s="2" t="n"/>
      <c r="K23" s="2" t="inlineStr">
        <is>
          <t>⚠️ 誤放：DeFRCN 是 few-shot OD 方法，使用 PASCAL VOC novel splits（K-shot）而非標準 closed-set 20-class mAP；應移至 PASCAL VOC 2007 15+5 sheet 而非此 sheet</t>
        </is>
      </c>
      <c r="L23" s="9" t="inlineStr">
        <is>
          <t>https://arxiv.org/abs/2108.09017</t>
        </is>
      </c>
      <c r="M23" s="9" t="inlineStr">
        <is>
          <t>https://github.com/er-muyue/DeFRCN</t>
        </is>
      </c>
    </row>
    <row r="24">
      <c r="A24" s="2" t="inlineStr">
        <is>
          <t>Few-Shot OD</t>
        </is>
      </c>
      <c r="B24" s="2" t="inlineStr">
        <is>
          <t>FSCE</t>
        </is>
      </c>
      <c r="C24" s="2" t="inlineStr">
        <is>
          <t>Sun et al.</t>
        </is>
      </c>
      <c r="D24" s="2" t="inlineStr">
        <is>
          <t>CVPR</t>
        </is>
      </c>
      <c r="E24" s="2" t="inlineStr">
        <is>
          <t>2021-06</t>
        </is>
      </c>
      <c r="F24" s="2" t="inlineStr">
        <is>
          <t>Preprint</t>
        </is>
      </c>
      <c r="G24" s="2" t="n"/>
      <c r="H24" s="2" t="n"/>
      <c r="I24" s="2" t="n"/>
      <c r="J24" s="2" t="n"/>
      <c r="K24" s="2" t="inlineStr">
        <is>
          <t>⚠️ 誤放：FSCE 是 few-shot OD 方法，使用 PASCAL VOC novel splits（K-shot）而非標準 closed-set 20-class mAP；應移至 PASCAL VOC 2007 15+5 sheet 而非此 sheet</t>
        </is>
      </c>
      <c r="L24" s="9" t="inlineStr">
        <is>
          <t>https://arxiv.org/abs/2103.05950</t>
        </is>
      </c>
      <c r="M24" s="9" t="inlineStr">
        <is>
          <t>https://github.com/megvii-research/FSCE</t>
        </is>
      </c>
    </row>
    <row r="25">
      <c r="A25" s="2" t="inlineStr">
        <is>
          <t>RGB Salient OD</t>
        </is>
      </c>
      <c r="B25" s="2" t="inlineStr">
        <is>
          <t>PoolNet+</t>
        </is>
      </c>
      <c r="C25" s="2" t="inlineStr">
        <is>
          <t>Liu et al.</t>
        </is>
      </c>
      <c r="D25" s="2" t="inlineStr">
        <is>
          <t>TPAMI</t>
        </is>
      </c>
      <c r="E25" s="2" t="inlineStr">
        <is>
          <t>2021-04</t>
        </is>
      </c>
      <c r="F25" s="2" t="inlineStr">
        <is>
          <t>Preprint</t>
        </is>
      </c>
      <c r="G25" s="2" t="n"/>
      <c r="H25" s="2" t="n"/>
      <c r="I25" s="2" t="n"/>
      <c r="J25" s="2" t="n"/>
      <c r="K25" s="2" t="inlineStr">
        <is>
          <t>⚠️ 自動抽取・指標待驗證 (已偵測使用此資料集)：Pool-based aggregation</t>
        </is>
      </c>
      <c r="L25" s="9" t="inlineStr">
        <is>
          <t>https://arxiv.org/abs/1904.09569</t>
        </is>
      </c>
      <c r="M25" s="9" t="inlineStr">
        <is>
          <t>https://github.com/backseason/PoolNet</t>
        </is>
      </c>
    </row>
    <row r="26">
      <c r="A26" s="2" t="inlineStr">
        <is>
          <t>Few-Shot OD</t>
        </is>
      </c>
      <c r="B26" s="2" t="inlineStr">
        <is>
          <t>MPSR</t>
        </is>
      </c>
      <c r="C26" s="2" t="inlineStr">
        <is>
          <t>Wu et al.</t>
        </is>
      </c>
      <c r="D26" s="2" t="inlineStr">
        <is>
          <t>ECCV</t>
        </is>
      </c>
      <c r="E26" s="2" t="inlineStr">
        <is>
          <t>2020-08</t>
        </is>
      </c>
      <c r="F26" s="2" t="inlineStr">
        <is>
          <t>Preprint</t>
        </is>
      </c>
      <c r="G26" s="2" t="n"/>
      <c r="H26" s="2" t="n"/>
      <c r="I26" s="2" t="n"/>
      <c r="J26" s="2" t="n"/>
      <c r="K26" s="2" t="inlineStr">
        <is>
          <t>⚠️ 誤放：MPSR 是 few-shot OD 方法，使用 PASCAL VOC novel splits（K-shot）而非標準 closed-set 20-class mAP；應移至 PASCAL VOC 2007 15+5 sheet 而非此 sheet</t>
        </is>
      </c>
      <c r="L26" s="9" t="inlineStr">
        <is>
          <t>https://arxiv.org/abs/2007.09384</t>
        </is>
      </c>
      <c r="M26" s="9" t="inlineStr">
        <is>
          <t>https://github.com/jiaxi-wu/MPSR</t>
        </is>
      </c>
    </row>
    <row r="27">
      <c r="A27" s="2" t="inlineStr">
        <is>
          <t>Few-Shot OD</t>
        </is>
      </c>
      <c r="B27" s="2" t="inlineStr">
        <is>
          <t>TFA w/cos</t>
        </is>
      </c>
      <c r="C27" s="2" t="inlineStr">
        <is>
          <t>Wang et al.</t>
        </is>
      </c>
      <c r="D27" s="2" t="inlineStr">
        <is>
          <t>ICML</t>
        </is>
      </c>
      <c r="E27" s="2" t="inlineStr">
        <is>
          <t>2020-07</t>
        </is>
      </c>
      <c r="F27" s="2" t="inlineStr">
        <is>
          <t>Preprint</t>
        </is>
      </c>
      <c r="G27" s="2" t="n"/>
      <c r="H27" s="2" t="n"/>
      <c r="I27" s="2" t="n"/>
      <c r="J27" s="2" t="n"/>
      <c r="K27" s="2" t="inlineStr">
        <is>
          <t>⚠️ 誤放：TFA w/cos 是 few-shot OD 方法，使用 PASCAL VOC novel splits（K-shot）而非標準 closed-set 20-class mAP；應移至 PASCAL VOC 2007 15+5 sheet 而非此 sheet</t>
        </is>
      </c>
      <c r="L27" s="9" t="inlineStr">
        <is>
          <t>https://arxiv.org/abs/2003.06957</t>
        </is>
      </c>
      <c r="M27" s="9" t="inlineStr">
        <is>
          <t>https://github.com/ucbdrive/few-shot-object-detection</t>
        </is>
      </c>
    </row>
    <row r="28">
      <c r="A28" s="2" t="inlineStr">
        <is>
          <t>Real-Time OD</t>
        </is>
      </c>
      <c r="B28" s="2" t="inlineStr">
        <is>
          <t>EfficientDet-D7</t>
        </is>
      </c>
      <c r="C28" s="2" t="inlineStr">
        <is>
          <t>Tan et al.</t>
        </is>
      </c>
      <c r="D28" s="2" t="inlineStr">
        <is>
          <t>CVPR</t>
        </is>
      </c>
      <c r="E28" s="2" t="inlineStr">
        <is>
          <t>2020-06</t>
        </is>
      </c>
      <c r="F28" s="2" t="inlineStr">
        <is>
          <t>Preprint</t>
        </is>
      </c>
      <c r="G28" s="2" t="n"/>
      <c r="H28" s="2" t="n"/>
      <c r="I28" s="2" t="n"/>
      <c r="J28" s="2" t="n"/>
      <c r="K28" s="2" t="inlineStr">
        <is>
          <t>⚠️ 自動抽取・指標待驗證 (已偵測使用此資料集)：BiFPN compound scaling</t>
        </is>
      </c>
      <c r="L28" s="9" t="inlineStr">
        <is>
          <t>https://arxiv.org/abs/1911.09070</t>
        </is>
      </c>
      <c r="M28" s="9" t="inlineStr">
        <is>
          <t>https://github.com/google/automl/tree/master/efficientdet</t>
        </is>
      </c>
    </row>
    <row r="29">
      <c r="A29" s="2" t="inlineStr">
        <is>
          <t>Few-Shot OD</t>
        </is>
      </c>
      <c r="B29" s="2" t="inlineStr">
        <is>
          <t>Meta R-CNN</t>
        </is>
      </c>
      <c r="C29" s="2" t="inlineStr">
        <is>
          <t>Yan et al.</t>
        </is>
      </c>
      <c r="D29" s="2" t="inlineStr">
        <is>
          <t>ICCV</t>
        </is>
      </c>
      <c r="E29" s="2" t="inlineStr">
        <is>
          <t>2019-10</t>
        </is>
      </c>
      <c r="F29" s="2" t="inlineStr">
        <is>
          <t>Preprint</t>
        </is>
      </c>
      <c r="G29" s="2" t="n"/>
      <c r="H29" s="2" t="n"/>
      <c r="I29" s="2" t="n"/>
      <c r="J29" s="2" t="n"/>
      <c r="K29" s="2" t="inlineStr">
        <is>
          <t>⚠️ 誤放：Meta R-CNN 是 few-shot OD 方法，使用 PASCAL VOC novel splits（K-shot）而非標準 closed-set 20-class mAP；應移至 PASCAL VOC 2007 15+5 sheet 而非此 sheet</t>
        </is>
      </c>
      <c r="L29" s="9" t="inlineStr">
        <is>
          <t>https://arxiv.org/abs/1909.13032</t>
        </is>
      </c>
      <c r="M29" s="9" t="inlineStr">
        <is>
          <t>https://github.com/yanxp/MetaR-CNN</t>
        </is>
      </c>
    </row>
    <row r="30">
      <c r="A30" s="2" t="inlineStr">
        <is>
          <t>Few-Shot OD</t>
        </is>
      </c>
      <c r="B30" s="2" t="inlineStr">
        <is>
          <t>FSRW</t>
        </is>
      </c>
      <c r="C30" s="2" t="inlineStr">
        <is>
          <t>Kang et al.</t>
        </is>
      </c>
      <c r="D30" s="2" t="inlineStr">
        <is>
          <t>ICCV</t>
        </is>
      </c>
      <c r="E30" s="2" t="inlineStr">
        <is>
          <t>2019-10</t>
        </is>
      </c>
      <c r="F30" s="2" t="inlineStr">
        <is>
          <t>Preprint</t>
        </is>
      </c>
      <c r="G30" s="2" t="n"/>
      <c r="H30" s="2" t="n"/>
      <c r="I30" s="2" t="n"/>
      <c r="J30" s="2" t="n"/>
      <c r="K30" s="2" t="inlineStr">
        <is>
          <t>⚠️ 誤放：FSRW 是 few-shot OD 方法，使用 PASCAL VOC novel splits（K-shot）而非標準 closed-set 20-class mAP；應移至 PASCAL VOC 2007 15+5 sheet 而非此 sheet</t>
        </is>
      </c>
      <c r="L30" s="9" t="inlineStr">
        <is>
          <t>https://arxiv.org/abs/1812.01866</t>
        </is>
      </c>
      <c r="M30" s="9" t="inlineStr">
        <is>
          <t>https://github.com/bingykang/Fewshot_Detection</t>
        </is>
      </c>
    </row>
    <row r="31">
      <c r="A31" s="2" t="inlineStr">
        <is>
          <t>General OD</t>
        </is>
      </c>
      <c r="B31" s="2" t="inlineStr">
        <is>
          <t>CenterNet</t>
        </is>
      </c>
      <c r="C31" s="2" t="inlineStr">
        <is>
          <t>Zhou et al.</t>
        </is>
      </c>
      <c r="D31" s="2" t="inlineStr">
        <is>
          <t>arXiv</t>
        </is>
      </c>
      <c r="E31" s="2" t="inlineStr">
        <is>
          <t>2019-04</t>
        </is>
      </c>
      <c r="F31" s="2" t="inlineStr">
        <is>
          <t>Preprint</t>
        </is>
      </c>
      <c r="G31" s="2" t="n"/>
      <c r="H31" s="2" t="n"/>
      <c r="I31" s="2" t="n"/>
      <c r="J31" s="2" t="n"/>
      <c r="K31" s="2" t="inlineStr">
        <is>
          <t>⚠️ 自動抽取・指標待驗證 (已偵測使用此資料集)：Keypoint-based anchor-free; Paper-reported result</t>
        </is>
      </c>
      <c r="L31" s="9" t="inlineStr">
        <is>
          <t>https://arxiv.org/abs/1904.07850</t>
        </is>
      </c>
      <c r="M31" s="9" t="inlineStr">
        <is>
          <t>https://github.com/xingyizhou/CenterNet</t>
        </is>
      </c>
    </row>
    <row r="32">
      <c r="A32" s="2" t="inlineStr">
        <is>
          <t>General OD</t>
        </is>
      </c>
      <c r="B32" s="2" t="inlineStr">
        <is>
          <t>Faster R-CNN (R50-FPN)</t>
        </is>
      </c>
      <c r="C32" s="2" t="inlineStr">
        <is>
          <t>Ren et al.</t>
        </is>
      </c>
      <c r="D32" s="2" t="inlineStr">
        <is>
          <t>NeurIPS</t>
        </is>
      </c>
      <c r="E32" s="2" t="inlineStr">
        <is>
          <t>2015-06</t>
        </is>
      </c>
      <c r="F32" s="2" t="inlineStr">
        <is>
          <t>Preprint</t>
        </is>
      </c>
      <c r="G32" s="2" t="n">
        <v>73.2</v>
      </c>
      <c r="H32" s="2" t="inlineStr">
        <is>
          <t>mAP@0.5 73.2 (VGG, 07+12)</t>
        </is>
      </c>
      <c r="I32" s="2" t="n"/>
      <c r="J32" s="2" t="n"/>
      <c r="K32" s="2" t="inlineStr">
        <is>
          <t>✅ 已驗證 (Faster R-CNN NeurIPS15 Table 7)：VGG backbone, 07+12 trainval → 73.2% PASCAL VOC 2007 test mAP（注：original paper variant；R50-FPN 是後來 Detectron2 改版）</t>
        </is>
      </c>
      <c r="L32" s="9" t="inlineStr">
        <is>
          <t>https://arxiv.org/abs/1506.01497</t>
        </is>
      </c>
      <c r="M32" s="9" t="inlineStr">
        <is>
          <t>https://github.com/rbgirshick/py-faster-rcnn</t>
        </is>
      </c>
    </row>
    <row r="33">
      <c r="A33" s="2" t="inlineStr">
        <is>
          <t>General OD</t>
        </is>
      </c>
      <c r="B33" s="2" t="inlineStr">
        <is>
          <t>OW-OVD</t>
        </is>
      </c>
      <c r="C33" s="2" t="inlineStr">
        <is>
          <t>—</t>
        </is>
      </c>
      <c r="D33" s="2" t="inlineStr">
        <is>
          <t>CVPR 2025</t>
        </is>
      </c>
      <c r="E33" s="2" t="inlineStr">
        <is>
          <t>2025-06</t>
        </is>
      </c>
      <c r="F33" s="2" t="inlineStr">
        <is>
          <t>Preprint</t>
        </is>
      </c>
      <c r="G33" s="2" t="n"/>
      <c r="H33" s="2" t="n"/>
      <c r="I33" s="2" t="n"/>
      <c r="J33" s="2" t="n"/>
      <c r="K33" s="2" t="inlineStr">
        <is>
          <t>⚠️ 自動抽取・指標待驗證 (已偵測使用此資料集)：CVF Open Access 自動收錄；指標待人工驗證。OW-OVD: Unified Open World and Open Vocabulary Obje</t>
        </is>
      </c>
      <c r="L33" s="9" t="inlineStr">
        <is>
          <t>https://openaccess.thecvf.com/content/CVPR2025/html/Xi_OW-OVD_Unified_Open_World_and_Open_Vocabulary_Object_Detection_CVPR_2025_paper.html</t>
        </is>
      </c>
      <c r="M33" s="9" t="inlineStr">
        <is>
          <t>N/A</t>
        </is>
      </c>
    </row>
    <row r="34">
      <c r="A34" s="2" t="inlineStr">
        <is>
          <t>General OD</t>
        </is>
      </c>
      <c r="B34" s="2" t="inlineStr">
        <is>
          <t>SEEN-DA</t>
        </is>
      </c>
      <c r="C34" s="2" t="inlineStr">
        <is>
          <t>—</t>
        </is>
      </c>
      <c r="D34" s="2" t="inlineStr">
        <is>
          <t>CVPR 2025</t>
        </is>
      </c>
      <c r="E34" s="2" t="inlineStr">
        <is>
          <t>2025-06</t>
        </is>
      </c>
      <c r="F34" s="2" t="inlineStr">
        <is>
          <t>Preprint</t>
        </is>
      </c>
      <c r="G34" s="2" t="n"/>
      <c r="H34" s="2" t="n"/>
      <c r="I34" s="2" t="n"/>
      <c r="J34" s="2" t="n"/>
      <c r="K34" s="2" t="inlineStr">
        <is>
          <t>⚠️ 自動抽取・指標待驗證 (已偵測使用此資料集)：CVF Open Access 自動收錄；指標待人工驗證。SEEN-DA: SEmantic ENtropy guided Domain-aware Atten</t>
        </is>
      </c>
      <c r="L34" s="9" t="inlineStr">
        <is>
          <t>https://openaccess.thecvf.com/content/CVPR2025/html/Li_SEEN-DA_SEmantic_ENtropy_guided_Domain-aware_Attention_for_Domain_Adaptive_Object_CVPR_2025_paper.html</t>
        </is>
      </c>
      <c r="M34" s="9" t="inlineStr">
        <is>
          <t>N/A</t>
        </is>
      </c>
    </row>
    <row r="35">
      <c r="A35" s="2" t="inlineStr">
        <is>
          <t>General OD</t>
        </is>
      </c>
      <c r="B35" s="2" t="inlineStr">
        <is>
          <t>Test-Time Backdoor Detection for Object Detection Models</t>
        </is>
      </c>
      <c r="C35" s="2" t="inlineStr">
        <is>
          <t>—</t>
        </is>
      </c>
      <c r="D35" s="2" t="inlineStr">
        <is>
          <t>CVPR 2025</t>
        </is>
      </c>
      <c r="E35" s="2" t="inlineStr">
        <is>
          <t>2025-06</t>
        </is>
      </c>
      <c r="F35" s="2" t="inlineStr">
        <is>
          <t>Preprint</t>
        </is>
      </c>
      <c r="G35" s="2" t="n"/>
      <c r="H35" s="2" t="n"/>
      <c r="I35" s="2" t="n"/>
      <c r="J35" s="2" t="n"/>
      <c r="K35" s="2" t="inlineStr">
        <is>
          <t>⚠️ 自動抽取・指標待驗證 (已偵測使用此資料集)：CVF Open Access 自動收錄；指標待人工驗證。Test-Time Backdoor Detection for Object Detection M</t>
        </is>
      </c>
      <c r="L35" s="9" t="inlineStr">
        <is>
          <t>https://openaccess.thecvf.com/content/CVPR2025/html/Zhang_Test-Time_Backdoor_Detection_for_Object_Detection_Models_CVPR_2025_paper.html</t>
        </is>
      </c>
      <c r="M35" s="9" t="inlineStr">
        <is>
          <t>N/A</t>
        </is>
      </c>
    </row>
    <row r="36">
      <c r="A36" s="2" t="inlineStr">
        <is>
          <t>General OD</t>
        </is>
      </c>
      <c r="B36" s="2" t="inlineStr">
        <is>
          <t>SET</t>
        </is>
      </c>
      <c r="C36" s="2" t="inlineStr">
        <is>
          <t>—</t>
        </is>
      </c>
      <c r="D36" s="2" t="inlineStr">
        <is>
          <t>CVPR 2025</t>
        </is>
      </c>
      <c r="E36" s="2" t="inlineStr">
        <is>
          <t>2025-06</t>
        </is>
      </c>
      <c r="F36" s="2" t="inlineStr">
        <is>
          <t>Preprint</t>
        </is>
      </c>
      <c r="G36" s="2" t="n"/>
      <c r="H36" s="2" t="n"/>
      <c r="I36" s="2" t="n"/>
      <c r="J36" s="2" t="n"/>
      <c r="K36" s="2" t="inlineStr">
        <is>
          <t>⚠️ 自動抽取・指標待驗證 (已偵測使用此資料集)：CVF Open Access 自動收錄；指標待人工驗證。SET: Spectral Enhancement for Tiny Object Detection</t>
        </is>
      </c>
      <c r="L36" s="9" t="inlineStr">
        <is>
          <t>https://openaccess.thecvf.com/content/CVPR2025/html/Sun_SET_Spectral_Enhancement_for_Tiny_Object_Detection_CVPR_2025_paper.html</t>
        </is>
      </c>
      <c r="M36" s="9" t="inlineStr">
        <is>
          <t>N/A</t>
        </is>
      </c>
    </row>
    <row r="37">
      <c r="A37" s="2" t="inlineStr">
        <is>
          <t>General OD</t>
        </is>
      </c>
      <c r="B37" s="2" t="inlineStr">
        <is>
          <t>Style Evolving along Chain-of-Thought for Unknown-Domain Obj</t>
        </is>
      </c>
      <c r="C37" s="2" t="inlineStr">
        <is>
          <t>—</t>
        </is>
      </c>
      <c r="D37" s="2" t="inlineStr">
        <is>
          <t>CVPR 2025</t>
        </is>
      </c>
      <c r="E37" s="2" t="inlineStr">
        <is>
          <t>2025-06</t>
        </is>
      </c>
      <c r="F37" s="2" t="inlineStr">
        <is>
          <t>Preprint</t>
        </is>
      </c>
      <c r="G37" s="2" t="n"/>
      <c r="H37" s="2" t="n"/>
      <c r="I37" s="2" t="n"/>
      <c r="J37" s="2" t="n"/>
      <c r="K37" s="2" t="inlineStr">
        <is>
          <t>⚠️ 自動抽取・指標待驗證 (已偵測使用此資料集)：CVF Open Access 自動收錄；指標待人工驗證。Style Evolving along Chain-of-Thought for Unknown-D</t>
        </is>
      </c>
      <c r="L37" s="9" t="inlineStr">
        <is>
          <t>https://openaccess.thecvf.com/content/CVPR2025/html/Zhang_Style_Evolving_along_Chain-of-Thought_for_Unknown-Domain_Object_Detection_CVPR_2025_paper.html</t>
        </is>
      </c>
      <c r="M37" s="9" t="inlineStr">
        <is>
          <t>N/A</t>
        </is>
      </c>
    </row>
    <row r="38">
      <c r="A38" s="2" t="inlineStr">
        <is>
          <t>General OD</t>
        </is>
      </c>
      <c r="B38" s="2" t="inlineStr">
        <is>
          <t>Towards RAW Object Detection in Diverse Conditions</t>
        </is>
      </c>
      <c r="C38" s="2" t="inlineStr">
        <is>
          <t>—</t>
        </is>
      </c>
      <c r="D38" s="2" t="inlineStr">
        <is>
          <t>CVPR 2025</t>
        </is>
      </c>
      <c r="E38" s="2" t="inlineStr">
        <is>
          <t>2025-06</t>
        </is>
      </c>
      <c r="F38" s="2" t="inlineStr">
        <is>
          <t>Preprint</t>
        </is>
      </c>
      <c r="G38" s="2" t="n"/>
      <c r="H38" s="2" t="n"/>
      <c r="I38" s="2" t="n"/>
      <c r="J38" s="2" t="n"/>
      <c r="K38" s="2" t="inlineStr">
        <is>
          <t>⚠️ 自動抽取・指標待驗證 (已偵測使用此資料集)：CVF Open Access 自動收錄；指標待人工驗證。Towards RAW Object Detection in Diverse Conditions</t>
        </is>
      </c>
      <c r="L38" s="9" t="inlineStr">
        <is>
          <t>https://openaccess.thecvf.com/content/CVPR2025/html/Li_Towards_RAW_Object_Detection_in_Diverse_Conditions_CVPR_2025_paper.html</t>
        </is>
      </c>
      <c r="M38" s="9" t="inlineStr">
        <is>
          <t>N/A</t>
        </is>
      </c>
    </row>
    <row r="39">
      <c r="A39" s="2" t="inlineStr">
        <is>
          <t>General OD</t>
        </is>
      </c>
      <c r="B39" s="2" t="inlineStr">
        <is>
          <t>Revisiting Generative Replay for Class Incremental Object De</t>
        </is>
      </c>
      <c r="C39" s="2" t="inlineStr">
        <is>
          <t>—</t>
        </is>
      </c>
      <c r="D39" s="2" t="inlineStr">
        <is>
          <t>CVPR 2025</t>
        </is>
      </c>
      <c r="E39" s="2" t="inlineStr">
        <is>
          <t>2025-06</t>
        </is>
      </c>
      <c r="F39" s="2" t="inlineStr">
        <is>
          <t>Preprint</t>
        </is>
      </c>
      <c r="G39" s="2" t="n"/>
      <c r="H39" s="2" t="n"/>
      <c r="I39" s="2" t="n"/>
      <c r="J39" s="2" t="n"/>
      <c r="K39" s="2" t="inlineStr">
        <is>
          <t xml:space="preserve">⚠️ 自動抽取・指標待驗證 (已偵測使用此資料集)：CVF Open Access 自動收錄；指標待人工驗證。Revisiting Generative Replay for Class Incremental </t>
        </is>
      </c>
      <c r="L39" s="9" t="inlineStr">
        <is>
          <t>https://openaccess.thecvf.com/content/CVPR2025/html/Zhang_Revisiting_Generative_Replay_for_Class_Incremental_Object_Detection_CVPR_2025_paper.html</t>
        </is>
      </c>
      <c r="M39" s="9" t="inlineStr">
        <is>
          <t>N/A</t>
        </is>
      </c>
    </row>
    <row r="40">
      <c r="A40" s="2" t="inlineStr">
        <is>
          <t>General OD</t>
        </is>
      </c>
      <c r="B40" s="2" t="inlineStr">
        <is>
          <t>Open-World Objectness Modeling Unifies Novel Object Detectio</t>
        </is>
      </c>
      <c r="C40" s="2" t="inlineStr">
        <is>
          <t>—</t>
        </is>
      </c>
      <c r="D40" s="2" t="inlineStr">
        <is>
          <t>CVPR 2025</t>
        </is>
      </c>
      <c r="E40" s="2" t="inlineStr">
        <is>
          <t>2025-06</t>
        </is>
      </c>
      <c r="F40" s="2" t="inlineStr">
        <is>
          <t>Preprint</t>
        </is>
      </c>
      <c r="G40" s="2" t="n"/>
      <c r="H40" s="2" t="n"/>
      <c r="I40" s="2" t="n"/>
      <c r="J40" s="2" t="n"/>
      <c r="K40" s="2" t="inlineStr">
        <is>
          <t>⚠️ 自動抽取・指標待驗證 (已偵測使用此資料集)：CVF Open Access 自動收錄；指標待人工驗證。Open-World Objectness Modeling Unifies Novel Object</t>
        </is>
      </c>
      <c r="L40" s="9" t="inlineStr">
        <is>
          <t>https://openaccess.thecvf.com/content/CVPR2025/html/Zhang_Open-World_Objectness_Modeling_Unifies_Novel_Object_Detection_CVPR_2025_paper.html</t>
        </is>
      </c>
      <c r="M40" s="9" t="inlineStr">
        <is>
          <t>N/A</t>
        </is>
      </c>
    </row>
    <row r="41">
      <c r="A41" s="2" t="inlineStr">
        <is>
          <t>General OD</t>
        </is>
      </c>
      <c r="B41" s="2" t="inlineStr">
        <is>
          <t>Percept, Memory, and Imagine</t>
        </is>
      </c>
      <c r="C41" s="2" t="inlineStr">
        <is>
          <t>—</t>
        </is>
      </c>
      <c r="D41" s="2" t="inlineStr">
        <is>
          <t>CVPR 2025</t>
        </is>
      </c>
      <c r="E41" s="2" t="inlineStr">
        <is>
          <t>2025-06</t>
        </is>
      </c>
      <c r="F41" s="2" t="inlineStr">
        <is>
          <t>Preprint</t>
        </is>
      </c>
      <c r="G41" s="2" t="n"/>
      <c r="H41" s="2" t="n"/>
      <c r="I41" s="2" t="n"/>
      <c r="J41" s="2" t="n"/>
      <c r="K41" s="2" t="inlineStr">
        <is>
          <t>⚠️ 自動抽取・指標待驗證 (已偵測使用此資料集)：CVF Open Access 自動收錄；指標待人工驗證。Percept, Memory, and Imagine: World Feature Simulat</t>
        </is>
      </c>
      <c r="L41" s="9" t="inlineStr">
        <is>
          <t>https://openaccess.thecvf.com/content/CVPR2025/html/Wu_Percept_Memory_and_Imagine_World_Feature_Simulating_for_Open-Domain_Unknown_CVPR_2025_paper.html</t>
        </is>
      </c>
      <c r="M41" s="9" t="inlineStr">
        <is>
          <t>N/A</t>
        </is>
      </c>
    </row>
    <row r="42">
      <c r="A42" s="2" t="inlineStr">
        <is>
          <t>General OD</t>
        </is>
      </c>
      <c r="B42" s="2" t="inlineStr">
        <is>
          <t>SimLTD</t>
        </is>
      </c>
      <c r="C42" s="2" t="inlineStr">
        <is>
          <t>—</t>
        </is>
      </c>
      <c r="D42" s="2" t="inlineStr">
        <is>
          <t>CVPR 2025</t>
        </is>
      </c>
      <c r="E42" s="2" t="inlineStr">
        <is>
          <t>2025-06</t>
        </is>
      </c>
      <c r="F42" s="2" t="inlineStr">
        <is>
          <t>Preprint</t>
        </is>
      </c>
      <c r="G42" s="2" t="n"/>
      <c r="H42" s="2" t="n"/>
      <c r="I42" s="2" t="n"/>
      <c r="J42" s="2" t="n"/>
      <c r="K42" s="2" t="inlineStr">
        <is>
          <t>⚠️ 自動抽取・指標待驗證 (已偵測使用此資料集)：CVF Open Access 自動收錄；指標待人工驗證。SimLTD: Simple Supervised and Semi-Supervised Long-</t>
        </is>
      </c>
      <c r="L42" s="9" t="inlineStr">
        <is>
          <t>https://openaccess.thecvf.com/content/CVPR2025/html/Tran_SimLTD_Simple_Supervised_and_Semi-Supervised_Long-Tailed_Object_Detection_CVPR_2025_paper.html</t>
        </is>
      </c>
      <c r="M42" s="9" t="inlineStr">
        <is>
          <t>N/A</t>
        </is>
      </c>
    </row>
    <row r="43">
      <c r="A43" s="2" t="inlineStr">
        <is>
          <t>General OD</t>
        </is>
      </c>
      <c r="B43" s="2" t="inlineStr">
        <is>
          <t>Learning Endogenous Attention for Incremental Object Detecti</t>
        </is>
      </c>
      <c r="C43" s="2" t="inlineStr">
        <is>
          <t>—</t>
        </is>
      </c>
      <c r="D43" s="2" t="inlineStr">
        <is>
          <t>CVPR 2025</t>
        </is>
      </c>
      <c r="E43" s="2" t="inlineStr">
        <is>
          <t>2025-06</t>
        </is>
      </c>
      <c r="F43" s="2" t="inlineStr">
        <is>
          <t>Preprint</t>
        </is>
      </c>
      <c r="G43" s="2" t="n"/>
      <c r="H43" s="2" t="n"/>
      <c r="I43" s="2" t="n"/>
      <c r="J43" s="2" t="n"/>
      <c r="K43" s="2" t="inlineStr">
        <is>
          <t>⚠️ 自動抽取・指標待驗證 (已偵測使用此資料集)：CVF Open Access 自動收錄；指標待人工驗證。Learning Endogenous Attention for Incremental Objec</t>
        </is>
      </c>
      <c r="L43" s="9" t="inlineStr">
        <is>
          <t>https://openaccess.thecvf.com/content/CVPR2025/html/Song_Learning_Endogenous_Attention_for_Incremental_Object_Detection_CVPR_2025_paper.html</t>
        </is>
      </c>
      <c r="M43" s="9" t="inlineStr">
        <is>
          <t>N/A</t>
        </is>
      </c>
    </row>
    <row r="44">
      <c r="A44" s="2" t="inlineStr">
        <is>
          <t>General OD</t>
        </is>
      </c>
      <c r="B44" s="2" t="inlineStr">
        <is>
          <t>Bit-Flip Induced Latency Attacks in Object Detection</t>
        </is>
      </c>
      <c r="C44" s="2" t="inlineStr">
        <is>
          <t>—</t>
        </is>
      </c>
      <c r="D44" s="2" t="inlineStr">
        <is>
          <t>WACV 2025</t>
        </is>
      </c>
      <c r="E44" s="2" t="inlineStr">
        <is>
          <t>2025-01</t>
        </is>
      </c>
      <c r="F44" s="2" t="inlineStr">
        <is>
          <t>Preprint</t>
        </is>
      </c>
      <c r="G44" s="2" t="n"/>
      <c r="H44" s="2" t="n"/>
      <c r="I44" s="2" t="n"/>
      <c r="J44" s="2" t="n"/>
      <c r="K44" s="2" t="inlineStr">
        <is>
          <t>⚠️ 自動抽取・指標待驗證 (已偵測使用此資料集)：CVF Open Access 自動收錄；指標待人工驗證。Bit-Flip Induced Latency Attacks in Object Detectio</t>
        </is>
      </c>
      <c r="L44" s="9" t="inlineStr">
        <is>
          <t>https://openaccess.thecvf.com/content/WACV2025/html/Sistla_Bit-Flip_Induced_Latency_Attacks_in_Object_Detection_WACV_2025_paper.html</t>
        </is>
      </c>
      <c r="M44" s="9" t="inlineStr">
        <is>
          <t>N/A</t>
        </is>
      </c>
    </row>
    <row r="45">
      <c r="A45" s="2" t="inlineStr">
        <is>
          <t>Real-Time OD</t>
        </is>
      </c>
      <c r="B45" s="2" t="inlineStr">
        <is>
          <t>ERUP-YOLO</t>
        </is>
      </c>
      <c r="C45" s="2" t="inlineStr">
        <is>
          <t>—</t>
        </is>
      </c>
      <c r="D45" s="2" t="inlineStr">
        <is>
          <t>WACV 2025</t>
        </is>
      </c>
      <c r="E45" s="2" t="inlineStr">
        <is>
          <t>2025-01</t>
        </is>
      </c>
      <c r="F45" s="2" t="inlineStr">
        <is>
          <t>Preprint</t>
        </is>
      </c>
      <c r="G45" s="2" t="n"/>
      <c r="H45" s="2" t="n"/>
      <c r="I45" s="2" t="n"/>
      <c r="J45" s="2" t="n"/>
      <c r="K45" s="2" t="inlineStr">
        <is>
          <t>⚠️ 自動抽取・指標待驗證 (已偵測使用此資料集)：CVF Open Access 自動收錄；指標待人工驗證。ERUP-YOLO: Enhancing Object Detection Robustness fo</t>
        </is>
      </c>
      <c r="L45" s="9" t="inlineStr">
        <is>
          <t>https://openaccess.thecvf.com/content/WACV2025/html/Ogino_ERUP-YOLO_Enhancing_Object_Detection_Robustness_for_Adverse_Weather_Condition_by_WACV_2025_paper.html</t>
        </is>
      </c>
      <c r="M45" s="9" t="inlineStr">
        <is>
          <t>N/A</t>
        </is>
      </c>
    </row>
    <row r="46">
      <c r="A46" s="2" t="inlineStr">
        <is>
          <t>General OD</t>
        </is>
      </c>
      <c r="B46" s="2" t="inlineStr">
        <is>
          <t>Decoupled PROB</t>
        </is>
      </c>
      <c r="C46" s="2" t="inlineStr">
        <is>
          <t>—</t>
        </is>
      </c>
      <c r="D46" s="2" t="inlineStr">
        <is>
          <t>WACV 2025</t>
        </is>
      </c>
      <c r="E46" s="2" t="inlineStr">
        <is>
          <t>2025-01</t>
        </is>
      </c>
      <c r="F46" s="2" t="inlineStr">
        <is>
          <t>Preprint</t>
        </is>
      </c>
      <c r="G46" s="2" t="n"/>
      <c r="H46" s="2" t="n"/>
      <c r="I46" s="2" t="n"/>
      <c r="J46" s="2" t="n"/>
      <c r="K46" s="2" t="inlineStr">
        <is>
          <t>⚠️ 自動抽取・指標待驗證 (已偵測使用此資料集)：CVF Open Access 自動收錄；指標待人工驗證。Decoupled PROB: Decoupled Query Initialization Task</t>
        </is>
      </c>
      <c r="L46" s="9" t="inlineStr">
        <is>
          <t>https://openaccess.thecvf.com/content/WACV2025/html/Inoue_Decoupled_PROB_Decoupled_Query_Initialization_Tasks_and_Objectness-Class_Learning_for_WACV_2025_paper.html</t>
        </is>
      </c>
      <c r="M46" s="9" t="inlineStr">
        <is>
          <t>N/A</t>
        </is>
      </c>
    </row>
    <row r="47">
      <c r="A47" s="2" t="inlineStr">
        <is>
          <t>Few-Shot OD</t>
        </is>
      </c>
      <c r="B47" s="2" t="inlineStr">
        <is>
          <t>Cross-Domain Multi-Modal Few-Shot Object Detection via Rich</t>
        </is>
      </c>
      <c r="C47" s="2" t="inlineStr">
        <is>
          <t>—</t>
        </is>
      </c>
      <c r="D47" s="2" t="inlineStr">
        <is>
          <t>WACV 2025</t>
        </is>
      </c>
      <c r="E47" s="2" t="inlineStr">
        <is>
          <t>2025-01</t>
        </is>
      </c>
      <c r="F47" s="2" t="inlineStr">
        <is>
          <t>Preprint</t>
        </is>
      </c>
      <c r="G47" s="2" t="n"/>
      <c r="H47" s="2" t="n"/>
      <c r="I47" s="2" t="n"/>
      <c r="J47" s="2" t="n"/>
      <c r="K47" s="2" t="inlineStr">
        <is>
          <t xml:space="preserve">⚠️ 自動抽取・指標待驗證 (已偵測使用此資料集)：CVF Open Access 自動收錄；指標待人工驗證。Cross-Domain Multi-Modal Few-Shot Object Detection </t>
        </is>
      </c>
      <c r="L47" s="9" t="inlineStr">
        <is>
          <t>https://openaccess.thecvf.com/content/WACV2025/html/Shangguan_Cross-Domain_Multi-Modal_Few-Shot_Object_Detection_via_Rich_Text_WACV_2025_paper.html</t>
        </is>
      </c>
      <c r="M47" s="9" t="inlineStr">
        <is>
          <t>N/A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Iter-Deformable-DETR</t>
        </is>
      </c>
      <c r="C2" s="2" t="inlineStr">
        <is>
          <t>Zheng et al.</t>
        </is>
      </c>
      <c r="D2" s="2" t="inlineStr">
        <is>
          <t>ECCV</t>
        </is>
      </c>
      <c r="E2" s="2" t="inlineStr">
        <is>
          <t>2022-08</t>
        </is>
      </c>
      <c r="F2" s="2" t="inlineStr">
        <is>
          <t>Published</t>
        </is>
      </c>
      <c r="G2" s="2" t="inlineStr">
        <is>
          <t>94.1</t>
        </is>
      </c>
      <c r="H2" s="2" t="inlineStr">
        <is>
          <t>AP 94.1 / MR 41.5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Crowd detection SOTA-tier</t>
        </is>
      </c>
      <c r="L2" s="9" t="inlineStr">
        <is>
          <t>https://arxiv.org/abs/2207.13165</t>
        </is>
      </c>
      <c r="M2" s="9" t="inlineStr">
        <is>
          <t>https://github.com/anlinzheng/iter-deformable-detr</t>
        </is>
      </c>
    </row>
    <row r="3" ht="48" customHeight="1">
      <c r="A3" s="2" t="inlineStr">
        <is>
          <t>General OD</t>
        </is>
      </c>
      <c r="B3" s="2" t="inlineStr">
        <is>
          <t>PEDR</t>
        </is>
      </c>
      <c r="C3" s="2" t="inlineStr">
        <is>
          <t>Lin et al.</t>
        </is>
      </c>
      <c r="D3" s="2" t="inlineStr">
        <is>
          <t>CVPR</t>
        </is>
      </c>
      <c r="E3" s="2" t="inlineStr">
        <is>
          <t>2021-06</t>
        </is>
      </c>
      <c r="F3" s="2" t="inlineStr">
        <is>
          <t>Published</t>
        </is>
      </c>
      <c r="G3" s="2" t="inlineStr">
        <is>
          <t>91.6</t>
        </is>
      </c>
      <c r="H3" s="2" t="inlineStr">
        <is>
          <t>AP 91.6 / MR 43.7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Anchor-free for crowds</t>
        </is>
      </c>
      <c r="L3" s="9" t="inlineStr">
        <is>
          <t>https://arxiv.org/abs/2012.06785</t>
        </is>
      </c>
      <c r="M3" s="9" t="inlineStr">
        <is>
          <t>https://github.com/Hatins/DEYOLO</t>
        </is>
      </c>
    </row>
    <row r="4" ht="48" customHeight="1">
      <c r="A4" s="2" t="inlineStr">
        <is>
          <t>General OD</t>
        </is>
      </c>
      <c r="B4" s="2" t="inlineStr">
        <is>
          <t>DDETR (CrowdHuman ft)</t>
        </is>
      </c>
      <c r="C4" s="2" t="inlineStr">
        <is>
          <t>Zhu et al.</t>
        </is>
      </c>
      <c r="D4" s="2" t="inlineStr">
        <is>
          <t>Reproduction</t>
        </is>
      </c>
      <c r="E4" s="2" t="inlineStr">
        <is>
          <t>2022-12</t>
        </is>
      </c>
      <c r="F4" s="2" t="inlineStr">
        <is>
          <t>Reproduced</t>
        </is>
      </c>
      <c r="G4" s="2" t="inlineStr">
        <is>
          <t>91.5</t>
        </is>
      </c>
      <c r="H4" s="2" t="inlineStr">
        <is>
          <t>AP 91.5</t>
        </is>
      </c>
      <c r="I4" s="2" t="inlineStr">
        <is>
          <t>N/A</t>
        </is>
      </c>
      <c r="J4" s="2" t="inlineStr">
        <is>
          <t>40M</t>
        </is>
      </c>
      <c r="K4" s="2" t="inlineStr">
        <is>
          <t>Third-party reproduction</t>
        </is>
      </c>
      <c r="L4" s="9" t="inlineStr">
        <is>
          <t>https://arxiv.org/abs/2010.04159</t>
        </is>
      </c>
      <c r="M4" s="9" t="inlineStr">
        <is>
          <t>https://github.com/fundamentalvision/Deformable-DETR</t>
        </is>
      </c>
    </row>
    <row r="5" ht="48" customHeight="1">
      <c r="A5" s="2" t="inlineStr">
        <is>
          <t>General OD</t>
        </is>
      </c>
      <c r="B5" s="2" t="inlineStr">
        <is>
          <t>Sparse R-CNN</t>
        </is>
      </c>
      <c r="C5" s="2" t="inlineStr">
        <is>
          <t>Sun et al.</t>
        </is>
      </c>
      <c r="D5" s="2" t="inlineStr">
        <is>
          <t>CVPR</t>
        </is>
      </c>
      <c r="E5" s="2" t="inlineStr">
        <is>
          <t>2021-01</t>
        </is>
      </c>
      <c r="F5" s="2" t="inlineStr">
        <is>
          <t>Published</t>
        </is>
      </c>
      <c r="G5" s="2" t="inlineStr">
        <is>
          <t>91.3</t>
        </is>
      </c>
      <c r="H5" s="2" t="inlineStr">
        <is>
          <t>AP 91.3</t>
        </is>
      </c>
      <c r="I5" s="2" t="inlineStr">
        <is>
          <t>N/A</t>
        </is>
      </c>
      <c r="J5" s="2" t="inlineStr">
        <is>
          <t>106M</t>
        </is>
      </c>
      <c r="K5" s="2" t="inlineStr">
        <is>
          <t>Reproduced on CrowdHuman</t>
        </is>
      </c>
      <c r="L5" s="9" t="inlineStr">
        <is>
          <t>https://arxiv.org/abs/2011.12450</t>
        </is>
      </c>
      <c r="M5" s="9" t="inlineStr">
        <is>
          <t>https://github.com/PeizeSun/SparseR-CNN</t>
        </is>
      </c>
    </row>
    <row r="6" ht="48" customHeight="1">
      <c r="A6" s="2" t="inlineStr">
        <is>
          <t>General OD</t>
        </is>
      </c>
      <c r="B6" s="2" t="inlineStr">
        <is>
          <t>MIP</t>
        </is>
      </c>
      <c r="C6" s="2" t="inlineStr">
        <is>
          <t>Chu et al.</t>
        </is>
      </c>
      <c r="D6" s="2" t="inlineStr">
        <is>
          <t>CVPR</t>
        </is>
      </c>
      <c r="E6" s="2" t="inlineStr">
        <is>
          <t>2020-06</t>
        </is>
      </c>
      <c r="F6" s="2" t="inlineStr">
        <is>
          <t>Published</t>
        </is>
      </c>
      <c r="G6" s="2" t="inlineStr">
        <is>
          <t>90.7</t>
        </is>
      </c>
      <c r="H6" s="2" t="inlineStr">
        <is>
          <t>AP 90.7 / MR 41.4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Multiple instance pred</t>
        </is>
      </c>
      <c r="L6" s="9" t="inlineStr">
        <is>
          <t>https://arxiv.org/abs/2003.07847</t>
        </is>
      </c>
      <c r="M6" s="9" t="inlineStr">
        <is>
          <t>https://github.com/Megvii-BaseDetection/CrowdDetection</t>
        </is>
      </c>
    </row>
    <row r="7" ht="48" customHeight="1">
      <c r="A7" s="2" t="inlineStr">
        <is>
          <t>General OD</t>
        </is>
      </c>
      <c r="B7" s="2" t="inlineStr">
        <is>
          <t>CrowdDet</t>
        </is>
      </c>
      <c r="C7" s="2" t="inlineStr">
        <is>
          <t>Chu et al.</t>
        </is>
      </c>
      <c r="D7" s="2" t="inlineStr">
        <is>
          <t>CVPR</t>
        </is>
      </c>
      <c r="E7" s="2" t="inlineStr">
        <is>
          <t>2020-06</t>
        </is>
      </c>
      <c r="F7" s="2" t="inlineStr">
        <is>
          <t>Published</t>
        </is>
      </c>
      <c r="G7" s="2" t="inlineStr">
        <is>
          <t>90.7</t>
        </is>
      </c>
      <c r="H7" s="2" t="inlineStr">
        <is>
          <t>AP 90.7 / MR 41.4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Crowd-specific</t>
        </is>
      </c>
      <c r="L7" s="9" t="inlineStr">
        <is>
          <t>https://arxiv.org/abs/2003.07847</t>
        </is>
      </c>
      <c r="M7" s="9" t="inlineStr">
        <is>
          <t>https://github.com/Purkialo/CrowdDet</t>
        </is>
      </c>
    </row>
    <row r="8" ht="48" customHeight="1">
      <c r="A8" s="3" t="inlineStr">
        <is>
          <t>Real-Time OD</t>
        </is>
      </c>
      <c r="B8" s="3" t="inlineStr">
        <is>
          <t>YOLOv7</t>
        </is>
      </c>
      <c r="C8" s="3" t="inlineStr">
        <is>
          <t>Wang et al.</t>
        </is>
      </c>
      <c r="D8" s="3" t="inlineStr">
        <is>
          <t>CVPR</t>
        </is>
      </c>
      <c r="E8" s="3" t="inlineStr">
        <is>
          <t>2023-06</t>
        </is>
      </c>
      <c r="F8" s="3" t="inlineStr">
        <is>
          <t>Reproduced</t>
        </is>
      </c>
      <c r="G8" s="3" t="inlineStr">
        <is>
          <t>89.5</t>
        </is>
      </c>
      <c r="H8" s="3" t="inlineStr">
        <is>
          <t>AP 89.5</t>
        </is>
      </c>
      <c r="I8" s="3" t="inlineStr">
        <is>
          <t>114</t>
        </is>
      </c>
      <c r="J8" s="3" t="inlineStr">
        <is>
          <t>71.3M</t>
        </is>
      </c>
      <c r="K8" s="3" t="inlineStr">
        <is>
          <t>Third-party reproduction</t>
        </is>
      </c>
      <c r="L8" s="6" t="inlineStr">
        <is>
          <t>https://arxiv.org/abs/2207.02696</t>
        </is>
      </c>
      <c r="M8" s="6" t="inlineStr">
        <is>
          <t>https://github.com/WongKinYiu/yolov7</t>
        </is>
      </c>
    </row>
    <row r="9" ht="48" customHeight="1">
      <c r="A9" s="2" t="inlineStr">
        <is>
          <t>General OD</t>
        </is>
      </c>
      <c r="B9" s="2" t="inlineStr">
        <is>
          <t>PBM</t>
        </is>
      </c>
      <c r="C9" s="2" t="inlineStr">
        <is>
          <t>Huang et al.</t>
        </is>
      </c>
      <c r="D9" s="2" t="inlineStr">
        <is>
          <t>CVPR</t>
        </is>
      </c>
      <c r="E9" s="2" t="inlineStr">
        <is>
          <t>2020-06</t>
        </is>
      </c>
      <c r="F9" s="2" t="inlineStr">
        <is>
          <t>Published</t>
        </is>
      </c>
      <c r="G9" s="2" t="inlineStr">
        <is>
          <t>89.3</t>
        </is>
      </c>
      <c r="H9" s="2" t="inlineStr">
        <is>
          <t>AP 89.3 / MR 43.4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Paired-box model</t>
        </is>
      </c>
      <c r="L9" s="9" t="inlineStr">
        <is>
          <t>https://arxiv.org/abs/2003.07847</t>
        </is>
      </c>
      <c r="M9" s="9" t="inlineStr">
        <is>
          <t>https://github.com/Purkialo/CrowdDet</t>
        </is>
      </c>
    </row>
    <row r="10" ht="48" customHeight="1">
      <c r="A10" s="2" t="inlineStr">
        <is>
          <t>General OD</t>
        </is>
      </c>
      <c r="B10" s="2" t="inlineStr">
        <is>
          <t>Faster R-CNN (FPN)</t>
        </is>
      </c>
      <c r="C10" s="2" t="inlineStr">
        <is>
          <t>Baseline</t>
        </is>
      </c>
      <c r="D10" s="2" t="inlineStr">
        <is>
          <t>NeurIPS</t>
        </is>
      </c>
      <c r="E10" s="2" t="inlineStr">
        <is>
          <t>2015-12</t>
        </is>
      </c>
      <c r="F10" s="2" t="inlineStr">
        <is>
          <t>Published</t>
        </is>
      </c>
      <c r="G10" s="2" t="inlineStr">
        <is>
          <t>85.0</t>
        </is>
      </c>
      <c r="H10" s="2" t="inlineStr">
        <is>
          <t>AP 85.0 / MR 50.4</t>
        </is>
      </c>
      <c r="I10" s="2" t="inlineStr">
        <is>
          <t>N/A</t>
        </is>
      </c>
      <c r="J10" s="2" t="inlineStr">
        <is>
          <t>42M</t>
        </is>
      </c>
      <c r="K10" s="2" t="inlineStr">
        <is>
          <t>Paper-reported baseline</t>
        </is>
      </c>
      <c r="L10" s="9" t="inlineStr">
        <is>
          <t>https://arxiv.org/abs/1805.00123</t>
        </is>
      </c>
      <c r="M10" s="9" t="inlineStr">
        <is>
          <t>https://github.com/Purkialo/CrowdDet</t>
        </is>
      </c>
    </row>
    <row r="11" ht="48" customHeight="1">
      <c r="A11" s="2" t="inlineStr">
        <is>
          <t>General OD</t>
        </is>
      </c>
      <c r="B11" s="2" t="inlineStr">
        <is>
          <t>EOD</t>
        </is>
      </c>
      <c r="C11" s="2" t="inlineStr">
        <is>
          <t>Various</t>
        </is>
      </c>
      <c r="D11" s="2" t="inlineStr">
        <is>
          <t>arXiv</t>
        </is>
      </c>
      <c r="E11" s="2" t="inlineStr">
        <is>
          <t>2023-09</t>
        </is>
      </c>
      <c r="F11" s="2" t="inlineStr">
        <is>
          <t>Preprint</t>
        </is>
      </c>
      <c r="G11" s="2" t="inlineStr">
        <is>
          <t>To verify</t>
        </is>
      </c>
      <c r="H11" s="2" t="inlineStr">
        <is>
          <t>To verify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Recent crowd OD; To verify</t>
        </is>
      </c>
      <c r="L11" s="9" t="inlineStr">
        <is>
          <t>https://arxiv.org/abs/2309.00000</t>
        </is>
      </c>
      <c r="M11" s="9" t="inlineStr">
        <is>
          <t>https://github.com/</t>
        </is>
      </c>
    </row>
    <row r="12" ht="48" customHeight="1">
      <c r="A12" s="3" t="inlineStr">
        <is>
          <t>Real-Time OD</t>
        </is>
      </c>
      <c r="B12" s="3" t="inlineStr">
        <is>
          <t>YOLOv8x</t>
        </is>
      </c>
      <c r="C12" s="3" t="inlineStr">
        <is>
          <t>Ultralytics</t>
        </is>
      </c>
      <c r="D12" s="3" t="inlineStr">
        <is>
          <t>GitHub</t>
        </is>
      </c>
      <c r="E12" s="3" t="inlineStr">
        <is>
          <t>2023-01</t>
        </is>
      </c>
      <c r="F12" s="3" t="inlineStr">
        <is>
          <t>Reproduced</t>
        </is>
      </c>
      <c r="G12" s="3" t="inlineStr">
        <is>
          <t>To verify</t>
        </is>
      </c>
      <c r="H12" s="3" t="inlineStr">
        <is>
          <t>To verify</t>
        </is>
      </c>
      <c r="I12" s="3" t="inlineStr">
        <is>
          <t>99</t>
        </is>
      </c>
      <c r="J12" s="3" t="inlineStr">
        <is>
          <t>68.2M</t>
        </is>
      </c>
      <c r="K12" s="3" t="inlineStr">
        <is>
          <t>Third-party reproduction; To verify</t>
        </is>
      </c>
      <c r="L12" s="6" t="inlineStr">
        <is>
          <t>https://docs.ultralytics.com/models/yolov8/</t>
        </is>
      </c>
      <c r="M12" s="6" t="inlineStr">
        <is>
          <t>https://github.com/ultralytics/ultralytics</t>
        </is>
      </c>
    </row>
    <row r="13">
      <c r="A13" s="3" t="inlineStr">
        <is>
          <t>Real-Time OD</t>
        </is>
      </c>
      <c r="B13" s="3" t="inlineStr">
        <is>
          <t>DEIM-D-FINE-X</t>
        </is>
      </c>
      <c r="C13" s="3" t="inlineStr">
        <is>
          <t>Huang et al.</t>
        </is>
      </c>
      <c r="D13" s="3" t="inlineStr">
        <is>
          <t>CVPR</t>
        </is>
      </c>
      <c r="E13" s="3" t="inlineStr">
        <is>
          <t>2025-06</t>
        </is>
      </c>
      <c r="F13" s="3" t="inlineStr">
        <is>
          <t>Preprint</t>
        </is>
      </c>
      <c r="G13" s="3" t="n"/>
      <c r="H13" s="3" t="n"/>
      <c r="I13" s="3" t="n"/>
      <c r="J13" s="3" t="n"/>
      <c r="K13" s="3" t="inlineStr">
        <is>
          <t>⚠️ DEIM paper Table 3 CrowdHuman 只測 D-FINE-L (57.5 AP w/ DEIM)，未直接報告 X variant；需第三方 reproduction 驗證</t>
        </is>
      </c>
      <c r="L13" s="6" t="inlineStr">
        <is>
          <t>https://arxiv.org/abs/2412.04234</t>
        </is>
      </c>
      <c r="M13" s="6" t="inlineStr">
        <is>
          <t>https://github.com/Intellindust-AI-Lab/DEIM</t>
        </is>
      </c>
    </row>
    <row r="14">
      <c r="A14" s="3" t="inlineStr">
        <is>
          <t>Real-Time OD</t>
        </is>
      </c>
      <c r="B14" s="3" t="inlineStr">
        <is>
          <t>DEIM-D-FINE-L</t>
        </is>
      </c>
      <c r="C14" s="3" t="inlineStr">
        <is>
          <t>Huang et al.</t>
        </is>
      </c>
      <c r="D14" s="3" t="inlineStr">
        <is>
          <t>CVPR</t>
        </is>
      </c>
      <c r="E14" s="3" t="inlineStr">
        <is>
          <t>2025-06</t>
        </is>
      </c>
      <c r="F14" s="3" t="inlineStr">
        <is>
          <t>Preprint</t>
        </is>
      </c>
      <c r="G14" s="3" t="n">
        <v>57.5</v>
      </c>
      <c r="H14" s="3" t="inlineStr">
        <is>
          <t>AP 57.5 (D-FINE-L w/ DEIM, 120 epochs)</t>
        </is>
      </c>
      <c r="I14" s="3" t="n"/>
      <c r="J14" s="3" t="n"/>
      <c r="K14" s="3" t="inlineStr">
        <is>
          <t>✅ 已驗證 (DEIM CVPR25 Table 3)：D-FINE-L w/ DEIM 57.5 AP on CrowdHuman (120 epochs)</t>
        </is>
      </c>
      <c r="L14" s="6" t="inlineStr">
        <is>
          <t>https://arxiv.org/abs/2412.04234</t>
        </is>
      </c>
      <c r="M14" s="6" t="inlineStr">
        <is>
          <t>https://github.com/Intellindust-AI-Lab/DEIM</t>
        </is>
      </c>
    </row>
    <row r="15">
      <c r="A15" s="3" t="inlineStr">
        <is>
          <t>General OD</t>
        </is>
      </c>
      <c r="B15" s="3" t="inlineStr">
        <is>
          <t>DINO-X</t>
        </is>
      </c>
      <c r="C15" s="3" t="inlineStr">
        <is>
          <t>IDEA Research</t>
        </is>
      </c>
      <c r="D15" s="3" t="inlineStr">
        <is>
          <t>arXiv</t>
        </is>
      </c>
      <c r="E15" s="3" t="inlineStr">
        <is>
          <t>2024-11</t>
        </is>
      </c>
      <c r="F15" s="3" t="inlineStr">
        <is>
          <t>Preprint</t>
        </is>
      </c>
      <c r="G15" s="3" t="n"/>
      <c r="H15" s="3" t="n"/>
      <c r="I15" s="3" t="n"/>
      <c r="J15" s="3" t="n"/>
      <c r="K15" s="3" t="inlineStr">
        <is>
          <t>⚠️ 自動抽取・指標待驗證 (已偵測使用此資料集)：Successor to Grounding DINO 1.5; To verify on COCO test-dev</t>
        </is>
      </c>
      <c r="L15" s="6" t="inlineStr">
        <is>
          <t>https://arxiv.org/abs/2411.14347</t>
        </is>
      </c>
      <c r="M15" s="6" t="inlineStr">
        <is>
          <t>https://github.com/IDEA-Research/DINO-X-API</t>
        </is>
      </c>
    </row>
    <row r="16">
      <c r="A16" s="3" t="inlineStr">
        <is>
          <t>General OD</t>
        </is>
      </c>
      <c r="B16" s="3" t="inlineStr">
        <is>
          <t>Grounding DINO 1.5 Pro</t>
        </is>
      </c>
      <c r="C16" s="3" t="inlineStr">
        <is>
          <t>Ren et al.</t>
        </is>
      </c>
      <c r="D16" s="3" t="inlineStr">
        <is>
          <t>arXiv</t>
        </is>
      </c>
      <c r="E16" s="3" t="inlineStr">
        <is>
          <t>2024-05</t>
        </is>
      </c>
      <c r="F16" s="3" t="inlineStr">
        <is>
          <t>Preprint</t>
        </is>
      </c>
      <c r="G16" s="3" t="n"/>
      <c r="H16" s="3" t="n"/>
      <c r="I16" s="3" t="n"/>
      <c r="J16" s="3" t="n"/>
      <c r="K16" s="3" t="inlineStr">
        <is>
          <t>⚠️ 自動抽取・指標待驗證 (已偵測使用此資料集)：Open-set; SOTA on COCO zero-shot, LVIS, ODinW</t>
        </is>
      </c>
      <c r="L16" s="6" t="inlineStr">
        <is>
          <t>https://arxiv.org/abs/2405.10300</t>
        </is>
      </c>
      <c r="M16" s="6" t="inlineStr">
        <is>
          <t>https://github.com/IDEA-Research/Grounding-DINO-1.5-API</t>
        </is>
      </c>
    </row>
    <row r="17">
      <c r="A17" s="3" t="inlineStr">
        <is>
          <t>General OD</t>
        </is>
      </c>
      <c r="B17" s="3" t="inlineStr">
        <is>
          <t>InternImage-H</t>
        </is>
      </c>
      <c r="C17" s="3" t="inlineStr">
        <is>
          <t>Wang et al.</t>
        </is>
      </c>
      <c r="D17" s="3" t="inlineStr">
        <is>
          <t>CVPR</t>
        </is>
      </c>
      <c r="E17" s="3" t="inlineStr">
        <is>
          <t>2023-06</t>
        </is>
      </c>
      <c r="F17" s="3" t="inlineStr">
        <is>
          <t>Preprint</t>
        </is>
      </c>
      <c r="G17" s="3" t="n">
        <v>97.2</v>
      </c>
      <c r="H17" s="3" t="inlineStr">
        <is>
          <t>AP 97.2 (Table 10 box AP)</t>
        </is>
      </c>
      <c r="I17" s="3" t="n"/>
      <c r="J17" s="3" t="n"/>
      <c r="K17" s="3" t="inlineStr">
        <is>
          <t>✅ 已驗證 (InternImage CVPR23 Table 10)：InternImage-H 97.2 AP CrowdHuman (+3.1 over previous best PP-YOLOE 94.1)</t>
        </is>
      </c>
      <c r="L17" s="6" t="inlineStr">
        <is>
          <t>https://arxiv.org/abs/2211.05778</t>
        </is>
      </c>
      <c r="M17" s="6" t="inlineStr">
        <is>
          <t>https://github.com/OpenGVLab/InternImage</t>
        </is>
      </c>
    </row>
    <row r="18">
      <c r="A18" s="3" t="inlineStr">
        <is>
          <t>General OD</t>
        </is>
      </c>
      <c r="B18" s="3" t="inlineStr">
        <is>
          <t>Sparse R-CNN (R101)</t>
        </is>
      </c>
      <c r="C18" s="3" t="inlineStr">
        <is>
          <t>Sun et al.</t>
        </is>
      </c>
      <c r="D18" s="3" t="inlineStr">
        <is>
          <t>CVPR</t>
        </is>
      </c>
      <c r="E18" s="3" t="inlineStr">
        <is>
          <t>2021-01</t>
        </is>
      </c>
      <c r="F18" s="3" t="inlineStr">
        <is>
          <t>Preprint</t>
        </is>
      </c>
      <c r="G18" s="3" t="n"/>
      <c r="H18" s="3" t="n"/>
      <c r="I18" s="3" t="n"/>
      <c r="J18" s="3" t="n"/>
      <c r="K18" s="3" t="inlineStr">
        <is>
          <t>⚠️ 自動抽取・指標待驗證 (已偵測使用此資料集)：End-to-end set prediction; Paper-reported result</t>
        </is>
      </c>
      <c r="L18" s="6" t="inlineStr">
        <is>
          <t>https://arxiv.org/abs/2011.12450</t>
        </is>
      </c>
      <c r="M18" s="6" t="inlineStr">
        <is>
          <t>https://github.com/PeizeSun/SparseR-CNN</t>
        </is>
      </c>
    </row>
    <row r="19">
      <c r="A19" s="3" t="inlineStr">
        <is>
          <t>General OD</t>
        </is>
      </c>
      <c r="B19" s="3" t="inlineStr">
        <is>
          <t>DEIM</t>
        </is>
      </c>
      <c r="C19" s="3" t="inlineStr">
        <is>
          <t>—</t>
        </is>
      </c>
      <c r="D19" s="3" t="inlineStr">
        <is>
          <t>CVPR 2025</t>
        </is>
      </c>
      <c r="E19" s="3" t="inlineStr">
        <is>
          <t>2025-06</t>
        </is>
      </c>
      <c r="F19" s="3" t="inlineStr">
        <is>
          <t>Preprint</t>
        </is>
      </c>
      <c r="G19" s="3" t="n">
        <v>57.5</v>
      </c>
      <c r="H19" s="3" t="inlineStr">
        <is>
          <t>AP 57.5 (DEIM-D-FINE-L)</t>
        </is>
      </c>
      <c r="I19" s="3" t="n"/>
      <c r="J19" s="3" t="n"/>
      <c r="K19" s="3" t="inlineStr">
        <is>
          <t>✅ 已驗證 (DEIM CVPR25 Table 3)：DEIM-D-FINE-L headline 57.5 AP CrowdHuman</t>
        </is>
      </c>
      <c r="L19" s="6" t="inlineStr">
        <is>
          <t>https://openaccess.thecvf.com/content/CVPR2025/html/Huang_DEIM_DETR_with_Improved_Matching_for_Fast_Convergence_CVPR_2025_paper.html</t>
        </is>
      </c>
      <c r="M19" s="6" t="inlineStr">
        <is>
          <t>N/A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YOLOv8x</t>
        </is>
      </c>
      <c r="C2" s="3" t="inlineStr">
        <is>
          <t>Ju et al. eval</t>
        </is>
      </c>
      <c r="D2" s="3" t="inlineStr">
        <is>
          <t>Sci. Reports</t>
        </is>
      </c>
      <c r="E2" s="3" t="inlineStr">
        <is>
          <t>2023-08</t>
        </is>
      </c>
      <c r="F2" s="3" t="inlineStr">
        <is>
          <t>Published</t>
        </is>
      </c>
      <c r="G2" s="3" t="inlineStr">
        <is>
          <t>To verify</t>
        </is>
      </c>
      <c r="H2" s="3" t="inlineStr">
        <is>
          <t>mAP@50 ≈0.62 (To verify)</t>
        </is>
      </c>
      <c r="I2" s="3" t="inlineStr">
        <is>
          <t>T4 ≈99</t>
        </is>
      </c>
      <c r="J2" s="3" t="inlineStr">
        <is>
          <t>68.2M</t>
        </is>
      </c>
      <c r="K2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2" s="6" t="inlineStr">
        <is>
          <t>https://www.nature.com/articles/s41597-023-02432-4</t>
        </is>
      </c>
      <c r="M2" s="6" t="inlineStr">
        <is>
          <t>https://github.com/Yang-Z-G/GRAZPEDWRI-DX</t>
        </is>
      </c>
    </row>
    <row r="3" ht="48" customHeight="1">
      <c r="A3" s="3" t="inlineStr">
        <is>
          <t>Real-Time OD</t>
        </is>
      </c>
      <c r="B3" s="3" t="inlineStr">
        <is>
          <t>YOLOv7</t>
        </is>
      </c>
      <c r="C3" s="3" t="inlineStr">
        <is>
          <t>Eval on GRAZPEDWRI</t>
        </is>
      </c>
      <c r="D3" s="3" t="inlineStr">
        <is>
          <t>Various</t>
        </is>
      </c>
      <c r="E3" s="3" t="inlineStr">
        <is>
          <t>2023-09</t>
        </is>
      </c>
      <c r="F3" s="3" t="inlineStr">
        <is>
          <t>Reproduced</t>
        </is>
      </c>
      <c r="G3" s="3" t="inlineStr">
        <is>
          <t>To verify</t>
        </is>
      </c>
      <c r="H3" s="3" t="inlineStr">
        <is>
          <t>To verify</t>
        </is>
      </c>
      <c r="I3" s="3" t="inlineStr">
        <is>
          <t>114</t>
        </is>
      </c>
      <c r="J3" s="3" t="inlineStr">
        <is>
          <t>71.3M</t>
        </is>
      </c>
      <c r="K3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3" s="6" t="inlineStr">
        <is>
          <t>https://arxiv.org/abs/2207.02696</t>
        </is>
      </c>
      <c r="M3" s="6" t="inlineStr">
        <is>
          <t>https://github.com/WongKinYiu/yolov7</t>
        </is>
      </c>
    </row>
    <row r="4" ht="48" customHeight="1">
      <c r="A4" s="3" t="inlineStr">
        <is>
          <t>Real-Time OD</t>
        </is>
      </c>
      <c r="B4" s="3" t="inlineStr">
        <is>
          <t>YOLOv9</t>
        </is>
      </c>
      <c r="C4" s="3" t="inlineStr">
        <is>
          <t>Eval on GRAZPEDWRI</t>
        </is>
      </c>
      <c r="D4" s="3" t="inlineStr">
        <is>
          <t>Various</t>
        </is>
      </c>
      <c r="E4" s="3" t="inlineStr">
        <is>
          <t>2024-06</t>
        </is>
      </c>
      <c r="F4" s="3" t="inlineStr">
        <is>
          <t>Reproduced</t>
        </is>
      </c>
      <c r="G4" s="3" t="inlineStr">
        <is>
          <t>To verify</t>
        </is>
      </c>
      <c r="H4" s="3" t="inlineStr">
        <is>
          <t>To verify</t>
        </is>
      </c>
      <c r="I4" s="3" t="inlineStr">
        <is>
          <t>57</t>
        </is>
      </c>
      <c r="J4" s="3" t="inlineStr">
        <is>
          <t>57.3M</t>
        </is>
      </c>
      <c r="K4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4" s="6" t="inlineStr">
        <is>
          <t>https://arxiv.org/abs/2402.13616</t>
        </is>
      </c>
      <c r="M4" s="6" t="inlineStr">
        <is>
          <t>https://github.com/WongKinYiu/yolov9</t>
        </is>
      </c>
    </row>
    <row r="5" ht="48" customHeight="1">
      <c r="A5" s="3" t="inlineStr">
        <is>
          <t>Real-Time OD</t>
        </is>
      </c>
      <c r="B5" s="3" t="inlineStr">
        <is>
          <t>YOLO11</t>
        </is>
      </c>
      <c r="C5" s="3" t="inlineStr">
        <is>
          <t>Various</t>
        </is>
      </c>
      <c r="D5" s="3" t="inlineStr">
        <is>
          <t>Official Docs</t>
        </is>
      </c>
      <c r="E5" s="3" t="inlineStr">
        <is>
          <t>2024-12</t>
        </is>
      </c>
      <c r="F5" s="3" t="inlineStr">
        <is>
          <t>Reproduced</t>
        </is>
      </c>
      <c r="G5" s="3" t="inlineStr">
        <is>
          <t>To verify</t>
        </is>
      </c>
      <c r="H5" s="3" t="inlineStr">
        <is>
          <t>To verify</t>
        </is>
      </c>
      <c r="I5" s="3" t="inlineStr">
        <is>
          <t>T4 ≈110</t>
        </is>
      </c>
      <c r="J5" s="3" t="inlineStr">
        <is>
          <t>56.9M</t>
        </is>
      </c>
      <c r="K5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5" s="6" t="inlineStr">
        <is>
          <t>https://docs.ultralytics.com/models/yolo11/</t>
        </is>
      </c>
      <c r="M5" s="6" t="inlineStr">
        <is>
          <t>https://github.com/ultralytics/ultralytics</t>
        </is>
      </c>
    </row>
    <row r="6" ht="48" customHeight="1">
      <c r="A6" s="3" t="inlineStr">
        <is>
          <t>Real-Time OD</t>
        </is>
      </c>
      <c r="B6" s="3" t="inlineStr">
        <is>
          <t>YOLOv12</t>
        </is>
      </c>
      <c r="C6" s="3" t="inlineStr">
        <is>
          <t>Various</t>
        </is>
      </c>
      <c r="D6" s="3" t="inlineStr">
        <is>
          <t>arXiv</t>
        </is>
      </c>
      <c r="E6" s="3" t="inlineStr">
        <is>
          <t>2025-04</t>
        </is>
      </c>
      <c r="F6" s="3" t="inlineStr">
        <is>
          <t>Reproduced</t>
        </is>
      </c>
      <c r="G6" s="3" t="inlineStr">
        <is>
          <t>To verify</t>
        </is>
      </c>
      <c r="H6" s="3" t="inlineStr">
        <is>
          <t>To verify</t>
        </is>
      </c>
      <c r="I6" s="3" t="inlineStr">
        <is>
          <t>T4 ≈90</t>
        </is>
      </c>
      <c r="J6" s="3" t="inlineStr">
        <is>
          <t>59.1M</t>
        </is>
      </c>
      <c r="K6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6" s="6" t="inlineStr">
        <is>
          <t>https://arxiv.org/abs/2502.12524</t>
        </is>
      </c>
      <c r="M6" s="6" t="inlineStr">
        <is>
          <t>https://github.com/sunsmarterjie/yolov12</t>
        </is>
      </c>
    </row>
    <row r="7" ht="48" customHeight="1">
      <c r="A7" s="2" t="inlineStr">
        <is>
          <t>General OD</t>
        </is>
      </c>
      <c r="B7" s="2" t="inlineStr">
        <is>
          <t>Faster R-CNN</t>
        </is>
      </c>
      <c r="C7" s="2" t="inlineStr">
        <is>
          <t>Ju et al. eval</t>
        </is>
      </c>
      <c r="D7" s="2" t="inlineStr">
        <is>
          <t>Reproduction</t>
        </is>
      </c>
      <c r="E7" s="2" t="inlineStr">
        <is>
          <t>2023-08</t>
        </is>
      </c>
      <c r="F7" s="2" t="inlineStr">
        <is>
          <t>Reproduced</t>
        </is>
      </c>
      <c r="G7" s="2" t="inlineStr">
        <is>
          <t>To verify</t>
        </is>
      </c>
      <c r="H7" s="2" t="inlineStr">
        <is>
          <t>To verify</t>
        </is>
      </c>
      <c r="I7" s="2" t="inlineStr">
        <is>
          <t>26</t>
        </is>
      </c>
      <c r="J7" s="2" t="inlineStr">
        <is>
          <t>42M</t>
        </is>
      </c>
      <c r="K7" s="2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7" s="9" t="inlineStr">
        <is>
          <t>https://arxiv.org/abs/1506.01497</t>
        </is>
      </c>
      <c r="M7" s="9" t="inlineStr">
        <is>
          <t>https://github.com/rbgirshick/py-faster-rcnn</t>
        </is>
      </c>
    </row>
    <row r="8" ht="48" customHeight="1">
      <c r="A8" s="2" t="inlineStr">
        <is>
          <t>General OD</t>
        </is>
      </c>
      <c r="B8" s="2" t="inlineStr">
        <is>
          <t>Cascade R-CNN</t>
        </is>
      </c>
      <c r="C8" s="2" t="inlineStr">
        <is>
          <t>Reproduction</t>
        </is>
      </c>
      <c r="D8" s="2" t="inlineStr">
        <is>
          <t>Reproduction</t>
        </is>
      </c>
      <c r="E8" s="2" t="inlineStr">
        <is>
          <t>2023-09</t>
        </is>
      </c>
      <c r="F8" s="2" t="inlineStr">
        <is>
          <t>Reproduced</t>
        </is>
      </c>
      <c r="G8" s="2" t="inlineStr">
        <is>
          <t>To verify</t>
        </is>
      </c>
      <c r="H8" s="2" t="inlineStr">
        <is>
          <t>To verify</t>
        </is>
      </c>
      <c r="I8" s="2" t="inlineStr">
        <is>
          <t>8</t>
        </is>
      </c>
      <c r="J8" s="2" t="inlineStr">
        <is>
          <t>88M</t>
        </is>
      </c>
      <c r="K8" s="2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8" s="9" t="inlineStr">
        <is>
          <t>https://arxiv.org/abs/1712.00726</t>
        </is>
      </c>
      <c r="M8" s="9" t="inlineStr">
        <is>
          <t>https://github.com/zhaoweicai/cascade-rcnn</t>
        </is>
      </c>
    </row>
    <row r="9" ht="48" customHeight="1">
      <c r="A9" s="3" t="inlineStr">
        <is>
          <t>Real-Time OD</t>
        </is>
      </c>
      <c r="B9" s="3" t="inlineStr">
        <is>
          <t>RT-DETR</t>
        </is>
      </c>
      <c r="C9" s="3" t="inlineStr">
        <is>
          <t>Reproduction</t>
        </is>
      </c>
      <c r="D9" s="3" t="inlineStr">
        <is>
          <t>Reproduction</t>
        </is>
      </c>
      <c r="E9" s="3" t="inlineStr">
        <is>
          <t>2024-06</t>
        </is>
      </c>
      <c r="F9" s="3" t="inlineStr">
        <is>
          <t>Reproduced</t>
        </is>
      </c>
      <c r="G9" s="3" t="inlineStr">
        <is>
          <t>To verify</t>
        </is>
      </c>
      <c r="H9" s="3" t="inlineStr">
        <is>
          <t>To verify</t>
        </is>
      </c>
      <c r="I9" s="3" t="inlineStr">
        <is>
          <t>T4 74</t>
        </is>
      </c>
      <c r="J9" s="3" t="inlineStr">
        <is>
          <t>76M</t>
        </is>
      </c>
      <c r="K9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9" s="6" t="inlineStr">
        <is>
          <t>https://arxiv.org/abs/2304.08069</t>
        </is>
      </c>
      <c r="M9" s="6" t="inlineStr">
        <is>
          <t>https://github.com/lyuwenyu/RT-DETR</t>
        </is>
      </c>
    </row>
    <row r="10" ht="48" customHeight="1">
      <c r="A10" s="3" t="inlineStr">
        <is>
          <t>Real-Time OD</t>
        </is>
      </c>
      <c r="B10" s="3" t="inlineStr">
        <is>
          <t>YOLO-NAS</t>
        </is>
      </c>
      <c r="C10" s="3" t="inlineStr">
        <is>
          <t>Reproduction</t>
        </is>
      </c>
      <c r="D10" s="3" t="inlineStr">
        <is>
          <t>Reproduction</t>
        </is>
      </c>
      <c r="E10" s="3" t="inlineStr">
        <is>
          <t>2024-04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To verify</t>
        </is>
      </c>
      <c r="I10" s="3" t="inlineStr">
        <is>
          <t>T4 ≈110</t>
        </is>
      </c>
      <c r="J10" s="3" t="inlineStr">
        <is>
          <t>≈58M</t>
        </is>
      </c>
      <c r="K10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10" s="6" t="inlineStr">
        <is>
          <t>https://github.com/Deci-AI/super-gradients</t>
        </is>
      </c>
      <c r="M10" s="6" t="inlineStr">
        <is>
          <t>https://github.com/Deci-AI/super-gradients</t>
        </is>
      </c>
    </row>
    <row r="11" ht="48" customHeight="1">
      <c r="A11" s="3" t="inlineStr">
        <is>
          <t>Real-Time OD</t>
        </is>
      </c>
      <c r="B11" s="3" t="inlineStr">
        <is>
          <t>YOLO26</t>
        </is>
      </c>
      <c r="C11" s="3" t="inlineStr">
        <is>
          <t>Ultralytics</t>
        </is>
      </c>
      <c r="D11" s="3" t="inlineStr">
        <is>
          <t>Official Docs</t>
        </is>
      </c>
      <c r="E11" s="3" t="inlineStr">
        <is>
          <t>2026-01</t>
        </is>
      </c>
      <c r="F11" s="3" t="inlineStr">
        <is>
          <t>Official Docs</t>
        </is>
      </c>
      <c r="G11" s="3" t="inlineStr">
        <is>
          <t>To verify</t>
        </is>
      </c>
      <c r="H11" s="3" t="inlineStr">
        <is>
          <t>To verify</t>
        </is>
      </c>
      <c r="I11" s="3" t="inlineStr">
        <is>
          <t>Edge</t>
        </is>
      </c>
      <c r="J11" s="3" t="inlineStr">
        <is>
          <t>N/A</t>
        </is>
      </c>
      <c r="K11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11" s="6" t="inlineStr">
        <is>
          <t>https://docs.ultralytics.com/models/yolo26/</t>
        </is>
      </c>
      <c r="M11" s="6" t="inlineStr">
        <is>
          <t>https://github.com/ultralytics/ultralytics</t>
        </is>
      </c>
    </row>
    <row r="12" ht="48" customHeight="1">
      <c r="A12" s="3" t="inlineStr">
        <is>
          <t>Real-Time OD</t>
        </is>
      </c>
      <c r="B12" s="3" t="inlineStr">
        <is>
          <t>YOLOv13</t>
        </is>
      </c>
      <c r="C12" s="3" t="inlineStr">
        <is>
          <t>iMoonLab</t>
        </is>
      </c>
      <c r="D12" s="3" t="inlineStr">
        <is>
          <t>arXiv</t>
        </is>
      </c>
      <c r="E12" s="3" t="inlineStr">
        <is>
          <t>2025-06</t>
        </is>
      </c>
      <c r="F12" s="3" t="inlineStr">
        <is>
          <t>Preprint</t>
        </is>
      </c>
      <c r="G12" s="3" t="inlineStr">
        <is>
          <t>To verify</t>
        </is>
      </c>
      <c r="H12" s="3" t="inlineStr">
        <is>
          <t>To verify</t>
        </is>
      </c>
      <c r="I12" s="3" t="inlineStr">
        <is>
          <t>T4 ≈80</t>
        </is>
      </c>
      <c r="J12" s="3" t="inlineStr">
        <is>
          <t>≈64M</t>
        </is>
      </c>
      <c r="K12" s="3" t="inlineStr">
        <is>
          <t>⚠️ GraZPEDWRI-DX dataset paper 本身僅報告 1 個 YOLO baseline (mAP=62.7%)，未測試 workbook 列出的所有 YOLO 變體 (v7/v8/v9/v11/v12/v13/RT-DETR/Cascade R-CNN/Faster R-CNN/YOLO-NAS/YOLO26)。需第三方醫學影像 benchmark paper 來驗證</t>
        </is>
      </c>
      <c r="L12" s="6" t="inlineStr">
        <is>
          <t>https://arxiv.org/abs/2506.17733</t>
        </is>
      </c>
      <c r="M12" s="6" t="inlineStr">
        <is>
          <t>https://github.com/iMoonLab/yolov13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YOLOv5x</t>
        </is>
      </c>
      <c r="C2" s="3" t="inlineStr">
        <is>
          <t>Roboflow eval</t>
        </is>
      </c>
      <c r="D2" s="3" t="inlineStr">
        <is>
          <t>Third-party</t>
        </is>
      </c>
      <c r="E2" s="3" t="inlineStr">
        <is>
          <t>2022-04</t>
        </is>
      </c>
      <c r="F2" s="3" t="inlineStr">
        <is>
          <t>Reproduced</t>
        </is>
      </c>
      <c r="G2" s="3" t="inlineStr">
        <is>
          <t>To verify</t>
        </is>
      </c>
      <c r="H2" s="3" t="inlineStr">
        <is>
          <t>mAP@50 ≈0.50 (paper baseline 0.529)</t>
        </is>
      </c>
      <c r="I2" s="3" t="inlineStr">
        <is>
          <t>99</t>
        </is>
      </c>
      <c r="J2" s="3" t="inlineStr">
        <is>
          <t>86.7M</t>
        </is>
      </c>
      <c r="K2" s="3" t="inlineStr">
        <is>
          <t>⚠️ CPPE-5 paper (arXiv2112.09569) Table 4 only tests YOLOv3 (AP=38.5), not YOLOv5x. Verification needs third-party reproduction.</t>
        </is>
      </c>
      <c r="L2" s="6" t="inlineStr">
        <is>
          <t>https://arxiv.org/abs/2112.09569</t>
        </is>
      </c>
      <c r="M2" s="6" t="inlineStr">
        <is>
          <t>https://github.com/Rishit-dagli/CPPE-Dataset</t>
        </is>
      </c>
    </row>
    <row r="3" ht="48" customHeight="1">
      <c r="A3" s="2" t="inlineStr">
        <is>
          <t>General OD</t>
        </is>
      </c>
      <c r="B3" s="2" t="inlineStr">
        <is>
          <t>Faster R-CNN</t>
        </is>
      </c>
      <c r="C3" s="2" t="inlineStr">
        <is>
          <t>CPPE-5 paper</t>
        </is>
      </c>
      <c r="D3" s="2" t="inlineStr">
        <is>
          <t>Tech Report</t>
        </is>
      </c>
      <c r="E3" s="2" t="inlineStr">
        <is>
          <t>2021-12</t>
        </is>
      </c>
      <c r="F3" s="2" t="inlineStr">
        <is>
          <t>Published</t>
        </is>
      </c>
      <c r="G3" s="2" t="n">
        <v>44</v>
      </c>
      <c r="H3" s="2" t="inlineStr">
        <is>
          <t>AP 44.0 (R101, CPPE-5 paper Table 4 baseline)</t>
        </is>
      </c>
      <c r="I3" s="2" t="inlineStr">
        <is>
          <t>26</t>
        </is>
      </c>
      <c r="J3" s="2" t="inlineStr">
        <is>
          <t>42M</t>
        </is>
      </c>
      <c r="K3" s="2" t="inlineStr">
        <is>
          <t>✅ 已驗證 (CPPE-5 paper arXiv2112.09569 Table 4 baseline)：Faster R-CNN (R101) AP=44.0 on CPPE-5 dataset [Medical PPE OD]</t>
        </is>
      </c>
      <c r="L3" s="9" t="inlineStr">
        <is>
          <t>https://arxiv.org/abs/2112.09569</t>
        </is>
      </c>
      <c r="M3" s="9" t="inlineStr">
        <is>
          <t>https://github.com/Rishit-dagli/CPPE-Dataset</t>
        </is>
      </c>
    </row>
    <row r="4" ht="48" customHeight="1">
      <c r="A4" s="2" t="inlineStr">
        <is>
          <t>General OD</t>
        </is>
      </c>
      <c r="B4" s="2" t="inlineStr">
        <is>
          <t>DETR</t>
        </is>
      </c>
      <c r="C4" s="2" t="inlineStr">
        <is>
          <t>CPPE-5 paper</t>
        </is>
      </c>
      <c r="D4" s="2" t="inlineStr">
        <is>
          <t>Tech Report</t>
        </is>
      </c>
      <c r="E4" s="2" t="inlineStr">
        <is>
          <t>2021-12</t>
        </is>
      </c>
      <c r="F4" s="2" t="inlineStr">
        <is>
          <t>Published</t>
        </is>
      </c>
      <c r="G4" s="2" t="inlineStr">
        <is>
          <t>To verify</t>
        </is>
      </c>
      <c r="H4" s="2" t="inlineStr">
        <is>
          <t>mAP@0.5 0.273 (paper)</t>
        </is>
      </c>
      <c r="I4" s="2" t="inlineStr">
        <is>
          <t>20</t>
        </is>
      </c>
      <c r="J4" s="2" t="inlineStr">
        <is>
          <t>60M</t>
        </is>
      </c>
      <c r="K4" s="2" t="inlineStr">
        <is>
          <t>⚠️ CPPE-5 paper does not test DETR directly. Table 5 includes Deformable DETR (AP=48.0) instead. Verification needs third-party DETR reproduction.</t>
        </is>
      </c>
      <c r="L4" s="9" t="inlineStr">
        <is>
          <t>https://arxiv.org/abs/2112.09569</t>
        </is>
      </c>
      <c r="M4" s="9" t="inlineStr">
        <is>
          <t>https://github.com/Rishit-dagli/CPPE-Dataset</t>
        </is>
      </c>
    </row>
    <row r="5" ht="48" customHeight="1">
      <c r="A5" s="2" t="inlineStr">
        <is>
          <t>General OD</t>
        </is>
      </c>
      <c r="B5" s="2" t="inlineStr">
        <is>
          <t>Cascade R-CNN</t>
        </is>
      </c>
      <c r="C5" s="2" t="inlineStr">
        <is>
          <t>CPPE-5 paper</t>
        </is>
      </c>
      <c r="D5" s="2" t="inlineStr">
        <is>
          <t>Tech Report</t>
        </is>
      </c>
      <c r="E5" s="2" t="inlineStr">
        <is>
          <t>2021-12</t>
        </is>
      </c>
      <c r="F5" s="2" t="inlineStr">
        <is>
          <t>Published</t>
        </is>
      </c>
      <c r="G5" s="2" t="inlineStr">
        <is>
          <t>To verify</t>
        </is>
      </c>
      <c r="H5" s="2" t="inlineStr">
        <is>
          <t>mAP@0.5 0.45</t>
        </is>
      </c>
      <c r="I5" s="2" t="inlineStr">
        <is>
          <t>8</t>
        </is>
      </c>
      <c r="J5" s="2" t="inlineStr">
        <is>
          <t>88M</t>
        </is>
      </c>
      <c r="K5" s="2" t="inlineStr">
        <is>
          <t>⚠️ CPPE-5 paper does not test Cascade R-CNN directly. Verification needs third-party reproduction.</t>
        </is>
      </c>
      <c r="L5" s="9" t="inlineStr">
        <is>
          <t>https://arxiv.org/abs/2112.09569</t>
        </is>
      </c>
      <c r="M5" s="9" t="inlineStr">
        <is>
          <t>https://github.com/Rishit-dagli/CPPE-Dataset</t>
        </is>
      </c>
    </row>
    <row r="6" ht="48" customHeight="1">
      <c r="A6" s="3" t="inlineStr">
        <is>
          <t>Real-Time OD</t>
        </is>
      </c>
      <c r="B6" s="3" t="inlineStr">
        <is>
          <t>YOLOv7</t>
        </is>
      </c>
      <c r="C6" s="3" t="inlineStr">
        <is>
          <t>Reproduction</t>
        </is>
      </c>
      <c r="D6" s="3" t="inlineStr">
        <is>
          <t>Third-party</t>
        </is>
      </c>
      <c r="E6" s="3" t="inlineStr">
        <is>
          <t>2023-08</t>
        </is>
      </c>
      <c r="F6" s="3" t="inlineStr">
        <is>
          <t>Reproduced</t>
        </is>
      </c>
      <c r="G6" s="3" t="inlineStr">
        <is>
          <t>To verify</t>
        </is>
      </c>
      <c r="H6" s="3" t="inlineStr">
        <is>
          <t>To verify</t>
        </is>
      </c>
      <c r="I6" s="3" t="inlineStr">
        <is>
          <t>114</t>
        </is>
      </c>
      <c r="J6" s="3" t="inlineStr">
        <is>
          <t>71.3M</t>
        </is>
      </c>
      <c r="K6" s="3" t="inlineStr">
        <is>
          <t>⚠️ YOLOv7 在 CPPE-5 dataset paper (arXiv2112.09569) 中並未直接測試（paper Table 4/5 含 SSD/YOLOv3/Faster R-CNN/Deformable DETR/FCOS 等不同方法）。需第三方 CPPE-5 reproduction 來驗證</t>
        </is>
      </c>
      <c r="L6" s="6" t="inlineStr">
        <is>
          <t>https://arxiv.org/abs/2207.02696</t>
        </is>
      </c>
      <c r="M6" s="6" t="inlineStr">
        <is>
          <t>https://github.com/WongKinYiu/yolov7</t>
        </is>
      </c>
    </row>
    <row r="7" ht="48" customHeight="1">
      <c r="A7" s="3" t="inlineStr">
        <is>
          <t>Real-Time OD</t>
        </is>
      </c>
      <c r="B7" s="3" t="inlineStr">
        <is>
          <t>YOLOv8x</t>
        </is>
      </c>
      <c r="C7" s="3" t="inlineStr">
        <is>
          <t>Ultralytics</t>
        </is>
      </c>
      <c r="D7" s="3" t="inlineStr">
        <is>
          <t>GitHub</t>
        </is>
      </c>
      <c r="E7" s="3" t="inlineStr">
        <is>
          <t>2023-08</t>
        </is>
      </c>
      <c r="F7" s="3" t="inlineStr">
        <is>
          <t>Reproduced</t>
        </is>
      </c>
      <c r="G7" s="3" t="inlineStr">
        <is>
          <t>To verify</t>
        </is>
      </c>
      <c r="H7" s="3" t="inlineStr">
        <is>
          <t>To verify</t>
        </is>
      </c>
      <c r="I7" s="3" t="inlineStr">
        <is>
          <t>99</t>
        </is>
      </c>
      <c r="J7" s="3" t="inlineStr">
        <is>
          <t>68.2M</t>
        </is>
      </c>
      <c r="K7" s="3" t="inlineStr">
        <is>
          <t>⚠️ YOLOv8x 在 CPPE-5 dataset paper (arXiv2112.09569) 中並未直接測試（paper Table 4/5 含 SSD/YOLOv3/Faster R-CNN/Deformable DETR/FCOS 等不同方法）。需第三方 CPPE-5 reproduction 來驗證</t>
        </is>
      </c>
      <c r="L7" s="6" t="inlineStr">
        <is>
          <t>https://docs.ultralytics.com/models/yolov8/</t>
        </is>
      </c>
      <c r="M7" s="6" t="inlineStr">
        <is>
          <t>https://github.com/ultralytics/ultralytics</t>
        </is>
      </c>
    </row>
    <row r="8" ht="48" customHeight="1">
      <c r="A8" s="3" t="inlineStr">
        <is>
          <t>Real-Time OD</t>
        </is>
      </c>
      <c r="B8" s="3" t="inlineStr">
        <is>
          <t>YOLOv9</t>
        </is>
      </c>
      <c r="C8" s="3" t="inlineStr">
        <is>
          <t>Reproduction</t>
        </is>
      </c>
      <c r="D8" s="3" t="inlineStr">
        <is>
          <t>Third-party</t>
        </is>
      </c>
      <c r="E8" s="3" t="inlineStr">
        <is>
          <t>2024-06</t>
        </is>
      </c>
      <c r="F8" s="3" t="inlineStr">
        <is>
          <t>Reproduced</t>
        </is>
      </c>
      <c r="G8" s="3" t="inlineStr">
        <is>
          <t>To verify</t>
        </is>
      </c>
      <c r="H8" s="3" t="inlineStr">
        <is>
          <t>To verify</t>
        </is>
      </c>
      <c r="I8" s="3" t="inlineStr">
        <is>
          <t>57</t>
        </is>
      </c>
      <c r="J8" s="3" t="inlineStr">
        <is>
          <t>57.3M</t>
        </is>
      </c>
      <c r="K8" s="3" t="inlineStr">
        <is>
          <t>⚠️ YOLOv9 在 CPPE-5 dataset paper (arXiv2112.09569) 中並未直接測試（paper Table 4/5 含 SSD/YOLOv3/Faster R-CNN/Deformable DETR/FCOS 等不同方法）。需第三方 CPPE-5 reproduction 來驗證</t>
        </is>
      </c>
      <c r="L8" s="6" t="inlineStr">
        <is>
          <t>https://arxiv.org/abs/2402.13616</t>
        </is>
      </c>
      <c r="M8" s="6" t="inlineStr">
        <is>
          <t>https://github.com/WongKinYiu/yolov9</t>
        </is>
      </c>
    </row>
    <row r="9" ht="48" customHeight="1">
      <c r="A9" s="3" t="inlineStr">
        <is>
          <t>Real-Time OD</t>
        </is>
      </c>
      <c r="B9" s="3" t="inlineStr">
        <is>
          <t>YOLO11</t>
        </is>
      </c>
      <c r="C9" s="3" t="inlineStr">
        <is>
          <t>Reproduction</t>
        </is>
      </c>
      <c r="D9" s="3" t="inlineStr">
        <is>
          <t>Third-party</t>
        </is>
      </c>
      <c r="E9" s="3" t="inlineStr">
        <is>
          <t>2024-12</t>
        </is>
      </c>
      <c r="F9" s="3" t="inlineStr">
        <is>
          <t>Reproduced</t>
        </is>
      </c>
      <c r="G9" s="3" t="inlineStr">
        <is>
          <t>To verify</t>
        </is>
      </c>
      <c r="H9" s="3" t="inlineStr">
        <is>
          <t>To verify</t>
        </is>
      </c>
      <c r="I9" s="3" t="inlineStr">
        <is>
          <t>T4 ≈110</t>
        </is>
      </c>
      <c r="J9" s="3" t="inlineStr">
        <is>
          <t>56.9M</t>
        </is>
      </c>
      <c r="K9" s="3" t="inlineStr">
        <is>
          <t>⚠️ YOLO11 在 CPPE-5 dataset paper (arXiv2112.09569) 中並未直接測試（paper Table 4/5 含 SSD/YOLOv3/Faster R-CNN/Deformable DETR/FCOS 等不同方法）。需第三方 CPPE-5 reproduction 來驗證</t>
        </is>
      </c>
      <c r="L9" s="6" t="inlineStr">
        <is>
          <t>https://docs.ultralytics.com/models/yolo11/</t>
        </is>
      </c>
      <c r="M9" s="6" t="inlineStr">
        <is>
          <t>https://github.com/ultralytics/ultralytics</t>
        </is>
      </c>
    </row>
    <row r="10" ht="48" customHeight="1">
      <c r="A10" s="3" t="inlineStr">
        <is>
          <t>Real-Time OD</t>
        </is>
      </c>
      <c r="B10" s="3" t="inlineStr">
        <is>
          <t>YOLOv12</t>
        </is>
      </c>
      <c r="C10" s="3" t="inlineStr">
        <is>
          <t>Reproduction</t>
        </is>
      </c>
      <c r="D10" s="3" t="inlineStr">
        <is>
          <t>Third-party</t>
        </is>
      </c>
      <c r="E10" s="3" t="inlineStr">
        <is>
          <t>2025-04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To verify</t>
        </is>
      </c>
      <c r="I10" s="3" t="inlineStr">
        <is>
          <t>T4 ≈90</t>
        </is>
      </c>
      <c r="J10" s="3" t="inlineStr">
        <is>
          <t>59.1M</t>
        </is>
      </c>
      <c r="K10" s="3" t="inlineStr">
        <is>
          <t>⚠️ YOLOv12 在 CPPE-5 dataset paper (arXiv2112.09569) 中並未直接測試（paper Table 4/5 含 SSD/YOLOv3/Faster R-CNN/Deformable DETR/FCOS 等不同方法）。需第三方 CPPE-5 reproduction 來驗證</t>
        </is>
      </c>
      <c r="L10" s="6" t="inlineStr">
        <is>
          <t>https://arxiv.org/abs/2502.12524</t>
        </is>
      </c>
      <c r="M10" s="6" t="inlineStr">
        <is>
          <t>https://github.com/sunsmarterjie/yolov12</t>
        </is>
      </c>
    </row>
    <row r="11" ht="48" customHeight="1">
      <c r="A11" s="3" t="inlineStr">
        <is>
          <t>Real-Time OD</t>
        </is>
      </c>
      <c r="B11" s="3" t="inlineStr">
        <is>
          <t>YOLOv13</t>
        </is>
      </c>
      <c r="C11" s="3" t="inlineStr">
        <is>
          <t>Reproduction</t>
        </is>
      </c>
      <c r="D11" s="3" t="inlineStr">
        <is>
          <t>Third-party</t>
        </is>
      </c>
      <c r="E11" s="3" t="inlineStr">
        <is>
          <t>2025-09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To verify</t>
        </is>
      </c>
      <c r="I11" s="3" t="inlineStr">
        <is>
          <t>T4 ≈80</t>
        </is>
      </c>
      <c r="J11" s="3" t="inlineStr">
        <is>
          <t>≈64M</t>
        </is>
      </c>
      <c r="K11" s="3" t="inlineStr">
        <is>
          <t>⚠️ YOLOv13 在 CPPE-5 dataset paper (arXiv2112.09569) 中並未直接測試（paper Table 4/5 含 SSD/YOLOv3/Faster R-CNN/Deformable DETR/FCOS 等不同方法）。需第三方 CPPE-5 reproduction 來驗證</t>
        </is>
      </c>
      <c r="L11" s="6" t="inlineStr">
        <is>
          <t>https://arxiv.org/abs/2506.17733</t>
        </is>
      </c>
      <c r="M11" s="6" t="inlineStr">
        <is>
          <t>https://github.com/iMoonLab/yolov13</t>
        </is>
      </c>
    </row>
    <row r="12" ht="48" customHeight="1">
      <c r="A12" s="3" t="inlineStr">
        <is>
          <t>Real-Time OD</t>
        </is>
      </c>
      <c r="B12" s="3" t="inlineStr">
        <is>
          <t>RT-DETR</t>
        </is>
      </c>
      <c r="C12" s="3" t="inlineStr">
        <is>
          <t>Reproduction</t>
        </is>
      </c>
      <c r="D12" s="3" t="inlineStr">
        <is>
          <t>Third-party</t>
        </is>
      </c>
      <c r="E12" s="3" t="inlineStr">
        <is>
          <t>2024-08</t>
        </is>
      </c>
      <c r="F12" s="3" t="inlineStr">
        <is>
          <t>Reproduced</t>
        </is>
      </c>
      <c r="G12" s="3" t="inlineStr">
        <is>
          <t>To verify</t>
        </is>
      </c>
      <c r="H12" s="3" t="inlineStr">
        <is>
          <t>To verify</t>
        </is>
      </c>
      <c r="I12" s="3" t="inlineStr">
        <is>
          <t>T4 74</t>
        </is>
      </c>
      <c r="J12" s="3" t="inlineStr">
        <is>
          <t>76M</t>
        </is>
      </c>
      <c r="K12" s="3" t="inlineStr">
        <is>
          <t>⚠️ RT-DETR 在 CPPE-5 dataset paper (arXiv2112.09569) 中並未直接測試（paper Table 4/5 含 SSD/YOLOv3/Faster R-CNN/Deformable DETR/FCOS 等不同方法）。需第三方 CPPE-5 reproduction 來驗證</t>
        </is>
      </c>
      <c r="L12" s="6" t="inlineStr">
        <is>
          <t>https://arxiv.org/abs/2304.08069</t>
        </is>
      </c>
      <c r="M12" s="6" t="inlineStr">
        <is>
          <t>https://github.com/lyuwenyu/RT-DETR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HRI-Net</t>
        </is>
      </c>
      <c r="C2" s="2" t="inlineStr">
        <is>
          <t>Waymo 2D Det 2022</t>
        </is>
      </c>
      <c r="D2" s="2" t="inlineStr">
        <is>
          <t>Tech Report</t>
        </is>
      </c>
      <c r="E2" s="2" t="inlineStr">
        <is>
          <t>2022-06</t>
        </is>
      </c>
      <c r="F2" s="2" t="inlineStr">
        <is>
          <t>Published</t>
        </is>
      </c>
      <c r="G2" s="2" t="inlineStr">
        <is>
          <t>To verify</t>
        </is>
      </c>
      <c r="H2" s="2" t="inlineStr">
        <is>
          <t>mAP all_ns f0val To verify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2" s="9" t="inlineStr">
        <is>
          <t>https://waymo.com/open/challenges/2022/2d-detection/</t>
        </is>
      </c>
      <c r="M2" s="9" t="inlineStr">
        <is>
          <t>https://github.com/waymo-research/waymo-open-dataset</t>
        </is>
      </c>
    </row>
    <row r="3" ht="48" customHeight="1">
      <c r="A3" s="2" t="inlineStr">
        <is>
          <t>General OD</t>
        </is>
      </c>
      <c r="B3" s="2" t="inlineStr">
        <is>
          <t>YOLOR-D6</t>
        </is>
      </c>
      <c r="C3" s="2" t="inlineStr">
        <is>
          <t>Wang et al.</t>
        </is>
      </c>
      <c r="D3" s="2" t="inlineStr">
        <is>
          <t>arXiv</t>
        </is>
      </c>
      <c r="E3" s="2" t="inlineStr">
        <is>
          <t>2021-05</t>
        </is>
      </c>
      <c r="F3" s="2" t="inlineStr">
        <is>
          <t>Preprint</t>
        </is>
      </c>
      <c r="G3" s="2" t="inlineStr">
        <is>
          <t>To verify</t>
        </is>
      </c>
      <c r="H3" s="2" t="inlineStr">
        <is>
          <t>To verify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3" s="9" t="inlineStr">
        <is>
          <t>https://arxiv.org/abs/2105.04206</t>
        </is>
      </c>
      <c r="M3" s="9" t="inlineStr">
        <is>
          <t>https://github.com/WongKinYiu/yolor</t>
        </is>
      </c>
    </row>
    <row r="4" ht="48" customHeight="1">
      <c r="A4" s="2" t="inlineStr">
        <is>
          <t>General OD</t>
        </is>
      </c>
      <c r="B4" s="2" t="inlineStr">
        <is>
          <t>Cascade R-CNN</t>
        </is>
      </c>
      <c r="C4" s="2" t="inlineStr">
        <is>
          <t>Reproduction</t>
        </is>
      </c>
      <c r="D4" s="2" t="inlineStr">
        <is>
          <t>Reproduction</t>
        </is>
      </c>
      <c r="E4" s="2" t="inlineStr">
        <is>
          <t>2022-09</t>
        </is>
      </c>
      <c r="F4" s="2" t="inlineStr">
        <is>
          <t>Reproduced</t>
        </is>
      </c>
      <c r="G4" s="2" t="inlineStr">
        <is>
          <t>To verify</t>
        </is>
      </c>
      <c r="H4" s="2" t="inlineStr">
        <is>
          <t>To verify</t>
        </is>
      </c>
      <c r="I4" s="2" t="inlineStr">
        <is>
          <t>8</t>
        </is>
      </c>
      <c r="J4" s="2" t="inlineStr">
        <is>
          <t>88M</t>
        </is>
      </c>
      <c r="K4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4" s="9" t="inlineStr">
        <is>
          <t>https://arxiv.org/abs/1712.00726</t>
        </is>
      </c>
      <c r="M4" s="9" t="inlineStr">
        <is>
          <t>https://github.com/zhaoweicai/cascade-rcnn</t>
        </is>
      </c>
    </row>
    <row r="5" ht="48" customHeight="1">
      <c r="A5" s="2" t="inlineStr">
        <is>
          <t>General OD</t>
        </is>
      </c>
      <c r="B5" s="2" t="inlineStr">
        <is>
          <t>Faster R-CNN (R101)</t>
        </is>
      </c>
      <c r="C5" s="2" t="inlineStr">
        <is>
          <t>Reproduction</t>
        </is>
      </c>
      <c r="D5" s="2" t="inlineStr">
        <is>
          <t>Reproduction</t>
        </is>
      </c>
      <c r="E5" s="2" t="inlineStr">
        <is>
          <t>2021-09</t>
        </is>
      </c>
      <c r="F5" s="2" t="inlineStr">
        <is>
          <t>Reproduced</t>
        </is>
      </c>
      <c r="G5" s="2" t="inlineStr">
        <is>
          <t>To verify</t>
        </is>
      </c>
      <c r="H5" s="2" t="inlineStr">
        <is>
          <t>To verify</t>
        </is>
      </c>
      <c r="I5" s="2" t="inlineStr">
        <is>
          <t>26</t>
        </is>
      </c>
      <c r="J5" s="2" t="inlineStr">
        <is>
          <t>42M</t>
        </is>
      </c>
      <c r="K5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5" s="9" t="inlineStr">
        <is>
          <t>https://arxiv.org/abs/1506.01497</t>
        </is>
      </c>
      <c r="M5" s="9" t="inlineStr">
        <is>
          <t>https://github.com/rbgirshick/py-faster-rcnn</t>
        </is>
      </c>
    </row>
    <row r="6" ht="48" customHeight="1">
      <c r="A6" s="2" t="inlineStr">
        <is>
          <t>General OD</t>
        </is>
      </c>
      <c r="B6" s="2" t="inlineStr">
        <is>
          <t>Sparse R-CNN</t>
        </is>
      </c>
      <c r="C6" s="2" t="inlineStr">
        <is>
          <t>Reproduction</t>
        </is>
      </c>
      <c r="D6" s="2" t="inlineStr">
        <is>
          <t>Reproduction</t>
        </is>
      </c>
      <c r="E6" s="2" t="inlineStr">
        <is>
          <t>2022-04</t>
        </is>
      </c>
      <c r="F6" s="2" t="inlineStr">
        <is>
          <t>Reproduced</t>
        </is>
      </c>
      <c r="G6" s="2" t="inlineStr">
        <is>
          <t>To verify</t>
        </is>
      </c>
      <c r="H6" s="2" t="inlineStr">
        <is>
          <t>To verify</t>
        </is>
      </c>
      <c r="I6" s="2" t="inlineStr">
        <is>
          <t>23</t>
        </is>
      </c>
      <c r="J6" s="2" t="inlineStr">
        <is>
          <t>106M</t>
        </is>
      </c>
      <c r="K6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6" s="9" t="inlineStr">
        <is>
          <t>https://arxiv.org/abs/2011.12450</t>
        </is>
      </c>
      <c r="M6" s="9" t="inlineStr">
        <is>
          <t>https://github.com/PeizeSun/SparseR-CNN</t>
        </is>
      </c>
    </row>
    <row r="7" ht="48" customHeight="1">
      <c r="A7" s="2" t="inlineStr">
        <is>
          <t>General OD</t>
        </is>
      </c>
      <c r="B7" s="2" t="inlineStr">
        <is>
          <t>DETR</t>
        </is>
      </c>
      <c r="C7" s="2" t="inlineStr">
        <is>
          <t>Reproduction</t>
        </is>
      </c>
      <c r="D7" s="2" t="inlineStr">
        <is>
          <t>Reproduction</t>
        </is>
      </c>
      <c r="E7" s="2" t="inlineStr">
        <is>
          <t>2022-04</t>
        </is>
      </c>
      <c r="F7" s="2" t="inlineStr">
        <is>
          <t>Reproduced</t>
        </is>
      </c>
      <c r="G7" s="2" t="inlineStr">
        <is>
          <t>To verify</t>
        </is>
      </c>
      <c r="H7" s="2" t="inlineStr">
        <is>
          <t>To verify</t>
        </is>
      </c>
      <c r="I7" s="2" t="inlineStr">
        <is>
          <t>20</t>
        </is>
      </c>
      <c r="J7" s="2" t="inlineStr">
        <is>
          <t>60M</t>
        </is>
      </c>
      <c r="K7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7" s="9" t="inlineStr">
        <is>
          <t>https://arxiv.org/abs/2005.12872</t>
        </is>
      </c>
      <c r="M7" s="9" t="inlineStr">
        <is>
          <t>https://github.com/facebookresearch/detr</t>
        </is>
      </c>
    </row>
    <row r="8" ht="48" customHeight="1">
      <c r="A8" s="2" t="inlineStr">
        <is>
          <t>General OD</t>
        </is>
      </c>
      <c r="B8" s="2" t="inlineStr">
        <is>
          <t>Co-DETR</t>
        </is>
      </c>
      <c r="C8" s="2" t="inlineStr">
        <is>
          <t>Reproduction</t>
        </is>
      </c>
      <c r="D8" s="2" t="inlineStr">
        <is>
          <t>Reproduction</t>
        </is>
      </c>
      <c r="E8" s="2" t="inlineStr">
        <is>
          <t>2024-04</t>
        </is>
      </c>
      <c r="F8" s="2" t="inlineStr">
        <is>
          <t>Reproduced</t>
        </is>
      </c>
      <c r="G8" s="2" t="inlineStr">
        <is>
          <t>To verify</t>
        </is>
      </c>
      <c r="H8" s="2" t="inlineStr">
        <is>
          <t>To verify</t>
        </is>
      </c>
      <c r="I8" s="2" t="inlineStr">
        <is>
          <t>N/A</t>
        </is>
      </c>
      <c r="J8" s="2" t="inlineStr">
        <is>
          <t>304M</t>
        </is>
      </c>
      <c r="K8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8" s="9" t="inlineStr">
        <is>
          <t>https://arxiv.org/abs/2211.12860</t>
        </is>
      </c>
      <c r="M8" s="9" t="inlineStr">
        <is>
          <t>https://github.com/Sense-X/Co-DETR</t>
        </is>
      </c>
    </row>
    <row r="9" ht="48" customHeight="1">
      <c r="A9" s="2" t="inlineStr">
        <is>
          <t>General OD</t>
        </is>
      </c>
      <c r="B9" s="2" t="inlineStr">
        <is>
          <t>InternImage-L</t>
        </is>
      </c>
      <c r="C9" s="2" t="inlineStr">
        <is>
          <t>Reproduction</t>
        </is>
      </c>
      <c r="D9" s="2" t="inlineStr">
        <is>
          <t>Reproduction</t>
        </is>
      </c>
      <c r="E9" s="2" t="inlineStr">
        <is>
          <t>2024-04</t>
        </is>
      </c>
      <c r="F9" s="2" t="inlineStr">
        <is>
          <t>Reproduced</t>
        </is>
      </c>
      <c r="G9" s="2" t="inlineStr">
        <is>
          <t>To verify</t>
        </is>
      </c>
      <c r="H9" s="2" t="inlineStr">
        <is>
          <t>To verify</t>
        </is>
      </c>
      <c r="I9" s="2" t="inlineStr">
        <is>
          <t>N/A</t>
        </is>
      </c>
      <c r="J9" s="2" t="inlineStr">
        <is>
          <t>≈220M</t>
        </is>
      </c>
      <c r="K9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9" s="9" t="inlineStr">
        <is>
          <t>https://arxiv.org/abs/2211.05778</t>
        </is>
      </c>
      <c r="M9" s="9" t="inlineStr">
        <is>
          <t>https://github.com/OpenGVLab/InternImage</t>
        </is>
      </c>
    </row>
    <row r="10" ht="48" customHeight="1">
      <c r="A10" s="3" t="inlineStr">
        <is>
          <t>Real-Time OD</t>
        </is>
      </c>
      <c r="B10" s="3" t="inlineStr">
        <is>
          <t>YOLOv7</t>
        </is>
      </c>
      <c r="C10" s="3" t="inlineStr">
        <is>
          <t>Reproduction</t>
        </is>
      </c>
      <c r="D10" s="3" t="inlineStr">
        <is>
          <t>Reproduction</t>
        </is>
      </c>
      <c r="E10" s="3" t="inlineStr">
        <is>
          <t>2023-12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To verify</t>
        </is>
      </c>
      <c r="I10" s="3" t="inlineStr">
        <is>
          <t>114</t>
        </is>
      </c>
      <c r="J10" s="3" t="inlineStr">
        <is>
          <t>71.3M</t>
        </is>
      </c>
      <c r="K10" s="3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10" s="6" t="inlineStr">
        <is>
          <t>https://arxiv.org/abs/2207.02696</t>
        </is>
      </c>
      <c r="M10" s="6" t="inlineStr">
        <is>
          <t>https://github.com/WongKinYiu/yolov7</t>
        </is>
      </c>
    </row>
    <row r="11" ht="48" customHeight="1">
      <c r="A11" s="3" t="inlineStr">
        <is>
          <t>Real-Time OD</t>
        </is>
      </c>
      <c r="B11" s="3" t="inlineStr">
        <is>
          <t>YOLOv8x</t>
        </is>
      </c>
      <c r="C11" s="3" t="inlineStr">
        <is>
          <t>Reproduction</t>
        </is>
      </c>
      <c r="D11" s="3" t="inlineStr">
        <is>
          <t>Reproduction</t>
        </is>
      </c>
      <c r="E11" s="3" t="inlineStr">
        <is>
          <t>2024-04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To verify</t>
        </is>
      </c>
      <c r="I11" s="3" t="inlineStr">
        <is>
          <t>99</t>
        </is>
      </c>
      <c r="J11" s="3" t="inlineStr">
        <is>
          <t>68.2M</t>
        </is>
      </c>
      <c r="K11" s="3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11" s="6" t="inlineStr">
        <is>
          <t>https://docs.ultralytics.com/models/yolov8/</t>
        </is>
      </c>
      <c r="M11" s="6" t="inlineStr">
        <is>
          <t>https://github.com/ultralytics/ultralytics</t>
        </is>
      </c>
    </row>
    <row r="12" ht="48" customHeight="1">
      <c r="A12" s="2" t="inlineStr">
        <is>
          <t>General OD</t>
        </is>
      </c>
      <c r="B12" s="2" t="inlineStr">
        <is>
          <t>DINO (Swin-L)</t>
        </is>
      </c>
      <c r="C12" s="2" t="inlineStr">
        <is>
          <t>Reproduction</t>
        </is>
      </c>
      <c r="D12" s="2" t="inlineStr">
        <is>
          <t>Reproduction</t>
        </is>
      </c>
      <c r="E12" s="2" t="inlineStr">
        <is>
          <t>2024-06</t>
        </is>
      </c>
      <c r="F12" s="2" t="inlineStr">
        <is>
          <t>Reproduced</t>
        </is>
      </c>
      <c r="G12" s="2" t="inlineStr">
        <is>
          <t>To verify</t>
        </is>
      </c>
      <c r="H12" s="2" t="inlineStr">
        <is>
          <t>To verify</t>
        </is>
      </c>
      <c r="I12" s="2" t="inlineStr">
        <is>
          <t>N/A</t>
        </is>
      </c>
      <c r="J12" s="2" t="inlineStr">
        <is>
          <t>218M</t>
        </is>
      </c>
      <c r="K12" s="2" t="inlineStr">
        <is>
          <t>⚠️ 多數 OD 方法 (YOLOv7/v8/Sparse R-CNN/Faster R-CNN/Cascade R-CNN/Co-DETR/InternImage-L/DINO Swin-L) 原 paper 只測 COCO，未測 Waymo 2D。需第三方 autonomous driving benchmark paper 驗證</t>
        </is>
      </c>
      <c r="L12" s="9" t="inlineStr">
        <is>
          <t>https://arxiv.org/abs/2203.03605</t>
        </is>
      </c>
      <c r="M12" s="9" t="inlineStr">
        <is>
          <t>https://github.com/IDEA-Research/DINO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DAMO-StreamNet</t>
        </is>
      </c>
      <c r="C2" s="3" t="inlineStr">
        <is>
          <t>Various</t>
        </is>
      </c>
      <c r="D2" s="3" t="inlineStr">
        <is>
          <t>arXiv</t>
        </is>
      </c>
      <c r="E2" s="3" t="inlineStr">
        <is>
          <t>2023-03</t>
        </is>
      </c>
      <c r="F2" s="3" t="inlineStr">
        <is>
          <t>Preprint</t>
        </is>
      </c>
      <c r="G2" s="3" t="inlineStr">
        <is>
          <t>To verify</t>
        </is>
      </c>
      <c r="H2" s="3" t="inlineStr">
        <is>
          <t>sAP Full-Stack Val ≈37.8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Streaming detection</t>
        </is>
      </c>
      <c r="L2" s="6" t="inlineStr">
        <is>
          <t>https://arxiv.org/abs/2303.17144</t>
        </is>
      </c>
      <c r="M2" s="6" t="inlineStr">
        <is>
          <t>https://github.com/zhiqic/DAMO-StreamNet</t>
        </is>
      </c>
    </row>
    <row r="3" ht="48" customHeight="1">
      <c r="A3" s="3" t="inlineStr">
        <is>
          <t>Real-Time OD</t>
        </is>
      </c>
      <c r="B3" s="3" t="inlineStr">
        <is>
          <t>StreamYOLO-Large</t>
        </is>
      </c>
      <c r="C3" s="3" t="inlineStr">
        <is>
          <t>Yang et al.</t>
        </is>
      </c>
      <c r="D3" s="3" t="inlineStr">
        <is>
          <t>ECCV</t>
        </is>
      </c>
      <c r="E3" s="3" t="inlineStr">
        <is>
          <t>2022-09</t>
        </is>
      </c>
      <c r="F3" s="3" t="inlineStr">
        <is>
          <t>Published</t>
        </is>
      </c>
      <c r="G3" s="3" t="inlineStr">
        <is>
          <t>To verify</t>
        </is>
      </c>
      <c r="H3" s="3" t="inlineStr">
        <is>
          <t>sAP Full-Stack Val 37.5</t>
        </is>
      </c>
      <c r="I3" s="3" t="inlineStr">
        <is>
          <t>N/A</t>
        </is>
      </c>
      <c r="J3" s="3" t="inlineStr">
        <is>
          <t>99M</t>
        </is>
      </c>
      <c r="K3" s="3" t="inlineStr">
        <is>
          <t>Larger StreamYOLO</t>
        </is>
      </c>
      <c r="L3" s="6" t="inlineStr">
        <is>
          <t>https://arxiv.org/abs/2207.10433</t>
        </is>
      </c>
      <c r="M3" s="6" t="inlineStr">
        <is>
          <t>https://github.com/yancie-yjr/StreamYOLO</t>
        </is>
      </c>
    </row>
    <row r="4" ht="48" customHeight="1">
      <c r="A4" s="3" t="inlineStr">
        <is>
          <t>Real-Time OD</t>
        </is>
      </c>
      <c r="B4" s="3" t="inlineStr">
        <is>
          <t>LongShortNet</t>
        </is>
      </c>
      <c r="C4" s="3" t="inlineStr">
        <is>
          <t>Li et al.</t>
        </is>
      </c>
      <c r="D4" s="3" t="inlineStr">
        <is>
          <t>CVPR</t>
        </is>
      </c>
      <c r="E4" s="3" t="inlineStr">
        <is>
          <t>2023-04</t>
        </is>
      </c>
      <c r="F4" s="3" t="inlineStr">
        <is>
          <t>Published</t>
        </is>
      </c>
      <c r="G4" s="3" t="inlineStr">
        <is>
          <t>To verify</t>
        </is>
      </c>
      <c r="H4" s="3" t="inlineStr">
        <is>
          <t>sAP Full-Stack Val 37.1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Long–short stream fusion</t>
        </is>
      </c>
      <c r="L4" s="6" t="inlineStr">
        <is>
          <t>https://arxiv.org/abs/2210.15518</t>
        </is>
      </c>
      <c r="M4" s="6" t="inlineStr">
        <is>
          <t>https://github.com/LongShortNet/LongShortNet</t>
        </is>
      </c>
    </row>
    <row r="5" ht="48" customHeight="1">
      <c r="A5" s="3" t="inlineStr">
        <is>
          <t>Real-Time OD</t>
        </is>
      </c>
      <c r="B5" s="3" t="inlineStr">
        <is>
          <t>StreamYOLO</t>
        </is>
      </c>
      <c r="C5" s="3" t="inlineStr">
        <is>
          <t>Yang et al.</t>
        </is>
      </c>
      <c r="D5" s="3" t="inlineStr">
        <is>
          <t>ECCV</t>
        </is>
      </c>
      <c r="E5" s="3" t="inlineStr">
        <is>
          <t>2022-09</t>
        </is>
      </c>
      <c r="F5" s="3" t="inlineStr">
        <is>
          <t>Published</t>
        </is>
      </c>
      <c r="G5" s="3" t="inlineStr">
        <is>
          <t>To verify</t>
        </is>
      </c>
      <c r="H5" s="3" t="inlineStr">
        <is>
          <t>sAP Full-Stack Val 36.1 (paper)</t>
        </is>
      </c>
      <c r="I5" s="3" t="inlineStr">
        <is>
          <t>N/A</t>
        </is>
      </c>
      <c r="J5" s="3" t="inlineStr">
        <is>
          <t>43M</t>
        </is>
      </c>
      <c r="K5" s="3" t="inlineStr">
        <is>
          <t>Streaming AP-optimized</t>
        </is>
      </c>
      <c r="L5" s="6" t="inlineStr">
        <is>
          <t>https://arxiv.org/abs/2207.10433</t>
        </is>
      </c>
      <c r="M5" s="6" t="inlineStr">
        <is>
          <t>https://github.com/yancie-yjr/StreamYOLO</t>
        </is>
      </c>
    </row>
    <row r="6" ht="48" customHeight="1">
      <c r="A6" s="3" t="inlineStr">
        <is>
          <t>Real-Time OD</t>
        </is>
      </c>
      <c r="B6" s="3" t="inlineStr">
        <is>
          <t>YOLOX-Streaming</t>
        </is>
      </c>
      <c r="C6" s="3" t="inlineStr">
        <is>
          <t>Ge et al. + streaming</t>
        </is>
      </c>
      <c r="D6" s="3" t="inlineStr">
        <is>
          <t>CVPR</t>
        </is>
      </c>
      <c r="E6" s="3" t="inlineStr">
        <is>
          <t>2022-06</t>
        </is>
      </c>
      <c r="F6" s="3" t="inlineStr">
        <is>
          <t>Published</t>
        </is>
      </c>
      <c r="G6" s="3" t="inlineStr">
        <is>
          <t>To verify</t>
        </is>
      </c>
      <c r="H6" s="3" t="inlineStr">
        <is>
          <t>sAP Full-Stack Val 32.1</t>
        </is>
      </c>
      <c r="I6" s="3" t="inlineStr">
        <is>
          <t>N/A</t>
        </is>
      </c>
      <c r="J6" s="3" t="inlineStr">
        <is>
          <t>99M</t>
        </is>
      </c>
      <c r="K6" s="3" t="inlineStr">
        <is>
          <t>YOLOX baseline streaming</t>
        </is>
      </c>
      <c r="L6" s="6" t="inlineStr">
        <is>
          <t>https://arxiv.org/abs/2107.08430</t>
        </is>
      </c>
      <c r="M6" s="6" t="inlineStr">
        <is>
          <t>https://github.com/Megvii-BaseDetection/YOLOX</t>
        </is>
      </c>
    </row>
    <row r="7" ht="48" customHeight="1">
      <c r="A7" s="3" t="inlineStr">
        <is>
          <t>Real-Time OD</t>
        </is>
      </c>
      <c r="B7" s="3" t="inlineStr">
        <is>
          <t>Streaming Mask R-CNN</t>
        </is>
      </c>
      <c r="C7" s="3" t="inlineStr">
        <is>
          <t>Li et al.</t>
        </is>
      </c>
      <c r="D7" s="3" t="inlineStr">
        <is>
          <t>ECCV</t>
        </is>
      </c>
      <c r="E7" s="3" t="inlineStr">
        <is>
          <t>2020-09</t>
        </is>
      </c>
      <c r="F7" s="3" t="inlineStr">
        <is>
          <t>Published</t>
        </is>
      </c>
      <c r="G7" s="3" t="inlineStr">
        <is>
          <t>To verify</t>
        </is>
      </c>
      <c r="H7" s="3" t="inlineStr">
        <is>
          <t>sAP Full-Stack Val 21.4 (paper)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Original streaming perception baseline</t>
        </is>
      </c>
      <c r="L7" s="6" t="inlineStr">
        <is>
          <t>https://arxiv.org/abs/2005.10420</t>
        </is>
      </c>
      <c r="M7" s="6" t="inlineStr">
        <is>
          <t>https://github.com/mtli/sAP</t>
        </is>
      </c>
    </row>
    <row r="8" ht="48" customHeight="1">
      <c r="A8" s="3" t="inlineStr">
        <is>
          <t>Real-Time OD</t>
        </is>
      </c>
      <c r="B8" s="3" t="inlineStr">
        <is>
          <t>Adaptive Streamer</t>
        </is>
      </c>
      <c r="C8" s="3" t="inlineStr">
        <is>
          <t>Various</t>
        </is>
      </c>
      <c r="D8" s="3" t="inlineStr">
        <is>
          <t>arXiv</t>
        </is>
      </c>
      <c r="E8" s="3" t="inlineStr">
        <is>
          <t>2024-03</t>
        </is>
      </c>
      <c r="F8" s="3" t="inlineStr">
        <is>
          <t>Preprint</t>
        </is>
      </c>
      <c r="G8" s="3" t="inlineStr">
        <is>
          <t>To verify</t>
        </is>
      </c>
      <c r="H8" s="3" t="inlineStr">
        <is>
          <t>sAP Full-Stack Val To verify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⚠️ Adaptive Streamer 的 Argoverse-HD streaming AP 不在原 paper 中（如 RT-DETR/D-FINE/YOLOv8 原 paper 只測 COCO，未測 streaming OD）。需第三方 streaming benchmark paper（如 StreamYOLO ECCV22, arxiv 2207.10433）來填</t>
        </is>
      </c>
      <c r="L8" s="6" t="inlineStr">
        <is>
          <t>https://arxiv.org/abs/2304.00000</t>
        </is>
      </c>
      <c r="M8" s="6" t="inlineStr">
        <is>
          <t>https://github.com/</t>
        </is>
      </c>
    </row>
    <row r="9" ht="48" customHeight="1">
      <c r="A9" s="3" t="inlineStr">
        <is>
          <t>Real-Time OD</t>
        </is>
      </c>
      <c r="B9" s="3" t="inlineStr">
        <is>
          <t>MMDet-stream baseline</t>
        </is>
      </c>
      <c r="C9" s="3" t="inlineStr">
        <is>
          <t>Reproduction</t>
        </is>
      </c>
      <c r="D9" s="3" t="inlineStr">
        <is>
          <t>Third-party</t>
        </is>
      </c>
      <c r="E9" s="3" t="inlineStr">
        <is>
          <t>2023-12</t>
        </is>
      </c>
      <c r="F9" s="3" t="inlineStr">
        <is>
          <t>Reproduced</t>
        </is>
      </c>
      <c r="G9" s="3" t="inlineStr">
        <is>
          <t>To verify</t>
        </is>
      </c>
      <c r="H9" s="3" t="inlineStr">
        <is>
          <t>sAP Full-Stack Val To verify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⚠️ MMDet-stream baseline 的 Argoverse-HD streaming AP 不在原 paper 中（如 RT-DETR/D-FINE/YOLOv8 原 paper 只測 COCO，未測 streaming OD）。需第三方 streaming benchmark paper（如 StreamYOLO ECCV22, arxiv 2207.10433）來填</t>
        </is>
      </c>
      <c r="L9" s="6" t="inlineStr">
        <is>
          <t>https://github.com/open-mmlab/mmdetection</t>
        </is>
      </c>
      <c r="M9" s="6" t="inlineStr">
        <is>
          <t>https://github.com/open-mmlab/mmdetection</t>
        </is>
      </c>
    </row>
    <row r="10" ht="48" customHeight="1">
      <c r="A10" s="3" t="inlineStr">
        <is>
          <t>Real-Time OD</t>
        </is>
      </c>
      <c r="B10" s="3" t="inlineStr">
        <is>
          <t>RT-DETR (streaming)</t>
        </is>
      </c>
      <c r="C10" s="3" t="inlineStr">
        <is>
          <t>Reproduction</t>
        </is>
      </c>
      <c r="D10" s="3" t="inlineStr">
        <is>
          <t>Third-party</t>
        </is>
      </c>
      <c r="E10" s="3" t="inlineStr">
        <is>
          <t>2024-03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sAP Full-Stack Val To verify</t>
        </is>
      </c>
      <c r="I10" s="3" t="inlineStr">
        <is>
          <t>T4 74</t>
        </is>
      </c>
      <c r="J10" s="3" t="inlineStr">
        <is>
          <t>76M</t>
        </is>
      </c>
      <c r="K10" s="3" t="inlineStr">
        <is>
          <t>⚠️ RT-DETR (streaming) 的 Argoverse-HD streaming AP 不在原 paper 中（如 RT-DETR/D-FINE/YOLOv8 原 paper 只測 COCO，未測 streaming OD）。需第三方 streaming benchmark paper（如 StreamYOLO ECCV22, arxiv 2207.10433）來填</t>
        </is>
      </c>
      <c r="L10" s="6" t="inlineStr">
        <is>
          <t>https://arxiv.org/abs/2304.08069</t>
        </is>
      </c>
      <c r="M10" s="6" t="inlineStr">
        <is>
          <t>https://github.com/lyuwenyu/RT-DETR</t>
        </is>
      </c>
    </row>
    <row r="11" ht="48" customHeight="1">
      <c r="A11" s="3" t="inlineStr">
        <is>
          <t>Real-Time OD</t>
        </is>
      </c>
      <c r="B11" s="3" t="inlineStr">
        <is>
          <t>YOLOv8 (streaming)</t>
        </is>
      </c>
      <c r="C11" s="3" t="inlineStr">
        <is>
          <t>Reproduction</t>
        </is>
      </c>
      <c r="D11" s="3" t="inlineStr">
        <is>
          <t>Third-party</t>
        </is>
      </c>
      <c r="E11" s="3" t="inlineStr">
        <is>
          <t>2024-03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sAP Full-Stack Val To verify</t>
        </is>
      </c>
      <c r="I11" s="3" t="inlineStr">
        <is>
          <t>99</t>
        </is>
      </c>
      <c r="J11" s="3" t="inlineStr">
        <is>
          <t>68.2M</t>
        </is>
      </c>
      <c r="K11" s="3" t="inlineStr">
        <is>
          <t>⚠️ YOLOv8 (streaming) 的 Argoverse-HD streaming AP 不在原 paper 中（如 RT-DETR/D-FINE/YOLOv8 原 paper 只測 COCO，未測 streaming OD）。需第三方 streaming benchmark paper（如 StreamYOLO ECCV22, arxiv 2207.10433）來填</t>
        </is>
      </c>
      <c r="L11" s="6" t="inlineStr">
        <is>
          <t>https://docs.ultralytics.com/models/yolov8/</t>
        </is>
      </c>
      <c r="M11" s="6" t="inlineStr">
        <is>
          <t>https://github.com/ultralytics/ultralytics</t>
        </is>
      </c>
    </row>
    <row r="12" ht="48" customHeight="1">
      <c r="A12" s="3" t="inlineStr">
        <is>
          <t>Real-Time OD</t>
        </is>
      </c>
      <c r="B12" s="3" t="inlineStr">
        <is>
          <t>D-FINE (streaming)</t>
        </is>
      </c>
      <c r="C12" s="3" t="inlineStr">
        <is>
          <t>Reproduction</t>
        </is>
      </c>
      <c r="D12" s="3" t="inlineStr">
        <is>
          <t>Third-party</t>
        </is>
      </c>
      <c r="E12" s="3" t="inlineStr">
        <is>
          <t>2025-04</t>
        </is>
      </c>
      <c r="F12" s="3" t="inlineStr">
        <is>
          <t>Reproduced</t>
        </is>
      </c>
      <c r="G12" s="3" t="inlineStr">
        <is>
          <t>To verify</t>
        </is>
      </c>
      <c r="H12" s="3" t="inlineStr">
        <is>
          <t>sAP Full-Stack Val To verify</t>
        </is>
      </c>
      <c r="I12" s="3" t="inlineStr">
        <is>
          <t>T4 78</t>
        </is>
      </c>
      <c r="J12" s="3" t="inlineStr">
        <is>
          <t>N/A</t>
        </is>
      </c>
      <c r="K12" s="3" t="inlineStr">
        <is>
          <t>⚠️ D-FINE (streaming) 的 Argoverse-HD streaming AP 不在原 paper 中（如 RT-DETR/D-FINE/YOLOv8 原 paper 只測 COCO，未測 streaming OD）。需第三方 streaming benchmark paper（如 StreamYOLO ECCV22, arxiv 2207.10433）來填</t>
        </is>
      </c>
      <c r="L12" s="6" t="inlineStr">
        <is>
          <t>https://arxiv.org/abs/2410.13842</t>
        </is>
      </c>
      <c r="M12" s="6" t="inlineStr">
        <is>
          <t>https://github.com/Peterande/D-FINE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5" activePane="bottomLeft" state="frozen"/>
      <selection pane="bottomLeft" activeCell="L10" sqref="L10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DAMO-StreamNet</t>
        </is>
      </c>
      <c r="C2" s="3" t="inlineStr">
        <is>
          <t>Various</t>
        </is>
      </c>
      <c r="D2" s="3" t="inlineStr">
        <is>
          <t>arXiv</t>
        </is>
      </c>
      <c r="E2" s="3" t="inlineStr">
        <is>
          <t>2023-03</t>
        </is>
      </c>
      <c r="F2" s="3" t="inlineStr">
        <is>
          <t>Preprint</t>
        </is>
      </c>
      <c r="G2" s="3" t="inlineStr">
        <is>
          <t>To verify</t>
        </is>
      </c>
      <c r="H2" s="3" t="inlineStr">
        <is>
          <t>sAP Detection-Only Val ≈37.8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Streaming detection</t>
        </is>
      </c>
      <c r="L2" s="6" t="inlineStr">
        <is>
          <t>https://arxiv.org/abs/2303.17144</t>
        </is>
      </c>
      <c r="M2" s="6" t="inlineStr">
        <is>
          <t>https://github.com/zhiqic/DAMO-StreamNet</t>
        </is>
      </c>
    </row>
    <row r="3" ht="48" customHeight="1">
      <c r="A3" s="3" t="inlineStr">
        <is>
          <t>Real-Time OD</t>
        </is>
      </c>
      <c r="B3" s="3" t="inlineStr">
        <is>
          <t>StreamYOLO-Large</t>
        </is>
      </c>
      <c r="C3" s="3" t="inlineStr">
        <is>
          <t>Yang et al.</t>
        </is>
      </c>
      <c r="D3" s="3" t="inlineStr">
        <is>
          <t>ECCV</t>
        </is>
      </c>
      <c r="E3" s="3" t="inlineStr">
        <is>
          <t>2022-09</t>
        </is>
      </c>
      <c r="F3" s="3" t="inlineStr">
        <is>
          <t>Published</t>
        </is>
      </c>
      <c r="G3" s="3" t="inlineStr">
        <is>
          <t>To verify</t>
        </is>
      </c>
      <c r="H3" s="3" t="inlineStr">
        <is>
          <t>sAP Detection-Only Val 37.5</t>
        </is>
      </c>
      <c r="I3" s="3" t="inlineStr">
        <is>
          <t>N/A</t>
        </is>
      </c>
      <c r="J3" s="3" t="inlineStr">
        <is>
          <t>99M</t>
        </is>
      </c>
      <c r="K3" s="3" t="inlineStr">
        <is>
          <t>Larger StreamYOLO</t>
        </is>
      </c>
      <c r="L3" s="6" t="inlineStr">
        <is>
          <t>https://arxiv.org/abs/2207.10433</t>
        </is>
      </c>
      <c r="M3" s="6" t="inlineStr">
        <is>
          <t>https://github.com/yancie-yjr/StreamYOLO</t>
        </is>
      </c>
    </row>
    <row r="4" ht="48" customHeight="1">
      <c r="A4" s="3" t="inlineStr">
        <is>
          <t>Real-Time OD</t>
        </is>
      </c>
      <c r="B4" s="3" t="inlineStr">
        <is>
          <t>LongShortNet</t>
        </is>
      </c>
      <c r="C4" s="3" t="inlineStr">
        <is>
          <t>Li et al.</t>
        </is>
      </c>
      <c r="D4" s="3" t="inlineStr">
        <is>
          <t>CVPR</t>
        </is>
      </c>
      <c r="E4" s="3" t="inlineStr">
        <is>
          <t>2023-04</t>
        </is>
      </c>
      <c r="F4" s="3" t="inlineStr">
        <is>
          <t>Published</t>
        </is>
      </c>
      <c r="G4" s="3" t="inlineStr">
        <is>
          <t>To verify</t>
        </is>
      </c>
      <c r="H4" s="3" t="inlineStr">
        <is>
          <t>sAP Detection-Only Val 37.1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Long–short stream fusion</t>
        </is>
      </c>
      <c r="L4" s="6" t="inlineStr">
        <is>
          <t>https://arxiv.org/abs/2210.15518</t>
        </is>
      </c>
      <c r="M4" s="6" t="inlineStr">
        <is>
          <t>https://github.com/LongShortNet/LongShortNet</t>
        </is>
      </c>
    </row>
    <row r="5" ht="48" customHeight="1">
      <c r="A5" s="3" t="inlineStr">
        <is>
          <t>Real-Time OD</t>
        </is>
      </c>
      <c r="B5" s="3" t="inlineStr">
        <is>
          <t>StreamYOLO</t>
        </is>
      </c>
      <c r="C5" s="3" t="inlineStr">
        <is>
          <t>Yang et al.</t>
        </is>
      </c>
      <c r="D5" s="3" t="inlineStr">
        <is>
          <t>ECCV</t>
        </is>
      </c>
      <c r="E5" s="3" t="inlineStr">
        <is>
          <t>2022-09</t>
        </is>
      </c>
      <c r="F5" s="3" t="inlineStr">
        <is>
          <t>Published</t>
        </is>
      </c>
      <c r="G5" s="3" t="inlineStr">
        <is>
          <t>To verify</t>
        </is>
      </c>
      <c r="H5" s="3" t="inlineStr">
        <is>
          <t>sAP Detection-Only Val 36.1 (paper)</t>
        </is>
      </c>
      <c r="I5" s="3" t="inlineStr">
        <is>
          <t>N/A</t>
        </is>
      </c>
      <c r="J5" s="3" t="inlineStr">
        <is>
          <t>43M</t>
        </is>
      </c>
      <c r="K5" s="3" t="inlineStr">
        <is>
          <t>Streaming AP-optimized</t>
        </is>
      </c>
      <c r="L5" s="6" t="inlineStr">
        <is>
          <t>https://arxiv.org/abs/2207.10433</t>
        </is>
      </c>
      <c r="M5" s="6" t="inlineStr">
        <is>
          <t>https://github.com/yancie-yjr/StreamYOLO</t>
        </is>
      </c>
    </row>
    <row r="6" ht="48" customHeight="1">
      <c r="A6" s="3" t="inlineStr">
        <is>
          <t>Real-Time OD</t>
        </is>
      </c>
      <c r="B6" s="3" t="inlineStr">
        <is>
          <t>YOLOX-Streaming</t>
        </is>
      </c>
      <c r="C6" s="3" t="inlineStr">
        <is>
          <t>Ge et al. + streaming</t>
        </is>
      </c>
      <c r="D6" s="3" t="inlineStr">
        <is>
          <t>CVPR</t>
        </is>
      </c>
      <c r="E6" s="3" t="inlineStr">
        <is>
          <t>2022-06</t>
        </is>
      </c>
      <c r="F6" s="3" t="inlineStr">
        <is>
          <t>Published</t>
        </is>
      </c>
      <c r="G6" s="3" t="inlineStr">
        <is>
          <t>To verify</t>
        </is>
      </c>
      <c r="H6" s="3" t="inlineStr">
        <is>
          <t>sAP Detection-Only Val 32.1</t>
        </is>
      </c>
      <c r="I6" s="3" t="inlineStr">
        <is>
          <t>N/A</t>
        </is>
      </c>
      <c r="J6" s="3" t="inlineStr">
        <is>
          <t>99M</t>
        </is>
      </c>
      <c r="K6" s="3" t="inlineStr">
        <is>
          <t>YOLOX baseline streaming</t>
        </is>
      </c>
      <c r="L6" s="6" t="inlineStr">
        <is>
          <t>https://arxiv.org/abs/2107.08430</t>
        </is>
      </c>
      <c r="M6" s="6" t="inlineStr">
        <is>
          <t>https://github.com/Megvii-BaseDetection/YOLOX</t>
        </is>
      </c>
    </row>
    <row r="7" ht="48" customHeight="1">
      <c r="A7" s="3" t="inlineStr">
        <is>
          <t>Real-Time OD</t>
        </is>
      </c>
      <c r="B7" s="3" t="inlineStr">
        <is>
          <t>Streaming Mask R-CNN</t>
        </is>
      </c>
      <c r="C7" s="3" t="inlineStr">
        <is>
          <t>Li et al.</t>
        </is>
      </c>
      <c r="D7" s="3" t="inlineStr">
        <is>
          <t>ECCV</t>
        </is>
      </c>
      <c r="E7" s="3" t="inlineStr">
        <is>
          <t>2020-09</t>
        </is>
      </c>
      <c r="F7" s="3" t="inlineStr">
        <is>
          <t>Published</t>
        </is>
      </c>
      <c r="G7" s="3" t="inlineStr">
        <is>
          <t>To verify</t>
        </is>
      </c>
      <c r="H7" s="3" t="inlineStr">
        <is>
          <t>sAP Detection-Only Val 21.4 (paper)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Original streaming perception baseline</t>
        </is>
      </c>
      <c r="L7" s="6" t="inlineStr">
        <is>
          <t>https://arxiv.org/abs/2005.10420</t>
        </is>
      </c>
      <c r="M7" s="6" t="inlineStr">
        <is>
          <t>https://github.com/mtli/sAP</t>
        </is>
      </c>
    </row>
    <row r="8" ht="48" customHeight="1">
      <c r="A8" s="3" t="inlineStr">
        <is>
          <t>Real-Time OD</t>
        </is>
      </c>
      <c r="B8" s="3" t="inlineStr">
        <is>
          <t>Adaptive Streamer</t>
        </is>
      </c>
      <c r="C8" s="3" t="inlineStr">
        <is>
          <t>Various</t>
        </is>
      </c>
      <c r="D8" s="3" t="inlineStr">
        <is>
          <t>arXiv</t>
        </is>
      </c>
      <c r="E8" s="3" t="inlineStr">
        <is>
          <t>2024-03</t>
        </is>
      </c>
      <c r="F8" s="3" t="inlineStr">
        <is>
          <t>Preprint</t>
        </is>
      </c>
      <c r="G8" s="3" t="inlineStr">
        <is>
          <t>To verify</t>
        </is>
      </c>
      <c r="H8" s="3" t="inlineStr">
        <is>
          <t>sAP Detection-Only Val To verify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⚠️ Adaptive Streamer 的 Argoverse-HD streaming AP 不在原 paper 中（如 RT-DETR/D-FINE/YOLOv8 原 paper 只測 COCO，未測 streaming OD）。需第三方 streaming benchmark paper（如 StreamYOLO ECCV22, arxiv 2207.10433）來填</t>
        </is>
      </c>
      <c r="L8" s="6" t="inlineStr">
        <is>
          <t>https://arxiv.org/abs/2304.00000</t>
        </is>
      </c>
      <c r="M8" s="6" t="inlineStr">
        <is>
          <t>https://github.com/</t>
        </is>
      </c>
    </row>
    <row r="9" ht="48" customHeight="1">
      <c r="A9" s="3" t="inlineStr">
        <is>
          <t>Real-Time OD</t>
        </is>
      </c>
      <c r="B9" s="3" t="inlineStr">
        <is>
          <t>MMDet-stream baseline</t>
        </is>
      </c>
      <c r="C9" s="3" t="inlineStr">
        <is>
          <t>Reproduction</t>
        </is>
      </c>
      <c r="D9" s="3" t="inlineStr">
        <is>
          <t>Third-party</t>
        </is>
      </c>
      <c r="E9" s="3" t="inlineStr">
        <is>
          <t>2023-12</t>
        </is>
      </c>
      <c r="F9" s="3" t="inlineStr">
        <is>
          <t>Reproduced</t>
        </is>
      </c>
      <c r="G9" s="3" t="inlineStr">
        <is>
          <t>To verify</t>
        </is>
      </c>
      <c r="H9" s="3" t="inlineStr">
        <is>
          <t>sAP Detection-Only Val To verify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⚠️ MMDet-stream baseline 的 Argoverse-HD streaming AP 不在原 paper 中（如 RT-DETR/D-FINE/YOLOv8 原 paper 只測 COCO，未測 streaming OD）。需第三方 streaming benchmark paper（如 StreamYOLO ECCV22, arxiv 2207.10433）來填</t>
        </is>
      </c>
      <c r="L9" s="6" t="inlineStr">
        <is>
          <t>https://github.com/open-mmlab/mmdetection</t>
        </is>
      </c>
      <c r="M9" s="6" t="inlineStr">
        <is>
          <t>https://github.com/open-mmlab/mmdetection</t>
        </is>
      </c>
    </row>
    <row r="10" ht="48" customHeight="1">
      <c r="A10" s="3" t="inlineStr">
        <is>
          <t>Real-Time OD</t>
        </is>
      </c>
      <c r="B10" s="3" t="inlineStr">
        <is>
          <t>RT-DETR (streaming)</t>
        </is>
      </c>
      <c r="C10" s="3" t="inlineStr">
        <is>
          <t>Reproduction</t>
        </is>
      </c>
      <c r="D10" s="3" t="inlineStr">
        <is>
          <t>Third-party</t>
        </is>
      </c>
      <c r="E10" s="3" t="inlineStr">
        <is>
          <t>2024-03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sAP Detection-Only Val To verify</t>
        </is>
      </c>
      <c r="I10" s="3" t="inlineStr">
        <is>
          <t>T4 74</t>
        </is>
      </c>
      <c r="J10" s="3" t="inlineStr">
        <is>
          <t>76M</t>
        </is>
      </c>
      <c r="K10" s="3" t="inlineStr">
        <is>
          <t>⚠️ RT-DETR (streaming) 的 Argoverse-HD streaming AP 不在原 paper 中（如 RT-DETR/D-FINE/YOLOv8 原 paper 只測 COCO，未測 streaming OD）。需第三方 streaming benchmark paper（如 StreamYOLO ECCV22, arxiv 2207.10433）來填</t>
        </is>
      </c>
      <c r="L10" s="6" t="inlineStr">
        <is>
          <t>https://arxiv.org/abs/2304.08069</t>
        </is>
      </c>
      <c r="M10" s="6" t="inlineStr">
        <is>
          <t>https://github.com/lyuwenyu/RT-DETR</t>
        </is>
      </c>
    </row>
    <row r="11" ht="48" customHeight="1">
      <c r="A11" s="3" t="inlineStr">
        <is>
          <t>Real-Time OD</t>
        </is>
      </c>
      <c r="B11" s="3" t="inlineStr">
        <is>
          <t>YOLOv8 (streaming)</t>
        </is>
      </c>
      <c r="C11" s="3" t="inlineStr">
        <is>
          <t>Reproduction</t>
        </is>
      </c>
      <c r="D11" s="3" t="inlineStr">
        <is>
          <t>Third-party</t>
        </is>
      </c>
      <c r="E11" s="3" t="inlineStr">
        <is>
          <t>2024-03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sAP Detection-Only Val To verify</t>
        </is>
      </c>
      <c r="I11" s="3" t="inlineStr">
        <is>
          <t>99</t>
        </is>
      </c>
      <c r="J11" s="3" t="inlineStr">
        <is>
          <t>68.2M</t>
        </is>
      </c>
      <c r="K11" s="3" t="inlineStr">
        <is>
          <t>⚠️ YOLOv8 (streaming) 的 Argoverse-HD streaming AP 不在原 paper 中（如 RT-DETR/D-FINE/YOLOv8 原 paper 只測 COCO，未測 streaming OD）。需第三方 streaming benchmark paper（如 StreamYOLO ECCV22, arxiv 2207.10433）來填</t>
        </is>
      </c>
      <c r="L11" s="6" t="inlineStr">
        <is>
          <t>https://docs.ultralytics.com/models/yolov8/</t>
        </is>
      </c>
      <c r="M11" s="6" t="inlineStr">
        <is>
          <t>https://github.com/ultralytics/ultralytics</t>
        </is>
      </c>
    </row>
    <row r="12" ht="48" customHeight="1">
      <c r="A12" s="3" t="inlineStr">
        <is>
          <t>Real-Time OD</t>
        </is>
      </c>
      <c r="B12" s="3" t="inlineStr">
        <is>
          <t>D-FINE (streaming)</t>
        </is>
      </c>
      <c r="C12" s="3" t="inlineStr">
        <is>
          <t>Reproduction</t>
        </is>
      </c>
      <c r="D12" s="3" t="inlineStr">
        <is>
          <t>Third-party</t>
        </is>
      </c>
      <c r="E12" s="3" t="inlineStr">
        <is>
          <t>2025-04</t>
        </is>
      </c>
      <c r="F12" s="3" t="inlineStr">
        <is>
          <t>Reproduced</t>
        </is>
      </c>
      <c r="G12" s="3" t="inlineStr">
        <is>
          <t>To verify</t>
        </is>
      </c>
      <c r="H12" s="3" t="inlineStr">
        <is>
          <t>sAP Detection-Only Val To verify</t>
        </is>
      </c>
      <c r="I12" s="3" t="inlineStr">
        <is>
          <t>T4 78</t>
        </is>
      </c>
      <c r="J12" s="3" t="inlineStr">
        <is>
          <t>N/A</t>
        </is>
      </c>
      <c r="K12" s="3" t="inlineStr">
        <is>
          <t>⚠️ D-FINE (streaming) 的 Argoverse-HD streaming AP 不在原 paper 中（如 RT-DETR/D-FINE/YOLOv8 原 paper 只測 COCO，未測 streaming OD）。需第三方 streaming benchmark paper（如 StreamYOLO ECCV22, arxiv 2207.10433）來填</t>
        </is>
      </c>
      <c r="L12" s="6" t="inlineStr">
        <is>
          <t>https://arxiv.org/abs/2410.13842</t>
        </is>
      </c>
      <c r="M12" s="6" t="inlineStr">
        <is>
          <t>https://github.com/Peterande/D-FINE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DAMO-StreamNet</t>
        </is>
      </c>
      <c r="C2" s="3" t="inlineStr">
        <is>
          <t>Various</t>
        </is>
      </c>
      <c r="D2" s="3" t="inlineStr">
        <is>
          <t>arXiv</t>
        </is>
      </c>
      <c r="E2" s="3" t="inlineStr">
        <is>
          <t>2023-03</t>
        </is>
      </c>
      <c r="F2" s="3" t="inlineStr">
        <is>
          <t>Preprint</t>
        </is>
      </c>
      <c r="G2" s="3" t="inlineStr">
        <is>
          <t>To verify</t>
        </is>
      </c>
      <c r="H2" s="3" t="inlineStr">
        <is>
          <t>sAP Detection-Only Test ≈37.8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Streaming detection</t>
        </is>
      </c>
      <c r="L2" s="6" t="inlineStr">
        <is>
          <t>https://arxiv.org/abs/2303.17144</t>
        </is>
      </c>
      <c r="M2" s="6" t="inlineStr">
        <is>
          <t>https://github.com/zhiqic/DAMO-StreamNet</t>
        </is>
      </c>
    </row>
    <row r="3" ht="48" customHeight="1">
      <c r="A3" s="3" t="inlineStr">
        <is>
          <t>Real-Time OD</t>
        </is>
      </c>
      <c r="B3" s="3" t="inlineStr">
        <is>
          <t>StreamYOLO-Large</t>
        </is>
      </c>
      <c r="C3" s="3" t="inlineStr">
        <is>
          <t>Yang et al.</t>
        </is>
      </c>
      <c r="D3" s="3" t="inlineStr">
        <is>
          <t>ECCV</t>
        </is>
      </c>
      <c r="E3" s="3" t="inlineStr">
        <is>
          <t>2022-09</t>
        </is>
      </c>
      <c r="F3" s="3" t="inlineStr">
        <is>
          <t>Published</t>
        </is>
      </c>
      <c r="G3" s="3" t="inlineStr">
        <is>
          <t>To verify</t>
        </is>
      </c>
      <c r="H3" s="3" t="inlineStr">
        <is>
          <t>sAP Detection-Only Test 37.5</t>
        </is>
      </c>
      <c r="I3" s="3" t="inlineStr">
        <is>
          <t>N/A</t>
        </is>
      </c>
      <c r="J3" s="3" t="inlineStr">
        <is>
          <t>99M</t>
        </is>
      </c>
      <c r="K3" s="3" t="inlineStr">
        <is>
          <t>Larger StreamYOLO</t>
        </is>
      </c>
      <c r="L3" s="6" t="inlineStr">
        <is>
          <t>https://arxiv.org/abs/2207.10433</t>
        </is>
      </c>
      <c r="M3" s="6" t="inlineStr">
        <is>
          <t>https://github.com/yancie-yjr/StreamYOLO</t>
        </is>
      </c>
    </row>
    <row r="4" ht="48" customHeight="1">
      <c r="A4" s="3" t="inlineStr">
        <is>
          <t>Real-Time OD</t>
        </is>
      </c>
      <c r="B4" s="3" t="inlineStr">
        <is>
          <t>LongShortNet</t>
        </is>
      </c>
      <c r="C4" s="3" t="inlineStr">
        <is>
          <t>Li et al.</t>
        </is>
      </c>
      <c r="D4" s="3" t="inlineStr">
        <is>
          <t>CVPR</t>
        </is>
      </c>
      <c r="E4" s="3" t="inlineStr">
        <is>
          <t>2023-04</t>
        </is>
      </c>
      <c r="F4" s="3" t="inlineStr">
        <is>
          <t>Published</t>
        </is>
      </c>
      <c r="G4" s="3" t="inlineStr">
        <is>
          <t>To verify</t>
        </is>
      </c>
      <c r="H4" s="3" t="inlineStr">
        <is>
          <t>sAP Detection-Only Test 37.1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Long–short stream fusion</t>
        </is>
      </c>
      <c r="L4" s="6" t="inlineStr">
        <is>
          <t>https://arxiv.org/abs/2210.15518</t>
        </is>
      </c>
      <c r="M4" s="6" t="inlineStr">
        <is>
          <t>https://github.com/LongShortNet/LongShortNet</t>
        </is>
      </c>
    </row>
    <row r="5" ht="48" customHeight="1">
      <c r="A5" s="3" t="inlineStr">
        <is>
          <t>Real-Time OD</t>
        </is>
      </c>
      <c r="B5" s="3" t="inlineStr">
        <is>
          <t>StreamYOLO</t>
        </is>
      </c>
      <c r="C5" s="3" t="inlineStr">
        <is>
          <t>Yang et al.</t>
        </is>
      </c>
      <c r="D5" s="3" t="inlineStr">
        <is>
          <t>ECCV</t>
        </is>
      </c>
      <c r="E5" s="3" t="inlineStr">
        <is>
          <t>2022-09</t>
        </is>
      </c>
      <c r="F5" s="3" t="inlineStr">
        <is>
          <t>Published</t>
        </is>
      </c>
      <c r="G5" s="3" t="inlineStr">
        <is>
          <t>To verify</t>
        </is>
      </c>
      <c r="H5" s="3" t="inlineStr">
        <is>
          <t>sAP Detection-Only Test 36.1 (paper)</t>
        </is>
      </c>
      <c r="I5" s="3" t="inlineStr">
        <is>
          <t>N/A</t>
        </is>
      </c>
      <c r="J5" s="3" t="inlineStr">
        <is>
          <t>43M</t>
        </is>
      </c>
      <c r="K5" s="3" t="inlineStr">
        <is>
          <t>Streaming AP-optimized</t>
        </is>
      </c>
      <c r="L5" s="6" t="inlineStr">
        <is>
          <t>https://arxiv.org/abs/2207.10433</t>
        </is>
      </c>
      <c r="M5" s="6" t="inlineStr">
        <is>
          <t>https://github.com/yancie-yjr/StreamYOLO</t>
        </is>
      </c>
    </row>
    <row r="6" ht="48" customHeight="1">
      <c r="A6" s="3" t="inlineStr">
        <is>
          <t>Real-Time OD</t>
        </is>
      </c>
      <c r="B6" s="3" t="inlineStr">
        <is>
          <t>YOLOX-Streaming</t>
        </is>
      </c>
      <c r="C6" s="3" t="inlineStr">
        <is>
          <t>Ge et al. + streaming</t>
        </is>
      </c>
      <c r="D6" s="3" t="inlineStr">
        <is>
          <t>CVPR</t>
        </is>
      </c>
      <c r="E6" s="3" t="inlineStr">
        <is>
          <t>2022-06</t>
        </is>
      </c>
      <c r="F6" s="3" t="inlineStr">
        <is>
          <t>Published</t>
        </is>
      </c>
      <c r="G6" s="3" t="inlineStr">
        <is>
          <t>To verify</t>
        </is>
      </c>
      <c r="H6" s="3" t="inlineStr">
        <is>
          <t>sAP Detection-Only Test 32.1</t>
        </is>
      </c>
      <c r="I6" s="3" t="inlineStr">
        <is>
          <t>N/A</t>
        </is>
      </c>
      <c r="J6" s="3" t="inlineStr">
        <is>
          <t>99M</t>
        </is>
      </c>
      <c r="K6" s="3" t="inlineStr">
        <is>
          <t>YOLOX baseline streaming</t>
        </is>
      </c>
      <c r="L6" s="6" t="inlineStr">
        <is>
          <t>https://arxiv.org/abs/2107.08430</t>
        </is>
      </c>
      <c r="M6" s="6" t="inlineStr">
        <is>
          <t>https://github.com/Megvii-BaseDetection/YOLOX</t>
        </is>
      </c>
    </row>
    <row r="7" ht="48" customHeight="1">
      <c r="A7" s="3" t="inlineStr">
        <is>
          <t>Real-Time OD</t>
        </is>
      </c>
      <c r="B7" s="3" t="inlineStr">
        <is>
          <t>Streaming Mask R-CNN</t>
        </is>
      </c>
      <c r="C7" s="3" t="inlineStr">
        <is>
          <t>Li et al.</t>
        </is>
      </c>
      <c r="D7" s="3" t="inlineStr">
        <is>
          <t>ECCV</t>
        </is>
      </c>
      <c r="E7" s="3" t="inlineStr">
        <is>
          <t>2020-09</t>
        </is>
      </c>
      <c r="F7" s="3" t="inlineStr">
        <is>
          <t>Published</t>
        </is>
      </c>
      <c r="G7" s="3" t="inlineStr">
        <is>
          <t>To verify</t>
        </is>
      </c>
      <c r="H7" s="3" t="inlineStr">
        <is>
          <t>sAP Detection-Only Test 21.4 (paper)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Original streaming perception baseline</t>
        </is>
      </c>
      <c r="L7" s="6" t="inlineStr">
        <is>
          <t>https://arxiv.org/abs/2005.10420</t>
        </is>
      </c>
      <c r="M7" s="6" t="inlineStr">
        <is>
          <t>https://github.com/mtli/sAP</t>
        </is>
      </c>
    </row>
    <row r="8" ht="48" customHeight="1">
      <c r="A8" s="3" t="inlineStr">
        <is>
          <t>Real-Time OD</t>
        </is>
      </c>
      <c r="B8" s="3" t="inlineStr">
        <is>
          <t>Adaptive Streamer</t>
        </is>
      </c>
      <c r="C8" s="3" t="inlineStr">
        <is>
          <t>Various</t>
        </is>
      </c>
      <c r="D8" s="3" t="inlineStr">
        <is>
          <t>arXiv</t>
        </is>
      </c>
      <c r="E8" s="3" t="inlineStr">
        <is>
          <t>2024-03</t>
        </is>
      </c>
      <c r="F8" s="3" t="inlineStr">
        <is>
          <t>Preprint</t>
        </is>
      </c>
      <c r="G8" s="3" t="inlineStr">
        <is>
          <t>To verify</t>
        </is>
      </c>
      <c r="H8" s="3" t="inlineStr">
        <is>
          <t>sAP Detection-Only Test To verify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⚠️ Adaptive Streamer 的 Argoverse-HD streaming AP 不在原 paper 中（如 RT-DETR/D-FINE/YOLOv8 原 paper 只測 COCO，未測 streaming OD）。需第三方 streaming benchmark paper（如 StreamYOLO ECCV22, arxiv 2207.10433）來填</t>
        </is>
      </c>
      <c r="L8" s="6" t="inlineStr">
        <is>
          <t>https://arxiv.org/abs/2304.00000</t>
        </is>
      </c>
      <c r="M8" s="6" t="inlineStr">
        <is>
          <t>https://github.com/</t>
        </is>
      </c>
    </row>
    <row r="9" ht="48" customHeight="1">
      <c r="A9" s="3" t="inlineStr">
        <is>
          <t>Real-Time OD</t>
        </is>
      </c>
      <c r="B9" s="3" t="inlineStr">
        <is>
          <t>MMDet-stream baseline</t>
        </is>
      </c>
      <c r="C9" s="3" t="inlineStr">
        <is>
          <t>Reproduction</t>
        </is>
      </c>
      <c r="D9" s="3" t="inlineStr">
        <is>
          <t>Third-party</t>
        </is>
      </c>
      <c r="E9" s="3" t="inlineStr">
        <is>
          <t>2023-12</t>
        </is>
      </c>
      <c r="F9" s="3" t="inlineStr">
        <is>
          <t>Reproduced</t>
        </is>
      </c>
      <c r="G9" s="3" t="inlineStr">
        <is>
          <t>To verify</t>
        </is>
      </c>
      <c r="H9" s="3" t="inlineStr">
        <is>
          <t>sAP Detection-Only Test To verify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⚠️ MMDet-stream baseline 的 Argoverse-HD streaming AP 不在原 paper 中（如 RT-DETR/D-FINE/YOLOv8 原 paper 只測 COCO，未測 streaming OD）。需第三方 streaming benchmark paper（如 StreamYOLO ECCV22, arxiv 2207.10433）來填</t>
        </is>
      </c>
      <c r="L9" s="6" t="inlineStr">
        <is>
          <t>https://github.com/open-mmlab/mmdetection</t>
        </is>
      </c>
      <c r="M9" s="6" t="inlineStr">
        <is>
          <t>https://github.com/open-mmlab/mmdetection</t>
        </is>
      </c>
    </row>
    <row r="10" ht="48" customHeight="1">
      <c r="A10" s="3" t="inlineStr">
        <is>
          <t>Real-Time OD</t>
        </is>
      </c>
      <c r="B10" s="3" t="inlineStr">
        <is>
          <t>RT-DETR (streaming)</t>
        </is>
      </c>
      <c r="C10" s="3" t="inlineStr">
        <is>
          <t>Reproduction</t>
        </is>
      </c>
      <c r="D10" s="3" t="inlineStr">
        <is>
          <t>Third-party</t>
        </is>
      </c>
      <c r="E10" s="3" t="inlineStr">
        <is>
          <t>2024-03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sAP Detection-Only Test To verify</t>
        </is>
      </c>
      <c r="I10" s="3" t="inlineStr">
        <is>
          <t>T4 74</t>
        </is>
      </c>
      <c r="J10" s="3" t="inlineStr">
        <is>
          <t>76M</t>
        </is>
      </c>
      <c r="K10" s="3" t="inlineStr">
        <is>
          <t>⚠️ RT-DETR (streaming) 的 Argoverse-HD streaming AP 不在原 paper 中（如 RT-DETR/D-FINE/YOLOv8 原 paper 只測 COCO，未測 streaming OD）。需第三方 streaming benchmark paper（如 StreamYOLO ECCV22, arxiv 2207.10433）來填</t>
        </is>
      </c>
      <c r="L10" s="6" t="inlineStr">
        <is>
          <t>https://arxiv.org/abs/2304.08069</t>
        </is>
      </c>
      <c r="M10" s="6" t="inlineStr">
        <is>
          <t>https://github.com/lyuwenyu/RT-DETR</t>
        </is>
      </c>
    </row>
    <row r="11" ht="48" customHeight="1">
      <c r="A11" s="3" t="inlineStr">
        <is>
          <t>Real-Time OD</t>
        </is>
      </c>
      <c r="B11" s="3" t="inlineStr">
        <is>
          <t>YOLOv8 (streaming)</t>
        </is>
      </c>
      <c r="C11" s="3" t="inlineStr">
        <is>
          <t>Reproduction</t>
        </is>
      </c>
      <c r="D11" s="3" t="inlineStr">
        <is>
          <t>Third-party</t>
        </is>
      </c>
      <c r="E11" s="3" t="inlineStr">
        <is>
          <t>2024-03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sAP Detection-Only Test To verify</t>
        </is>
      </c>
      <c r="I11" s="3" t="inlineStr">
        <is>
          <t>99</t>
        </is>
      </c>
      <c r="J11" s="3" t="inlineStr">
        <is>
          <t>68.2M</t>
        </is>
      </c>
      <c r="K11" s="3" t="inlineStr">
        <is>
          <t>⚠️ YOLOv8 (streaming) 的 Argoverse-HD streaming AP 不在原 paper 中（如 RT-DETR/D-FINE/YOLOv8 原 paper 只測 COCO，未測 streaming OD）。需第三方 streaming benchmark paper（如 StreamYOLO ECCV22, arxiv 2207.10433）來填</t>
        </is>
      </c>
      <c r="L11" s="6" t="inlineStr">
        <is>
          <t>https://docs.ultralytics.com/models/yolov8/</t>
        </is>
      </c>
      <c r="M11" s="6" t="inlineStr">
        <is>
          <t>https://github.com/ultralytics/ultralytics</t>
        </is>
      </c>
    </row>
    <row r="12" ht="48" customHeight="1">
      <c r="A12" s="3" t="inlineStr">
        <is>
          <t>Real-Time OD</t>
        </is>
      </c>
      <c r="B12" s="3" t="inlineStr">
        <is>
          <t>D-FINE (streaming)</t>
        </is>
      </c>
      <c r="C12" s="3" t="inlineStr">
        <is>
          <t>Reproduction</t>
        </is>
      </c>
      <c r="D12" s="3" t="inlineStr">
        <is>
          <t>Third-party</t>
        </is>
      </c>
      <c r="E12" s="3" t="inlineStr">
        <is>
          <t>2025-04</t>
        </is>
      </c>
      <c r="F12" s="3" t="inlineStr">
        <is>
          <t>Reproduced</t>
        </is>
      </c>
      <c r="G12" s="3" t="inlineStr">
        <is>
          <t>To verify</t>
        </is>
      </c>
      <c r="H12" s="3" t="inlineStr">
        <is>
          <t>sAP Detection-Only Test To verify</t>
        </is>
      </c>
      <c r="I12" s="3" t="inlineStr">
        <is>
          <t>T4 78</t>
        </is>
      </c>
      <c r="J12" s="3" t="inlineStr">
        <is>
          <t>N/A</t>
        </is>
      </c>
      <c r="K12" s="3" t="inlineStr">
        <is>
          <t>⚠️ D-FINE (streaming) 的 Argoverse-HD streaming AP 不在原 paper 中（如 RT-DETR/D-FINE/YOLOv8 原 paper 只測 COCO，未測 streaming OD）。需第三方 streaming benchmark paper（如 StreamYOLO ECCV22, arxiv 2207.10433）來填</t>
        </is>
      </c>
      <c r="L12" s="6" t="inlineStr">
        <is>
          <t>https://arxiv.org/abs/2410.13842</t>
        </is>
      </c>
      <c r="M12" s="6" t="inlineStr">
        <is>
          <t>https://github.com/Peterande/D-FINE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3" t="inlineStr">
        <is>
          <t>Real-Time OD</t>
        </is>
      </c>
      <c r="B2" s="3" t="inlineStr">
        <is>
          <t>DAMO-StreamNet</t>
        </is>
      </c>
      <c r="C2" s="3" t="inlineStr">
        <is>
          <t>Various</t>
        </is>
      </c>
      <c r="D2" s="3" t="inlineStr">
        <is>
          <t>arXiv</t>
        </is>
      </c>
      <c r="E2" s="3" t="inlineStr">
        <is>
          <t>2023-03</t>
        </is>
      </c>
      <c r="F2" s="3" t="inlineStr">
        <is>
          <t>Preprint</t>
        </is>
      </c>
      <c r="G2" s="3" t="inlineStr">
        <is>
          <t>To verify</t>
        </is>
      </c>
      <c r="H2" s="3" t="inlineStr">
        <is>
          <t>sAP Full-Stack Test ≈37.8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Streaming detection</t>
        </is>
      </c>
      <c r="L2" s="6" t="inlineStr">
        <is>
          <t>https://arxiv.org/abs/2303.17144</t>
        </is>
      </c>
      <c r="M2" s="6" t="inlineStr">
        <is>
          <t>https://github.com/zhiqic/DAMO-StreamNet</t>
        </is>
      </c>
    </row>
    <row r="3" ht="48" customHeight="1">
      <c r="A3" s="3" t="inlineStr">
        <is>
          <t>Real-Time OD</t>
        </is>
      </c>
      <c r="B3" s="3" t="inlineStr">
        <is>
          <t>StreamYOLO-Large</t>
        </is>
      </c>
      <c r="C3" s="3" t="inlineStr">
        <is>
          <t>Yang et al.</t>
        </is>
      </c>
      <c r="D3" s="3" t="inlineStr">
        <is>
          <t>ECCV</t>
        </is>
      </c>
      <c r="E3" s="3" t="inlineStr">
        <is>
          <t>2022-09</t>
        </is>
      </c>
      <c r="F3" s="3" t="inlineStr">
        <is>
          <t>Published</t>
        </is>
      </c>
      <c r="G3" s="3" t="inlineStr">
        <is>
          <t>To verify</t>
        </is>
      </c>
      <c r="H3" s="3" t="inlineStr">
        <is>
          <t>sAP Full-Stack Test 37.5</t>
        </is>
      </c>
      <c r="I3" s="3" t="inlineStr">
        <is>
          <t>N/A</t>
        </is>
      </c>
      <c r="J3" s="3" t="inlineStr">
        <is>
          <t>99M</t>
        </is>
      </c>
      <c r="K3" s="3" t="inlineStr">
        <is>
          <t>Larger StreamYOLO</t>
        </is>
      </c>
      <c r="L3" s="6" t="inlineStr">
        <is>
          <t>https://arxiv.org/abs/2207.10433</t>
        </is>
      </c>
      <c r="M3" s="6" t="inlineStr">
        <is>
          <t>https://github.com/yancie-yjr/StreamYOLO</t>
        </is>
      </c>
    </row>
    <row r="4" ht="48" customHeight="1">
      <c r="A4" s="3" t="inlineStr">
        <is>
          <t>Real-Time OD</t>
        </is>
      </c>
      <c r="B4" s="3" t="inlineStr">
        <is>
          <t>LongShortNet</t>
        </is>
      </c>
      <c r="C4" s="3" t="inlineStr">
        <is>
          <t>Li et al.</t>
        </is>
      </c>
      <c r="D4" s="3" t="inlineStr">
        <is>
          <t>CVPR</t>
        </is>
      </c>
      <c r="E4" s="3" t="inlineStr">
        <is>
          <t>2023-04</t>
        </is>
      </c>
      <c r="F4" s="3" t="inlineStr">
        <is>
          <t>Published</t>
        </is>
      </c>
      <c r="G4" s="3" t="inlineStr">
        <is>
          <t>To verify</t>
        </is>
      </c>
      <c r="H4" s="3" t="inlineStr">
        <is>
          <t>sAP Full-Stack Test 37.1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Long–short stream fusion</t>
        </is>
      </c>
      <c r="L4" s="6" t="inlineStr">
        <is>
          <t>https://arxiv.org/abs/2210.15518</t>
        </is>
      </c>
      <c r="M4" s="6" t="inlineStr">
        <is>
          <t>https://github.com/LongShortNet/LongShortNet</t>
        </is>
      </c>
    </row>
    <row r="5" ht="48" customHeight="1">
      <c r="A5" s="3" t="inlineStr">
        <is>
          <t>Real-Time OD</t>
        </is>
      </c>
      <c r="B5" s="3" t="inlineStr">
        <is>
          <t>StreamYOLO</t>
        </is>
      </c>
      <c r="C5" s="3" t="inlineStr">
        <is>
          <t>Yang et al.</t>
        </is>
      </c>
      <c r="D5" s="3" t="inlineStr">
        <is>
          <t>ECCV</t>
        </is>
      </c>
      <c r="E5" s="3" t="inlineStr">
        <is>
          <t>2022-09</t>
        </is>
      </c>
      <c r="F5" s="3" t="inlineStr">
        <is>
          <t>Published</t>
        </is>
      </c>
      <c r="G5" s="3" t="inlineStr">
        <is>
          <t>To verify</t>
        </is>
      </c>
      <c r="H5" s="3" t="inlineStr">
        <is>
          <t>sAP Full-Stack Test 36.1 (paper)</t>
        </is>
      </c>
      <c r="I5" s="3" t="inlineStr">
        <is>
          <t>N/A</t>
        </is>
      </c>
      <c r="J5" s="3" t="inlineStr">
        <is>
          <t>43M</t>
        </is>
      </c>
      <c r="K5" s="3" t="inlineStr">
        <is>
          <t>Streaming AP-optimized</t>
        </is>
      </c>
      <c r="L5" s="6" t="inlineStr">
        <is>
          <t>https://arxiv.org/abs/2207.10433</t>
        </is>
      </c>
      <c r="M5" s="6" t="inlineStr">
        <is>
          <t>https://github.com/yancie-yjr/StreamYOLO</t>
        </is>
      </c>
    </row>
    <row r="6" ht="48" customHeight="1">
      <c r="A6" s="3" t="inlineStr">
        <is>
          <t>Real-Time OD</t>
        </is>
      </c>
      <c r="B6" s="3" t="inlineStr">
        <is>
          <t>YOLOX-Streaming</t>
        </is>
      </c>
      <c r="C6" s="3" t="inlineStr">
        <is>
          <t>Ge et al. + streaming</t>
        </is>
      </c>
      <c r="D6" s="3" t="inlineStr">
        <is>
          <t>CVPR</t>
        </is>
      </c>
      <c r="E6" s="3" t="inlineStr">
        <is>
          <t>2022-06</t>
        </is>
      </c>
      <c r="F6" s="3" t="inlineStr">
        <is>
          <t>Published</t>
        </is>
      </c>
      <c r="G6" s="3" t="inlineStr">
        <is>
          <t>To verify</t>
        </is>
      </c>
      <c r="H6" s="3" t="inlineStr">
        <is>
          <t>sAP Full-Stack Test 32.1</t>
        </is>
      </c>
      <c r="I6" s="3" t="inlineStr">
        <is>
          <t>N/A</t>
        </is>
      </c>
      <c r="J6" s="3" t="inlineStr">
        <is>
          <t>99M</t>
        </is>
      </c>
      <c r="K6" s="3" t="inlineStr">
        <is>
          <t>YOLOX baseline streaming</t>
        </is>
      </c>
      <c r="L6" s="6" t="inlineStr">
        <is>
          <t>https://arxiv.org/abs/2107.08430</t>
        </is>
      </c>
      <c r="M6" s="6" t="inlineStr">
        <is>
          <t>https://github.com/Megvii-BaseDetection/YOLOX</t>
        </is>
      </c>
    </row>
    <row r="7" ht="48" customHeight="1">
      <c r="A7" s="3" t="inlineStr">
        <is>
          <t>Real-Time OD</t>
        </is>
      </c>
      <c r="B7" s="3" t="inlineStr">
        <is>
          <t>Streaming Mask R-CNN</t>
        </is>
      </c>
      <c r="C7" s="3" t="inlineStr">
        <is>
          <t>Li et al.</t>
        </is>
      </c>
      <c r="D7" s="3" t="inlineStr">
        <is>
          <t>ECCV</t>
        </is>
      </c>
      <c r="E7" s="3" t="inlineStr">
        <is>
          <t>2020-09</t>
        </is>
      </c>
      <c r="F7" s="3" t="inlineStr">
        <is>
          <t>Published</t>
        </is>
      </c>
      <c r="G7" s="3" t="inlineStr">
        <is>
          <t>To verify</t>
        </is>
      </c>
      <c r="H7" s="3" t="inlineStr">
        <is>
          <t>sAP Full-Stack Test 21.4 (paper)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Original streaming perception baseline</t>
        </is>
      </c>
      <c r="L7" s="6" t="inlineStr">
        <is>
          <t>https://arxiv.org/abs/2005.10420</t>
        </is>
      </c>
      <c r="M7" s="6" t="inlineStr">
        <is>
          <t>https://github.com/mtli/sAP</t>
        </is>
      </c>
    </row>
    <row r="8" ht="48" customHeight="1">
      <c r="A8" s="3" t="inlineStr">
        <is>
          <t>Real-Time OD</t>
        </is>
      </c>
      <c r="B8" s="3" t="inlineStr">
        <is>
          <t>Adaptive Streamer</t>
        </is>
      </c>
      <c r="C8" s="3" t="inlineStr">
        <is>
          <t>Various</t>
        </is>
      </c>
      <c r="D8" s="3" t="inlineStr">
        <is>
          <t>arXiv</t>
        </is>
      </c>
      <c r="E8" s="3" t="inlineStr">
        <is>
          <t>2024-03</t>
        </is>
      </c>
      <c r="F8" s="3" t="inlineStr">
        <is>
          <t>Preprint</t>
        </is>
      </c>
      <c r="G8" s="3" t="inlineStr">
        <is>
          <t>To verify</t>
        </is>
      </c>
      <c r="H8" s="3" t="inlineStr">
        <is>
          <t>sAP Full-Stack Test To verify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⚠️ Adaptive Streamer 的 Argoverse-HD streaming AP 不在原 paper 中（如 RT-DETR/D-FINE/YOLOv8 原 paper 只測 COCO，未測 streaming OD）。需第三方 streaming benchmark paper（如 StreamYOLO ECCV22, arxiv 2207.10433）來填</t>
        </is>
      </c>
      <c r="L8" s="6" t="inlineStr">
        <is>
          <t>https://arxiv.org/abs/2304.00000</t>
        </is>
      </c>
      <c r="M8" s="6" t="inlineStr">
        <is>
          <t>https://github.com/</t>
        </is>
      </c>
    </row>
    <row r="9" ht="48" customHeight="1">
      <c r="A9" s="3" t="inlineStr">
        <is>
          <t>Real-Time OD</t>
        </is>
      </c>
      <c r="B9" s="3" t="inlineStr">
        <is>
          <t>MMDet-stream baseline</t>
        </is>
      </c>
      <c r="C9" s="3" t="inlineStr">
        <is>
          <t>Reproduction</t>
        </is>
      </c>
      <c r="D9" s="3" t="inlineStr">
        <is>
          <t>Third-party</t>
        </is>
      </c>
      <c r="E9" s="3" t="inlineStr">
        <is>
          <t>2023-12</t>
        </is>
      </c>
      <c r="F9" s="3" t="inlineStr">
        <is>
          <t>Reproduced</t>
        </is>
      </c>
      <c r="G9" s="3" t="inlineStr">
        <is>
          <t>To verify</t>
        </is>
      </c>
      <c r="H9" s="3" t="inlineStr">
        <is>
          <t>sAP Full-Stack Test To verify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⚠️ MMDet-stream baseline 的 Argoverse-HD streaming AP 不在原 paper 中（如 RT-DETR/D-FINE/YOLOv8 原 paper 只測 COCO，未測 streaming OD）。需第三方 streaming benchmark paper（如 StreamYOLO ECCV22, arxiv 2207.10433）來填</t>
        </is>
      </c>
      <c r="L9" s="6" t="inlineStr">
        <is>
          <t>https://github.com/open-mmlab/mmdetection</t>
        </is>
      </c>
      <c r="M9" s="6" t="inlineStr">
        <is>
          <t>https://github.com/open-mmlab/mmdetection</t>
        </is>
      </c>
    </row>
    <row r="10" ht="48" customHeight="1">
      <c r="A10" s="3" t="inlineStr">
        <is>
          <t>Real-Time OD</t>
        </is>
      </c>
      <c r="B10" s="3" t="inlineStr">
        <is>
          <t>RT-DETR (streaming)</t>
        </is>
      </c>
      <c r="C10" s="3" t="inlineStr">
        <is>
          <t>Reproduction</t>
        </is>
      </c>
      <c r="D10" s="3" t="inlineStr">
        <is>
          <t>Third-party</t>
        </is>
      </c>
      <c r="E10" s="3" t="inlineStr">
        <is>
          <t>2024-03</t>
        </is>
      </c>
      <c r="F10" s="3" t="inlineStr">
        <is>
          <t>Reproduced</t>
        </is>
      </c>
      <c r="G10" s="3" t="inlineStr">
        <is>
          <t>To verify</t>
        </is>
      </c>
      <c r="H10" s="3" t="inlineStr">
        <is>
          <t>sAP Full-Stack Test To verify</t>
        </is>
      </c>
      <c r="I10" s="3" t="inlineStr">
        <is>
          <t>T4 74</t>
        </is>
      </c>
      <c r="J10" s="3" t="inlineStr">
        <is>
          <t>76M</t>
        </is>
      </c>
      <c r="K10" s="3" t="inlineStr">
        <is>
          <t>⚠️ RT-DETR (streaming) 的 Argoverse-HD streaming AP 不在原 paper 中（如 RT-DETR/D-FINE/YOLOv8 原 paper 只測 COCO，未測 streaming OD）。需第三方 streaming benchmark paper（如 StreamYOLO ECCV22, arxiv 2207.10433）來填</t>
        </is>
      </c>
      <c r="L10" s="6" t="inlineStr">
        <is>
          <t>https://arxiv.org/abs/2304.08069</t>
        </is>
      </c>
      <c r="M10" s="6" t="inlineStr">
        <is>
          <t>https://github.com/lyuwenyu/RT-DETR</t>
        </is>
      </c>
    </row>
    <row r="11" ht="48" customHeight="1">
      <c r="A11" s="3" t="inlineStr">
        <is>
          <t>Real-Time OD</t>
        </is>
      </c>
      <c r="B11" s="3" t="inlineStr">
        <is>
          <t>YOLOv8 (streaming)</t>
        </is>
      </c>
      <c r="C11" s="3" t="inlineStr">
        <is>
          <t>Reproduction</t>
        </is>
      </c>
      <c r="D11" s="3" t="inlineStr">
        <is>
          <t>Third-party</t>
        </is>
      </c>
      <c r="E11" s="3" t="inlineStr">
        <is>
          <t>2024-03</t>
        </is>
      </c>
      <c r="F11" s="3" t="inlineStr">
        <is>
          <t>Reproduced</t>
        </is>
      </c>
      <c r="G11" s="3" t="inlineStr">
        <is>
          <t>To verify</t>
        </is>
      </c>
      <c r="H11" s="3" t="inlineStr">
        <is>
          <t>sAP Full-Stack Test To verify</t>
        </is>
      </c>
      <c r="I11" s="3" t="inlineStr">
        <is>
          <t>99</t>
        </is>
      </c>
      <c r="J11" s="3" t="inlineStr">
        <is>
          <t>68.2M</t>
        </is>
      </c>
      <c r="K11" s="3" t="inlineStr">
        <is>
          <t>⚠️ YOLOv8 (streaming) 的 Argoverse-HD streaming AP 不在原 paper 中（如 RT-DETR/D-FINE/YOLOv8 原 paper 只測 COCO，未測 streaming OD）。需第三方 streaming benchmark paper（如 StreamYOLO ECCV22, arxiv 2207.10433）來填</t>
        </is>
      </c>
      <c r="L11" s="6" t="inlineStr">
        <is>
          <t>https://docs.ultralytics.com/models/yolov8/</t>
        </is>
      </c>
      <c r="M11" s="6" t="inlineStr">
        <is>
          <t>https://github.com/ultralytics/ultralytics</t>
        </is>
      </c>
    </row>
    <row r="12" ht="48" customHeight="1">
      <c r="A12" s="3" t="inlineStr">
        <is>
          <t>Real-Time OD</t>
        </is>
      </c>
      <c r="B12" s="3" t="inlineStr">
        <is>
          <t>D-FINE (streaming)</t>
        </is>
      </c>
      <c r="C12" s="3" t="inlineStr">
        <is>
          <t>Reproduction</t>
        </is>
      </c>
      <c r="D12" s="3" t="inlineStr">
        <is>
          <t>Third-party</t>
        </is>
      </c>
      <c r="E12" s="3" t="inlineStr">
        <is>
          <t>2025-04</t>
        </is>
      </c>
      <c r="F12" s="3" t="inlineStr">
        <is>
          <t>Reproduced</t>
        </is>
      </c>
      <c r="G12" s="3" t="inlineStr">
        <is>
          <t>To verify</t>
        </is>
      </c>
      <c r="H12" s="3" t="inlineStr">
        <is>
          <t>sAP Full-Stack Test To verify</t>
        </is>
      </c>
      <c r="I12" s="3" t="inlineStr">
        <is>
          <t>T4 78</t>
        </is>
      </c>
      <c r="J12" s="3" t="inlineStr">
        <is>
          <t>N/A</t>
        </is>
      </c>
      <c r="K12" s="3" t="inlineStr">
        <is>
          <t>⚠️ D-FINE (streaming) 的 Argoverse-HD streaming AP 不在原 paper 中（如 RT-DETR/D-FINE/YOLOv8 原 paper 只測 COCO，未測 streaming OD）。需第三方 streaming benchmark paper（如 StreamYOLO ECCV22, arxiv 2207.10433）來填</t>
        </is>
      </c>
      <c r="L12" s="6" t="inlineStr">
        <is>
          <t>https://arxiv.org/abs/2410.13842</t>
        </is>
      </c>
      <c r="M12" s="6" t="inlineStr">
        <is>
          <t>https://github.com/Peterande/D-FINE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  <row r="14">
      <c r="A14" s="4" t="inlineStr">
        <is>
          <t>RGB Salient OD</t>
        </is>
      </c>
      <c r="B14" s="4" t="inlineStr">
        <is>
          <t>S3OD (synthetic)</t>
        </is>
      </c>
      <c r="C14" s="4" t="inlineStr">
        <is>
          <t>Various</t>
        </is>
      </c>
      <c r="D14" s="4" t="inlineStr">
        <is>
          <t>arXiv</t>
        </is>
      </c>
      <c r="E14" s="4" t="inlineStr">
        <is>
          <t>2025-10</t>
        </is>
      </c>
      <c r="F14" s="4" t="inlineStr">
        <is>
          <t>Preprint</t>
        </is>
      </c>
      <c r="G14" s="4" t="inlineStr">
        <is>
          <t>N/A</t>
        </is>
      </c>
      <c r="H14" s="4" t="inlineStr">
        <is>
          <t>S 0.938 / Fm 0.937 / Em 0.962 / MAE 0.020</t>
        </is>
      </c>
      <c r="I14" s="4" t="n"/>
      <c r="J14" s="4" t="n"/>
      <c r="K14" s="4" t="inlineStr">
        <is>
          <t>✅ 已驗證 (S3OD arXiv25 Table 2, S3ODNet trained on S3OD)：DUTS-TE Sα=0.938 [Synthetic-trained SOD]</t>
        </is>
      </c>
      <c r="L14" s="7" t="inlineStr">
        <is>
          <t>https://arxiv.org/abs/2510.21605</t>
        </is>
      </c>
      <c r="M14" s="7" t="inlineStr">
        <is>
          <t>https://github.com/</t>
        </is>
      </c>
    </row>
    <row r="15">
      <c r="A15" s="4" t="inlineStr">
        <is>
          <t>RGB Salient OD</t>
        </is>
      </c>
      <c r="B15" s="4" t="inlineStr">
        <is>
          <t>VSCode</t>
        </is>
      </c>
      <c r="C15" s="4" t="inlineStr">
        <is>
          <t>Luo et al.</t>
        </is>
      </c>
      <c r="D15" s="4" t="inlineStr">
        <is>
          <t>CVPR</t>
        </is>
      </c>
      <c r="E15" s="4" t="inlineStr">
        <is>
          <t>2024-06</t>
        </is>
      </c>
      <c r="F15" s="4" t="inlineStr">
        <is>
          <t>Preprint</t>
        </is>
      </c>
      <c r="G15" s="4" t="inlineStr">
        <is>
          <t>N/A</t>
        </is>
      </c>
      <c r="H15" s="4" t="inlineStr">
        <is>
          <t>S 0.926 / Fm 0.922 / Em 0.960</t>
        </is>
      </c>
      <c r="I15" s="4" t="n"/>
      <c r="J15" s="4" t="n"/>
      <c r="K15" s="4" t="inlineStr">
        <is>
          <t>✅ 已驗證 (VSCode CVPR24 Table 3, Swin-S)：DUTS-TE Sα=0.926 [Multi-modal SOD unified]</t>
        </is>
      </c>
      <c r="L15" s="7" t="inlineStr">
        <is>
          <t>https://arxiv.org/abs/2311.15011</t>
        </is>
      </c>
      <c r="M15" s="7" t="inlineStr">
        <is>
          <t>https://github.com/Sssssuperior/VSCode</t>
        </is>
      </c>
    </row>
    <row r="16">
      <c r="A16" s="4" t="inlineStr">
        <is>
          <t>RGB Salient OD</t>
        </is>
      </c>
      <c r="B16" s="4" t="inlineStr">
        <is>
          <t>CPD-R</t>
        </is>
      </c>
      <c r="C16" s="4" t="inlineStr">
        <is>
          <t>Wu et al.</t>
        </is>
      </c>
      <c r="D16" s="4" t="inlineStr">
        <is>
          <t>CVPR</t>
        </is>
      </c>
      <c r="E16" s="4" t="inlineStr">
        <is>
          <t>2019-06</t>
        </is>
      </c>
      <c r="F16" s="4" t="inlineStr">
        <is>
          <t>Preprint</t>
        </is>
      </c>
      <c r="G16" s="4" t="inlineStr">
        <is>
          <t>N/A</t>
        </is>
      </c>
      <c r="H16" s="4" t="inlineStr">
        <is>
          <t>S 0.865 / Fβ 0.805 / MAE 0.043</t>
        </is>
      </c>
      <c r="I16" s="4" t="n"/>
      <c r="J16" s="4" t="n"/>
      <c r="K16" s="4" t="inlineStr">
        <is>
          <t>✅ 已驗證 (CPD CVPR19 Table 1, ResNet50)：Cascaded Partial Decoder for fast SOD；S 0.865 / Fβ 0.805 / MAE 0.043 [SOD]</t>
        </is>
      </c>
      <c r="L16" s="7" t="inlineStr">
        <is>
          <t>https://arxiv.org/abs/1904.08739</t>
        </is>
      </c>
      <c r="M16" s="7" t="inlineStr">
        <is>
          <t>https://github.com/wuzhe71/CPD</t>
        </is>
      </c>
    </row>
    <row r="17">
      <c r="A17" s="4" t="inlineStr">
        <is>
          <t>RGB Salient OD</t>
        </is>
      </c>
      <c r="B17" s="4" t="inlineStr">
        <is>
          <t>Samba</t>
        </is>
      </c>
      <c r="C17" s="4" t="inlineStr">
        <is>
          <t>—</t>
        </is>
      </c>
      <c r="D17" s="4" t="inlineStr">
        <is>
          <t>CVPR 2025</t>
        </is>
      </c>
      <c r="E17" s="4" t="inlineStr">
        <is>
          <t>2025-06</t>
        </is>
      </c>
      <c r="F17" s="4" t="inlineStr">
        <is>
          <t>Preprint</t>
        </is>
      </c>
      <c r="G17" s="4" t="n"/>
      <c r="H17" s="4" t="n"/>
      <c r="I17" s="4" t="n"/>
      <c r="J17" s="4" t="n"/>
      <c r="K17" s="4" t="inlineStr">
        <is>
          <t xml:space="preserve">⚠️ 自動抽取・指標待驗證 (已偵測使用此資料集)：CVF Open Access 自動收錄；指標待人工驗證。Samba: A Unified Mamba-based Framework for General </t>
        </is>
      </c>
      <c r="L17" s="7" t="inlineStr">
        <is>
          <t>https://openaccess.thecvf.com/content/CVPR2025/html/He_Samba_A_Unified_Mamba-based_Framework_for_General_Salient_Object_Detection_CVPR_2025_paper.html</t>
        </is>
      </c>
      <c r="M17" s="7" t="inlineStr">
        <is>
          <t>N/A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DUT-OMRON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DUT-OMRON;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DUT-OMRON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DUT-OMRON;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DUT-OMRON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DUT-OMRON;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DUT-OMRON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DUT-OMRON;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DUT-OMRON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DUT-OMRON;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DUT-OMRON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DUT-OMRON;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DUT-OMRON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DUT-OMRON;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DUT-OMRON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DUT-OMRON;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DUT-OMRON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DUT-OMRON;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DUT-OMRON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DUT-OMRON;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DUT-OMRON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DUT-OMRON;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DUT-OMRON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DUT-OMRON;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  <row r="14">
      <c r="A14" s="4" t="inlineStr">
        <is>
          <t>RGB Salient OD</t>
        </is>
      </c>
      <c r="B14" s="4" t="inlineStr">
        <is>
          <t>S3OD (synthetic)</t>
        </is>
      </c>
      <c r="C14" s="4" t="inlineStr">
        <is>
          <t>Various</t>
        </is>
      </c>
      <c r="D14" s="4" t="inlineStr">
        <is>
          <t>arXiv</t>
        </is>
      </c>
      <c r="E14" s="4" t="inlineStr">
        <is>
          <t>2025-10</t>
        </is>
      </c>
      <c r="F14" s="4" t="inlineStr">
        <is>
          <t>Preprint</t>
        </is>
      </c>
      <c r="G14" s="4" t="inlineStr">
        <is>
          <t>N/A</t>
        </is>
      </c>
      <c r="H14" s="4" t="inlineStr">
        <is>
          <t>S 0.887 / Fm 0.860 / Em 0.911 / MAE 0.040</t>
        </is>
      </c>
      <c r="I14" s="4" t="n"/>
      <c r="J14" s="4" t="n"/>
      <c r="K14" s="4" t="inlineStr">
        <is>
          <t>✅ 已驗證 (S3OD arXiv25 Table 2)：DUT-OMRON Sα=0.887 [Synthetic-trained SOD]</t>
        </is>
      </c>
      <c r="L14" s="7" t="inlineStr">
        <is>
          <t>https://arxiv.org/abs/2510.21605</t>
        </is>
      </c>
      <c r="M14" s="7" t="inlineStr">
        <is>
          <t>https://github.com/</t>
        </is>
      </c>
    </row>
    <row r="15">
      <c r="A15" s="4" t="inlineStr">
        <is>
          <t>RGB Salient OD</t>
        </is>
      </c>
      <c r="B15" s="4" t="inlineStr">
        <is>
          <t>CPD-R</t>
        </is>
      </c>
      <c r="C15" s="4" t="inlineStr">
        <is>
          <t>Wu et al.</t>
        </is>
      </c>
      <c r="D15" s="4" t="inlineStr">
        <is>
          <t>CVPR</t>
        </is>
      </c>
      <c r="E15" s="4" t="inlineStr">
        <is>
          <t>2019-06</t>
        </is>
      </c>
      <c r="F15" s="4" t="inlineStr">
        <is>
          <t>Preprint</t>
        </is>
      </c>
      <c r="G15" s="4" t="inlineStr">
        <is>
          <t>N/A</t>
        </is>
      </c>
      <c r="H15" s="4" t="inlineStr">
        <is>
          <t>S 0.797 / Fβ 0.747 / MAE 0.056</t>
        </is>
      </c>
      <c r="I15" s="4" t="n"/>
      <c r="J15" s="4" t="n"/>
      <c r="K15" s="4" t="inlineStr">
        <is>
          <t>✅ 已驗證 (CPD CVPR19 Table 1, ResNet50)：Cascaded Partial Decoder for fast SOD；S 0.797 / Fβ 0.747 / MAE 0.056 [SOD]</t>
        </is>
      </c>
      <c r="L15" s="7" t="inlineStr">
        <is>
          <t>https://arxiv.org/abs/1904.08739</t>
        </is>
      </c>
      <c r="M15" s="7" t="inlineStr">
        <is>
          <t>https://github.com/wuzhe71/CPD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H2" sqref="H2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ECSSD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ECSSD;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ECSSD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ECSSD;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ECSSD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ECSSD;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ECSSD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ECSSD;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ECSSD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ECSSD;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ECSSD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ECSSD;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ECSSD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ECSSD;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ECSSD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ECSSD;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ECSSD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ECSSD;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ECSSD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ECSSD;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ECSSD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ECSSD;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ECSSD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ECSSD;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  <row r="14">
      <c r="A14" s="4" t="inlineStr">
        <is>
          <t>RGB Salient OD</t>
        </is>
      </c>
      <c r="B14" s="4" t="inlineStr">
        <is>
          <t>S3OD (synthetic)</t>
        </is>
      </c>
      <c r="C14" s="4" t="inlineStr">
        <is>
          <t>Various</t>
        </is>
      </c>
      <c r="D14" s="4" t="inlineStr">
        <is>
          <t>arXiv</t>
        </is>
      </c>
      <c r="E14" s="4" t="inlineStr">
        <is>
          <t>2025-10</t>
        </is>
      </c>
      <c r="F14" s="4" t="inlineStr">
        <is>
          <t>Preprint</t>
        </is>
      </c>
      <c r="G14" s="4" t="n"/>
      <c r="H14" s="4" t="n"/>
      <c r="I14" s="4" t="n"/>
      <c r="J14" s="4" t="n"/>
      <c r="K14" s="4" t="inlineStr">
        <is>
          <t>⚠️ 自動抽取・指標待驗證 (已偵測使用此資料集)：Generalizable SOD with synthetic data</t>
        </is>
      </c>
      <c r="L14" s="7" t="inlineStr">
        <is>
          <t>https://arxiv.org/abs/2510.21605</t>
        </is>
      </c>
      <c r="M14" s="7" t="inlineStr">
        <is>
          <t>https://github.com/</t>
        </is>
      </c>
    </row>
    <row r="15">
      <c r="A15" s="4" t="inlineStr">
        <is>
          <t>RGB Salient OD</t>
        </is>
      </c>
      <c r="B15" s="4" t="inlineStr">
        <is>
          <t>VSCode</t>
        </is>
      </c>
      <c r="C15" s="4" t="inlineStr">
        <is>
          <t>Luo et al.</t>
        </is>
      </c>
      <c r="D15" s="4" t="inlineStr">
        <is>
          <t>CVPR</t>
        </is>
      </c>
      <c r="E15" s="4" t="inlineStr">
        <is>
          <t>2024-06</t>
        </is>
      </c>
      <c r="F15" s="4" t="inlineStr">
        <is>
          <t>Preprint</t>
        </is>
      </c>
      <c r="G15" s="4" t="inlineStr">
        <is>
          <t>N/A</t>
        </is>
      </c>
      <c r="H15" s="4" t="inlineStr">
        <is>
          <t>S 0.949 / Fm 0.959 / Em 0.974</t>
        </is>
      </c>
      <c r="I15" s="4" t="n"/>
      <c r="J15" s="4" t="n"/>
      <c r="K15" s="4" t="inlineStr">
        <is>
          <t>✅ 已驗證 (VSCode CVPR24 Table 3, Swin-S)：ECSSD Sα=0.949 [SOD]</t>
        </is>
      </c>
      <c r="L15" s="7" t="inlineStr">
        <is>
          <t>https://arxiv.org/abs/2311.15011</t>
        </is>
      </c>
      <c r="M15" s="7" t="inlineStr">
        <is>
          <t>https://github.com/Sssssuperior/VSCode</t>
        </is>
      </c>
    </row>
    <row r="16">
      <c r="A16" s="4" t="inlineStr">
        <is>
          <t>RGB Salient OD</t>
        </is>
      </c>
      <c r="B16" s="4" t="inlineStr">
        <is>
          <t>CPD-R</t>
        </is>
      </c>
      <c r="C16" s="4" t="inlineStr">
        <is>
          <t>Wu et al.</t>
        </is>
      </c>
      <c r="D16" s="4" t="inlineStr">
        <is>
          <t>CVPR</t>
        </is>
      </c>
      <c r="E16" s="4" t="inlineStr">
        <is>
          <t>2019-06</t>
        </is>
      </c>
      <c r="F16" s="4" t="inlineStr">
        <is>
          <t>Preprint</t>
        </is>
      </c>
      <c r="G16" s="4" t="inlineStr">
        <is>
          <t>N/A</t>
        </is>
      </c>
      <c r="H16" s="4" t="inlineStr">
        <is>
          <t>S 0.939 / Fβ 0.917 / MAE 0.037</t>
        </is>
      </c>
      <c r="I16" s="4" t="n"/>
      <c r="J16" s="4" t="n"/>
      <c r="K16" s="4" t="inlineStr">
        <is>
          <t>✅ 已驗證 (CPD CVPR19 Table 1, ResNet50)：Cascaded Partial Decoder for fast SOD；S 0.939 / Fβ 0.917 / MAE 0.037 [SOD]</t>
        </is>
      </c>
      <c r="L16" s="7" t="inlineStr">
        <is>
          <t>https://arxiv.org/abs/1904.08739</t>
        </is>
      </c>
      <c r="M16" s="7" t="inlineStr">
        <is>
          <t>https://github.com/wuzhe71/CPD</t>
        </is>
      </c>
    </row>
    <row r="17">
      <c r="A17" s="4" t="inlineStr">
        <is>
          <t>RGB Salient OD</t>
        </is>
      </c>
      <c r="B17" s="4" t="inlineStr">
        <is>
          <t>Samba</t>
        </is>
      </c>
      <c r="C17" s="4" t="inlineStr">
        <is>
          <t>—</t>
        </is>
      </c>
      <c r="D17" s="4" t="inlineStr">
        <is>
          <t>CVPR 2025</t>
        </is>
      </c>
      <c r="E17" s="4" t="inlineStr">
        <is>
          <t>2025-06</t>
        </is>
      </c>
      <c r="F17" s="4" t="inlineStr">
        <is>
          <t>Preprint</t>
        </is>
      </c>
      <c r="G17" s="4" t="n"/>
      <c r="H17" s="4" t="n"/>
      <c r="I17" s="4" t="n"/>
      <c r="J17" s="4" t="n"/>
      <c r="K17" s="4" t="inlineStr">
        <is>
          <t xml:space="preserve">⚠️ 自動抽取・指標待驗證 (已偵測使用此資料集)：CVF Open Access 自動收錄；指標待人工驗證。Samba: A Unified Mamba-based Framework for General </t>
        </is>
      </c>
      <c r="L17" s="7" t="inlineStr">
        <is>
          <t>https://openaccess.thecvf.com/content/CVPR2025/html/He_Samba_A_Unified_Mamba-based_Framework_for_General_Salient_Object_Detection_CVPR_2025_paper.html</t>
        </is>
      </c>
      <c r="M17" s="7" t="inlineStr">
        <is>
          <t>N/A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HKU-IS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HKU-IS;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HKU-IS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HKU-IS;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HKU-IS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HKU-IS;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HKU-IS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HKU-IS;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HKU-IS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HKU-IS;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HKU-IS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HKU-IS;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HKU-IS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HKU-IS;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HKU-IS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HKU-IS;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HKU-IS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HKU-IS;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HKU-IS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HKU-IS;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HKU-IS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HKU-IS;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HKU-IS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HKU-IS;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  <row r="14">
      <c r="A14" s="4" t="inlineStr">
        <is>
          <t>RGB Salient OD</t>
        </is>
      </c>
      <c r="B14" s="4" t="inlineStr">
        <is>
          <t>S3OD (synthetic)</t>
        </is>
      </c>
      <c r="C14" s="4" t="inlineStr">
        <is>
          <t>Various</t>
        </is>
      </c>
      <c r="D14" s="4" t="inlineStr">
        <is>
          <t>arXiv</t>
        </is>
      </c>
      <c r="E14" s="4" t="inlineStr">
        <is>
          <t>2025-10</t>
        </is>
      </c>
      <c r="F14" s="4" t="inlineStr">
        <is>
          <t>Preprint</t>
        </is>
      </c>
      <c r="G14" s="4" t="n"/>
      <c r="H14" s="4" t="n"/>
      <c r="I14" s="4" t="n"/>
      <c r="J14" s="4" t="n"/>
      <c r="K14" s="4" t="inlineStr">
        <is>
          <t>⚠️ 自動抽取・指標待驗證 (已偵測使用此資料集)：Generalizable SOD with synthetic data</t>
        </is>
      </c>
      <c r="L14" s="7" t="inlineStr">
        <is>
          <t>https://arxiv.org/abs/2510.21605</t>
        </is>
      </c>
      <c r="M14" s="7" t="inlineStr">
        <is>
          <t>https://github.com/</t>
        </is>
      </c>
    </row>
    <row r="15">
      <c r="A15" s="4" t="inlineStr">
        <is>
          <t>RGB Salient OD</t>
        </is>
      </c>
      <c r="B15" s="4" t="inlineStr">
        <is>
          <t>VSCode</t>
        </is>
      </c>
      <c r="C15" s="4" t="inlineStr">
        <is>
          <t>Luo et al.</t>
        </is>
      </c>
      <c r="D15" s="4" t="inlineStr">
        <is>
          <t>CVPR</t>
        </is>
      </c>
      <c r="E15" s="4" t="inlineStr">
        <is>
          <t>2024-06</t>
        </is>
      </c>
      <c r="F15" s="4" t="inlineStr">
        <is>
          <t>Preprint</t>
        </is>
      </c>
      <c r="G15" s="4" t="inlineStr">
        <is>
          <t>N/A</t>
        </is>
      </c>
      <c r="H15" s="4" t="inlineStr">
        <is>
          <t>S 0.940 / Fm 0.951 / Em 0.974</t>
        </is>
      </c>
      <c r="I15" s="4" t="n"/>
      <c r="J15" s="4" t="n"/>
      <c r="K15" s="4" t="inlineStr">
        <is>
          <t>✅ 已驗證 (VSCode CVPR24 Table 3, Swin-S)：HKU-IS Sα=0.940 [SOD]</t>
        </is>
      </c>
      <c r="L15" s="7" t="inlineStr">
        <is>
          <t>https://arxiv.org/abs/2311.15011</t>
        </is>
      </c>
      <c r="M15" s="7" t="inlineStr">
        <is>
          <t>https://github.com/Sssssuperior/VSCode</t>
        </is>
      </c>
    </row>
    <row r="16">
      <c r="A16" s="4" t="inlineStr">
        <is>
          <t>RGB Salient OD</t>
        </is>
      </c>
      <c r="B16" s="4" t="inlineStr">
        <is>
          <t>CPD-R</t>
        </is>
      </c>
      <c r="C16" s="4" t="inlineStr">
        <is>
          <t>Wu et al.</t>
        </is>
      </c>
      <c r="D16" s="4" t="inlineStr">
        <is>
          <t>CVPR</t>
        </is>
      </c>
      <c r="E16" s="4" t="inlineStr">
        <is>
          <t>2019-06</t>
        </is>
      </c>
      <c r="F16" s="4" t="inlineStr">
        <is>
          <t>Preprint</t>
        </is>
      </c>
      <c r="G16" s="4" t="inlineStr">
        <is>
          <t>N/A</t>
        </is>
      </c>
      <c r="H16" s="4" t="inlineStr">
        <is>
          <t>S 0.925 / Fβ 0.891 / MAE 0.034</t>
        </is>
      </c>
      <c r="I16" s="4" t="n"/>
      <c r="J16" s="4" t="n"/>
      <c r="K16" s="4" t="inlineStr">
        <is>
          <t>✅ 已驗證 (CPD CVPR19 Table 1, ResNet50)：Cascaded Partial Decoder for fast SOD；S 0.925 / Fβ 0.891 / MAE 0.034 [SOD]</t>
        </is>
      </c>
      <c r="L16" s="7" t="inlineStr">
        <is>
          <t>https://arxiv.org/abs/1904.08739</t>
        </is>
      </c>
      <c r="M16" s="7" t="inlineStr">
        <is>
          <t>https://github.com/wuzhe71/CPD</t>
        </is>
      </c>
    </row>
    <row r="17">
      <c r="A17" s="4" t="inlineStr">
        <is>
          <t>RGB Salient OD</t>
        </is>
      </c>
      <c r="B17" s="4" t="inlineStr">
        <is>
          <t>Samba</t>
        </is>
      </c>
      <c r="C17" s="4" t="inlineStr">
        <is>
          <t>—</t>
        </is>
      </c>
      <c r="D17" s="4" t="inlineStr">
        <is>
          <t>CVPR 2025</t>
        </is>
      </c>
      <c r="E17" s="4" t="inlineStr">
        <is>
          <t>2025-06</t>
        </is>
      </c>
      <c r="F17" s="4" t="inlineStr">
        <is>
          <t>Preprint</t>
        </is>
      </c>
      <c r="G17" s="4" t="n"/>
      <c r="H17" s="4" t="n"/>
      <c r="I17" s="4" t="n"/>
      <c r="J17" s="4" t="n"/>
      <c r="K17" s="4" t="inlineStr">
        <is>
          <t xml:space="preserve">⚠️ 自動抽取・指標待驗證 (已偵測使用此資料集)：CVF Open Access 自動收錄；指標待人工驗證。Samba: A Unified Mamba-based Framework for General </t>
        </is>
      </c>
      <c r="L17" s="7" t="inlineStr">
        <is>
          <t>https://openaccess.thecvf.com/content/CVPR2025/html/He_Samba_A_Unified_Mamba-based_Framework_for_General_Salient_Object_Detection_CVPR_2025_paper.html</t>
        </is>
      </c>
      <c r="M17" s="7" t="inlineStr">
        <is>
          <t>N/A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PASCAL-S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PASCAL-S;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PASCAL-S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PASCAL-S;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PASCAL-S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PASCAL-S;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PASCAL-S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PASCAL-S;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PASCAL-S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PASCAL-S;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PASCAL-S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PASCAL-S;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PASCAL-S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PASCAL-S;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PASCAL-S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PASCAL-S;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PASCAL-S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PASCAL-S;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PASCAL-S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PASCAL-S;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PASCAL-S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PASCAL-S;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PASCAL-S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PASCAL-S;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HRSOD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HRSOD;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HRSOD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HRSOD;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HRSOD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HRSOD;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HRSOD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HRSOD;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HRSOD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HRSOD;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HRSOD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HRSOD;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HRSOD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HRSOD;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HRSOD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HRSOD;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HRSOD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HRSOD;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HRSOD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HRSOD;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HRSOD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HRSOD;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HRSOD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HRSOD;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DAVIS-S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DAVIS-S;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DAVIS-S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DAVIS-S;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DAVIS-S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DAVIS-S;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DAVIS-S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DAVIS-S;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DAVIS-S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DAVIS-S;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DAVIS-S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DAVIS-S;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DAVIS-S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DAVIS-S;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DAVIS-S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DAVIS-S;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DAVIS-S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DAVIS-S;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DAVIS-S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DAVIS-S;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DAVIS-S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DAVIS-S;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DAVIS-S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DAVIS-S;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UHRSD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UHRSD;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UHRSD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UHRSD;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UHRSD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UHRSD;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UHRSD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UHRSD;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UHRSD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UHRSD;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UHRSD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UHRSD;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UHRSD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UHRSD;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UHRSD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UHRSD;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UHRSD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UHRSD;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UHRSD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UHRSD;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UHRSD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UHRSD;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UHRSD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UHRSD;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SBU/SBU-Refine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SBU/SBU-Refine;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SBU/SBU-Refine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SBU/SBU-Refine;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SBU/SBU-Refine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SBU/SBU-Refine;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SBU/SBU-Refine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SBU/SBU-Refine;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SBU/SBU-Refine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SBU/SBU-Refine;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SBU/SBU-Refine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SBU/SBU-Refine;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SBU/SBU-Refine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SBU/SBU-Refine;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SBU/SBU-Refine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SBU/SBU-Refine;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SBU/SBU-Refine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SBU/SBU-Refine;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SBU/SBU-Refine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SBU/SBU-Refine;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SBU/SBU-Refine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SBU/SBU-Refine;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SBU/SBU-Refine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SBU/SBU-Refine;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BiRefNet</t>
        </is>
      </c>
      <c r="C2" s="4" t="inlineStr">
        <is>
          <t>Zheng et al.</t>
        </is>
      </c>
      <c r="D2" s="4" t="inlineStr">
        <is>
          <t>CAAI AIR</t>
        </is>
      </c>
      <c r="E2" s="4" t="inlineStr">
        <is>
          <t>2024-04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S 0.939 / Fβ 0.940 / E 0.967 / MAE 0.014 | ISTD</t>
        </is>
      </c>
      <c r="I2" s="4" t="inlineStr">
        <is>
          <t>≈14</t>
        </is>
      </c>
      <c r="J2" s="4" t="inlineStr">
        <is>
          <t>≈220M</t>
        </is>
      </c>
      <c r="K2" s="4" t="inlineStr">
        <is>
          <t>Bilateral reference; HR SOD SOTA-tier | Numbers reported on ISTD; To verify if not from original paper.</t>
        </is>
      </c>
      <c r="L2" s="7" t="inlineStr">
        <is>
          <t>https://arxiv.org/abs/2401.03407</t>
        </is>
      </c>
      <c r="M2" s="7" t="inlineStr">
        <is>
          <t>https://github.com/ZhengPeng7/BiRefNet</t>
        </is>
      </c>
    </row>
    <row r="3" ht="48" customHeight="1">
      <c r="A3" s="4" t="inlineStr">
        <is>
          <t>RGB Salient OD</t>
        </is>
      </c>
      <c r="B3" s="4" t="inlineStr">
        <is>
          <t>InSPyReNet</t>
        </is>
      </c>
      <c r="C3" s="4" t="inlineStr">
        <is>
          <t>Kim et al.</t>
        </is>
      </c>
      <c r="D3" s="4" t="inlineStr">
        <is>
          <t>ACCV</t>
        </is>
      </c>
      <c r="E3" s="4" t="inlineStr">
        <is>
          <t>2022-12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S 0.928 / Fβ 0.927 / MAE 0.022 | ISTD</t>
        </is>
      </c>
      <c r="I3" s="4" t="inlineStr">
        <is>
          <t>≈14</t>
        </is>
      </c>
      <c r="J3" s="4" t="inlineStr">
        <is>
          <t>58.7M</t>
        </is>
      </c>
      <c r="K3" s="4" t="inlineStr">
        <is>
          <t>Image pyramid; HR | Numbers reported on ISTD; To verify if not from original paper.</t>
        </is>
      </c>
      <c r="L3" s="7" t="inlineStr">
        <is>
          <t>https://arxiv.org/abs/2209.09475</t>
        </is>
      </c>
      <c r="M3" s="7" t="inlineStr">
        <is>
          <t>https://github.com/plemeri/InSPyReNet</t>
        </is>
      </c>
    </row>
    <row r="4" ht="48" customHeight="1">
      <c r="A4" s="4" t="inlineStr">
        <is>
          <t>RGB Salient OD</t>
        </is>
      </c>
      <c r="B4" s="4" t="inlineStr">
        <is>
          <t>MVANet</t>
        </is>
      </c>
      <c r="C4" s="4" t="inlineStr">
        <is>
          <t>Yu et al.</t>
        </is>
      </c>
      <c r="D4" s="4" t="inlineStr">
        <is>
          <t>CVPR</t>
        </is>
      </c>
      <c r="E4" s="4" t="inlineStr">
        <is>
          <t>2024-06</t>
        </is>
      </c>
      <c r="F4" s="4" t="inlineStr">
        <is>
          <t>Published</t>
        </is>
      </c>
      <c r="G4" s="4" t="inlineStr">
        <is>
          <t>N/A</t>
        </is>
      </c>
      <c r="H4" s="4" t="inlineStr">
        <is>
          <t>S 0.927 / Fβ 0.928 / MAE 0.021 | ISTD</t>
        </is>
      </c>
      <c r="I4" s="4" t="inlineStr">
        <is>
          <t>To verify</t>
        </is>
      </c>
      <c r="J4" s="4" t="inlineStr">
        <is>
          <t>To verify</t>
        </is>
      </c>
      <c r="K4" s="4" t="inlineStr">
        <is>
          <t>Multi-view aggregation | Numbers reported on ISTD; To verify if not from original paper.</t>
        </is>
      </c>
      <c r="L4" s="7" t="inlineStr">
        <is>
          <t>https://arxiv.org/abs/2404.07445</t>
        </is>
      </c>
      <c r="M4" s="7" t="inlineStr">
        <is>
          <t>https://github.com/qianyu-dlut/MVANet</t>
        </is>
      </c>
    </row>
    <row r="5" ht="48" customHeight="1">
      <c r="A5" s="4" t="inlineStr">
        <is>
          <t>RGB Salient OD</t>
        </is>
      </c>
      <c r="B5" s="4" t="inlineStr">
        <is>
          <t>M3Net</t>
        </is>
      </c>
      <c r="C5" s="4" t="inlineStr">
        <is>
          <t>Yuan et al.</t>
        </is>
      </c>
      <c r="D5" s="4" t="inlineStr">
        <is>
          <t>ICCV</t>
        </is>
      </c>
      <c r="E5" s="4" t="inlineStr">
        <is>
          <t>2023-10</t>
        </is>
      </c>
      <c r="F5" s="4" t="inlineStr">
        <is>
          <t>Published</t>
        </is>
      </c>
      <c r="G5" s="4" t="inlineStr">
        <is>
          <t>N/A</t>
        </is>
      </c>
      <c r="H5" s="4" t="inlineStr">
        <is>
          <t>S 0.918 / Fβ 0.917 / E 0.950 / MAE 0.024 | ISTD</t>
        </is>
      </c>
      <c r="I5" s="4" t="inlineStr">
        <is>
          <t>20</t>
        </is>
      </c>
      <c r="J5" s="4" t="inlineStr">
        <is>
          <t>79M</t>
        </is>
      </c>
      <c r="K5" s="4" t="inlineStr">
        <is>
          <t>Multi-level mixed attention | Numbers reported on ISTD; To verify if not from original paper.</t>
        </is>
      </c>
      <c r="L5" s="7" t="inlineStr">
        <is>
          <t>https://arxiv.org/abs/2309.08365</t>
        </is>
      </c>
      <c r="M5" s="7" t="inlineStr">
        <is>
          <t>https://github.com/I2-Multimedia-Lab/M3Net</t>
        </is>
      </c>
    </row>
    <row r="6" ht="48" customHeight="1">
      <c r="A6" s="4" t="inlineStr">
        <is>
          <t>RGB Salient OD</t>
        </is>
      </c>
      <c r="B6" s="4" t="inlineStr">
        <is>
          <t>ICON-S</t>
        </is>
      </c>
      <c r="C6" s="4" t="inlineStr">
        <is>
          <t>Zhuge et al.</t>
        </is>
      </c>
      <c r="D6" s="4" t="inlineStr">
        <is>
          <t>TPAMI</t>
        </is>
      </c>
      <c r="E6" s="4" t="inlineStr">
        <is>
          <t>2023-03</t>
        </is>
      </c>
      <c r="F6" s="4" t="inlineStr">
        <is>
          <t>Published</t>
        </is>
      </c>
      <c r="G6" s="4" t="inlineStr">
        <is>
          <t>N/A</t>
        </is>
      </c>
      <c r="H6" s="4" t="inlineStr">
        <is>
          <t>S 0.917 / Fβ 0.911 / E 0.954 / MAE 0.025 | ISTD</t>
        </is>
      </c>
      <c r="I6" s="4" t="inlineStr">
        <is>
          <t>23</t>
        </is>
      </c>
      <c r="J6" s="4" t="inlineStr">
        <is>
          <t>94M</t>
        </is>
      </c>
      <c r="K6" s="4" t="inlineStr">
        <is>
          <t>Integrity learning | Numbers reported on ISTD; To verify if not from original paper.</t>
        </is>
      </c>
      <c r="L6" s="7" t="inlineStr">
        <is>
          <t>https://arxiv.org/abs/2111.13409</t>
        </is>
      </c>
      <c r="M6" s="7" t="inlineStr">
        <is>
          <t>https://github.com/mczhuge/ICON</t>
        </is>
      </c>
    </row>
    <row r="7" ht="48" customHeight="1">
      <c r="A7" s="4" t="inlineStr">
        <is>
          <t>RGB Salient OD</t>
        </is>
      </c>
      <c r="B7" s="4" t="inlineStr">
        <is>
          <t>VST</t>
        </is>
      </c>
      <c r="C7" s="4" t="inlineStr">
        <is>
          <t>Liu et al.</t>
        </is>
      </c>
      <c r="D7" s="4" t="inlineStr">
        <is>
          <t>ICCV</t>
        </is>
      </c>
      <c r="E7" s="4" t="inlineStr">
        <is>
          <t>2021-10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S 0.896 / Fβ 0.890 / MAE 0.037 | ISTD</t>
        </is>
      </c>
      <c r="I7" s="4" t="inlineStr">
        <is>
          <t>18</t>
        </is>
      </c>
      <c r="J7" s="4" t="inlineStr">
        <is>
          <t>44M</t>
        </is>
      </c>
      <c r="K7" s="4" t="inlineStr">
        <is>
          <t>Visual saliency transformer | Numbers reported on ISTD; To verify if not from original paper.</t>
        </is>
      </c>
      <c r="L7" s="7" t="inlineStr">
        <is>
          <t>https://arxiv.org/abs/2104.12099</t>
        </is>
      </c>
      <c r="M7" s="7" t="inlineStr">
        <is>
          <t>https://github.com/nnizhang/VST</t>
        </is>
      </c>
    </row>
    <row r="8" ht="48" customHeight="1">
      <c r="A8" s="4" t="inlineStr">
        <is>
          <t>RGB Salient OD</t>
        </is>
      </c>
      <c r="B8" s="4" t="inlineStr">
        <is>
          <t>EDN</t>
        </is>
      </c>
      <c r="C8" s="4" t="inlineStr">
        <is>
          <t>Wu et al.</t>
        </is>
      </c>
      <c r="D8" s="4" t="inlineStr">
        <is>
          <t>TIP</t>
        </is>
      </c>
      <c r="E8" s="4" t="inlineStr">
        <is>
          <t>2022-08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S 0.892 / MAE 0.035 | ISTD</t>
        </is>
      </c>
      <c r="I8" s="4" t="inlineStr">
        <is>
          <t>22</t>
        </is>
      </c>
      <c r="J8" s="4" t="inlineStr">
        <is>
          <t>42M</t>
        </is>
      </c>
      <c r="K8" s="4" t="inlineStr">
        <is>
          <t>Extremely-downsampled net | Numbers reported on ISTD; To verify if not from original paper.</t>
        </is>
      </c>
      <c r="L8" s="7" t="inlineStr">
        <is>
          <t>https://arxiv.org/abs/2012.13093</t>
        </is>
      </c>
      <c r="M8" s="7" t="inlineStr">
        <is>
          <t>https://github.com/yuhuan-wu/EDN</t>
        </is>
      </c>
    </row>
    <row r="9" ht="48" customHeight="1">
      <c r="A9" s="4" t="inlineStr">
        <is>
          <t>RGB Salient OD</t>
        </is>
      </c>
      <c r="B9" s="4" t="inlineStr">
        <is>
          <t>PoolNet+</t>
        </is>
      </c>
      <c r="C9" s="4" t="inlineStr">
        <is>
          <t>Liu et al.</t>
        </is>
      </c>
      <c r="D9" s="4" t="inlineStr">
        <is>
          <t>TPAMI</t>
        </is>
      </c>
      <c r="E9" s="4" t="inlineStr">
        <is>
          <t>2021-04</t>
        </is>
      </c>
      <c r="F9" s="4" t="inlineStr">
        <is>
          <t>Published</t>
        </is>
      </c>
      <c r="G9" s="4" t="inlineStr">
        <is>
          <t>N/A</t>
        </is>
      </c>
      <c r="H9" s="4" t="inlineStr">
        <is>
          <t>S 0.886 / Fβ 0.880 / MAE 0.038 | ISTD</t>
        </is>
      </c>
      <c r="I9" s="4" t="inlineStr">
        <is>
          <t>32</t>
        </is>
      </c>
      <c r="J9" s="4" t="inlineStr">
        <is>
          <t>68.3M</t>
        </is>
      </c>
      <c r="K9" s="4" t="inlineStr">
        <is>
          <t>Pool-based aggregation | Numbers reported on ISTD; To verify if not from original paper.</t>
        </is>
      </c>
      <c r="L9" s="7" t="inlineStr">
        <is>
          <t>https://arxiv.org/abs/1904.09569</t>
        </is>
      </c>
      <c r="M9" s="7" t="inlineStr">
        <is>
          <t>https://github.com/backseason/PoolNet</t>
        </is>
      </c>
    </row>
    <row r="10" ht="48" customHeight="1">
      <c r="A10" s="4" t="inlineStr">
        <is>
          <t>RGB Salient OD</t>
        </is>
      </c>
      <c r="B10" s="4" t="inlineStr">
        <is>
          <t>MINet</t>
        </is>
      </c>
      <c r="C10" s="4" t="inlineStr">
        <is>
          <t>Pang et al.</t>
        </is>
      </c>
      <c r="D10" s="4" t="inlineStr">
        <is>
          <t>CVPR</t>
        </is>
      </c>
      <c r="E10" s="4" t="inlineStr">
        <is>
          <t>2020-06</t>
        </is>
      </c>
      <c r="F10" s="4" t="inlineStr">
        <is>
          <t>Published</t>
        </is>
      </c>
      <c r="G10" s="4" t="inlineStr">
        <is>
          <t>N/A</t>
        </is>
      </c>
      <c r="H10" s="4" t="inlineStr">
        <is>
          <t>S 0.884 / Fβ 0.876 / MAE 0.037 | ISTD</t>
        </is>
      </c>
      <c r="I10" s="4" t="inlineStr">
        <is>
          <t>30</t>
        </is>
      </c>
      <c r="J10" s="4" t="inlineStr">
        <is>
          <t>162M</t>
        </is>
      </c>
      <c r="K10" s="4" t="inlineStr">
        <is>
          <t>Multi-scale interactive | Numbers reported on ISTD; To verify if not from original paper.</t>
        </is>
      </c>
      <c r="L10" s="7" t="inlineStr">
        <is>
          <t>https://arxiv.org/abs/2007.09062</t>
        </is>
      </c>
      <c r="M10" s="7" t="inlineStr">
        <is>
          <t>https://github.com/lartpang/MINet</t>
        </is>
      </c>
    </row>
    <row r="11" ht="48" customHeight="1">
      <c r="A11" s="4" t="inlineStr">
        <is>
          <t>RGB Salient OD</t>
        </is>
      </c>
      <c r="B11" s="4" t="inlineStr">
        <is>
          <t>U^2-Net</t>
        </is>
      </c>
      <c r="C11" s="4" t="inlineStr">
        <is>
          <t>Qin et al.</t>
        </is>
      </c>
      <c r="D11" s="4" t="inlineStr">
        <is>
          <t>PR</t>
        </is>
      </c>
      <c r="E11" s="4" t="inlineStr">
        <is>
          <t>2020-05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S 0.874 / Fβ 0.873 / MAE 0.045 | ISTD</t>
        </is>
      </c>
      <c r="I11" s="4" t="inlineStr">
        <is>
          <t>30</t>
        </is>
      </c>
      <c r="J11" s="4" t="inlineStr">
        <is>
          <t>44M</t>
        </is>
      </c>
      <c r="K11" s="4" t="inlineStr">
        <is>
          <t>Nested U | Numbers reported on ISTD; To verify if not from original paper.</t>
        </is>
      </c>
      <c r="L11" s="7" t="inlineStr">
        <is>
          <t>https://arxiv.org/abs/2005.09007</t>
        </is>
      </c>
      <c r="M11" s="7" t="inlineStr">
        <is>
          <t>https://github.com/xuebinqin/U-2-Net</t>
        </is>
      </c>
    </row>
    <row r="12" ht="48" customHeight="1">
      <c r="A12" s="4" t="inlineStr">
        <is>
          <t>RGB Salient OD</t>
        </is>
      </c>
      <c r="B12" s="4" t="inlineStr">
        <is>
          <t>BASNet</t>
        </is>
      </c>
      <c r="C12" s="4" t="inlineStr">
        <is>
          <t>Qin et al.</t>
        </is>
      </c>
      <c r="D12" s="4" t="inlineStr">
        <is>
          <t>CVPR</t>
        </is>
      </c>
      <c r="E12" s="4" t="inlineStr">
        <is>
          <t>2019-06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S 0.866 / Fβ 0.838 / MAE 0.048 | ISTD</t>
        </is>
      </c>
      <c r="I12" s="4" t="inlineStr">
        <is>
          <t>25</t>
        </is>
      </c>
      <c r="J12" s="4" t="inlineStr">
        <is>
          <t>87.1M</t>
        </is>
      </c>
      <c r="K12" s="4" t="inlineStr">
        <is>
          <t>Boundary-aware baseline | Numbers reported on ISTD; To verify if not from original paper.</t>
        </is>
      </c>
      <c r="L12" s="7" t="inlineStr">
        <is>
          <t>https://arxiv.org/abs/1904.07857</t>
        </is>
      </c>
      <c r="M12" s="7" t="inlineStr">
        <is>
          <t>https://github.com/xuebinqin/BASNet</t>
        </is>
      </c>
    </row>
    <row r="13" ht="48" customHeight="1">
      <c r="A13" s="4" t="inlineStr">
        <is>
          <t>RGB Salient OD</t>
        </is>
      </c>
      <c r="B13" s="4" t="inlineStr">
        <is>
          <t>UGRAN</t>
        </is>
      </c>
      <c r="C13" s="4" t="inlineStr">
        <is>
          <t>Various</t>
        </is>
      </c>
      <c r="D13" s="4" t="inlineStr">
        <is>
          <t>TIP</t>
        </is>
      </c>
      <c r="E13" s="4" t="inlineStr">
        <is>
          <t>2025-02</t>
        </is>
      </c>
      <c r="F13" s="4" t="inlineStr">
        <is>
          <t>Published</t>
        </is>
      </c>
      <c r="G13" s="4" t="inlineStr">
        <is>
          <t>N/A</t>
        </is>
      </c>
      <c r="H13" s="4" t="inlineStr">
        <is>
          <t>To verify | ISTD</t>
        </is>
      </c>
      <c r="I13" s="4" t="inlineStr">
        <is>
          <t>To verify</t>
        </is>
      </c>
      <c r="J13" s="4" t="inlineStr">
        <is>
          <t>To verify</t>
        </is>
      </c>
      <c r="K13" s="4" t="inlineStr">
        <is>
          <t>TIP 2025; To verify | Numbers reported on ISTD; To verify if not from original paper.</t>
        </is>
      </c>
      <c r="L13" s="7" t="inlineStr">
        <is>
          <t>https://github.com/I2-Multimedia-Lab/UGRAN</t>
        </is>
      </c>
      <c r="M13" s="7" t="inlineStr">
        <is>
          <t>https://github.com/I2-Multimedia-Lab/UGRAN</t>
        </is>
      </c>
    </row>
  </sheetData>
  <autoFilter ref="A1:M1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4" t="inlineStr">
        <is>
          <t>RGB Salient OD</t>
        </is>
      </c>
      <c r="B2" s="4" t="inlineStr">
        <is>
          <t>CD-ViTO</t>
        </is>
      </c>
      <c r="C2" s="4" t="inlineStr">
        <is>
          <t>Fu et al.</t>
        </is>
      </c>
      <c r="D2" s="4" t="inlineStr">
        <is>
          <t>ECCV</t>
        </is>
      </c>
      <c r="E2" s="4" t="inlineStr">
        <is>
          <t>2024-10</t>
        </is>
      </c>
      <c r="F2" s="4" t="inlineStr">
        <is>
          <t>Published</t>
        </is>
      </c>
      <c r="G2" s="4" t="inlineStr">
        <is>
          <t>N/A</t>
        </is>
      </c>
      <c r="H2" s="4" t="inlineStr">
        <is>
          <t>CAMO-FS 10-shot novel AP To verify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2" s="7" t="inlineStr">
        <is>
          <t>https://arxiv.org/abs/2402.03094</t>
        </is>
      </c>
      <c r="M2" s="7" t="inlineStr">
        <is>
          <t>https://github.com/lovelyqian/CDFSOD-benchmark</t>
        </is>
      </c>
    </row>
    <row r="3" ht="48" customHeight="1">
      <c r="A3" s="4" t="inlineStr">
        <is>
          <t>RGB Salient OD</t>
        </is>
      </c>
      <c r="B3" s="4" t="inlineStr">
        <is>
          <t>DE-ViT</t>
        </is>
      </c>
      <c r="C3" s="4" t="inlineStr">
        <is>
          <t>Various</t>
        </is>
      </c>
      <c r="D3" s="4" t="inlineStr">
        <is>
          <t>CVPR</t>
        </is>
      </c>
      <c r="E3" s="4" t="inlineStr">
        <is>
          <t>2024-06</t>
        </is>
      </c>
      <c r="F3" s="4" t="inlineStr">
        <is>
          <t>Published</t>
        </is>
      </c>
      <c r="G3" s="4" t="inlineStr">
        <is>
          <t>N/A</t>
        </is>
      </c>
      <c r="H3" s="4" t="inlineStr">
        <is>
          <t>CAMO-FS To verify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3" s="7" t="inlineStr">
        <is>
          <t>https://arxiv.org/abs/2304.00000</t>
        </is>
      </c>
      <c r="M3" s="7" t="inlineStr">
        <is>
          <t>https://github.com/</t>
        </is>
      </c>
    </row>
    <row r="4" ht="48" customHeight="1">
      <c r="A4" s="4" t="inlineStr">
        <is>
          <t>RGB Salient OD</t>
        </is>
      </c>
      <c r="B4" s="4" t="inlineStr">
        <is>
          <t>Meta-RCNN</t>
        </is>
      </c>
      <c r="C4" s="4" t="inlineStr">
        <is>
          <t>Yan et al.</t>
        </is>
      </c>
      <c r="D4" s="4" t="inlineStr">
        <is>
          <t>ICCV</t>
        </is>
      </c>
      <c r="E4" s="4" t="inlineStr">
        <is>
          <t>2019-10</t>
        </is>
      </c>
      <c r="F4" s="4" t="inlineStr">
        <is>
          <t>Reproduced</t>
        </is>
      </c>
      <c r="G4" s="4" t="inlineStr">
        <is>
          <t>N/A</t>
        </is>
      </c>
      <c r="H4" s="4" t="inlineStr">
        <is>
          <t>CAMO-FS To verify</t>
        </is>
      </c>
      <c r="I4" s="4" t="inlineStr">
        <is>
          <t>N/A</t>
        </is>
      </c>
      <c r="J4" s="4" t="inlineStr">
        <is>
          <t>42M</t>
        </is>
      </c>
      <c r="K4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4" s="7" t="inlineStr">
        <is>
          <t>https://arxiv.org/abs/1909.13032</t>
        </is>
      </c>
      <c r="M4" s="7" t="inlineStr">
        <is>
          <t>https://github.com/yanxp/MetaR-CNN</t>
        </is>
      </c>
    </row>
    <row r="5" ht="48" customHeight="1">
      <c r="A5" s="4" t="inlineStr">
        <is>
          <t>RGB Salient OD</t>
        </is>
      </c>
      <c r="B5" s="4" t="inlineStr">
        <is>
          <t>ViTDeT-FT</t>
        </is>
      </c>
      <c r="C5" s="4" t="inlineStr">
        <is>
          <t>Various</t>
        </is>
      </c>
      <c r="D5" s="4" t="inlineStr">
        <is>
          <t>Reproduction</t>
        </is>
      </c>
      <c r="E5" s="4" t="inlineStr">
        <is>
          <t>2024-04</t>
        </is>
      </c>
      <c r="F5" s="4" t="inlineStr">
        <is>
          <t>Reproduced</t>
        </is>
      </c>
      <c r="G5" s="4" t="inlineStr">
        <is>
          <t>N/A</t>
        </is>
      </c>
      <c r="H5" s="4" t="inlineStr">
        <is>
          <t>CAMO-FS To verify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5" s="7" t="inlineStr">
        <is>
          <t>https://github.com/lovelyqian/CDFSOD-benchmark</t>
        </is>
      </c>
      <c r="M5" s="7" t="inlineStr">
        <is>
          <t>https://github.com/lovelyqian/CDFSOD-benchmark</t>
        </is>
      </c>
    </row>
    <row r="6" ht="48" customHeight="1">
      <c r="A6" s="4" t="inlineStr">
        <is>
          <t>RGB Salient OD</t>
        </is>
      </c>
      <c r="B6" s="4" t="inlineStr">
        <is>
          <t>Detic-FT</t>
        </is>
      </c>
      <c r="C6" s="4" t="inlineStr">
        <is>
          <t>Zhou et al.</t>
        </is>
      </c>
      <c r="D6" s="4" t="inlineStr">
        <is>
          <t>ECCV</t>
        </is>
      </c>
      <c r="E6" s="4" t="inlineStr">
        <is>
          <t>2022-10</t>
        </is>
      </c>
      <c r="F6" s="4" t="inlineStr">
        <is>
          <t>Reproduced</t>
        </is>
      </c>
      <c r="G6" s="4" t="inlineStr">
        <is>
          <t>N/A</t>
        </is>
      </c>
      <c r="H6" s="4" t="inlineStr">
        <is>
          <t>CAMO-FS To verify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6" s="7" t="inlineStr">
        <is>
          <t>https://arxiv.org/abs/2201.02605</t>
        </is>
      </c>
      <c r="M6" s="7" t="inlineStr">
        <is>
          <t>https://github.com/facebookresearch/Detic</t>
        </is>
      </c>
    </row>
    <row r="7" ht="48" customHeight="1">
      <c r="A7" s="4" t="inlineStr">
        <is>
          <t>RGB Salient OD</t>
        </is>
      </c>
      <c r="B7" s="4" t="inlineStr">
        <is>
          <t>Grounding DINO (zero-shot)</t>
        </is>
      </c>
      <c r="C7" s="4" t="inlineStr">
        <is>
          <t>Liu et al.</t>
        </is>
      </c>
      <c r="D7" s="4" t="inlineStr">
        <is>
          <t>ECCV</t>
        </is>
      </c>
      <c r="E7" s="4" t="inlineStr">
        <is>
          <t>2024-10</t>
        </is>
      </c>
      <c r="F7" s="4" t="inlineStr">
        <is>
          <t>Published</t>
        </is>
      </c>
      <c r="G7" s="4" t="inlineStr">
        <is>
          <t>N/A</t>
        </is>
      </c>
      <c r="H7" s="4" t="inlineStr">
        <is>
          <t>CAMO-FS To verify</t>
        </is>
      </c>
      <c r="I7" s="4" t="inlineStr">
        <is>
          <t>N/A</t>
        </is>
      </c>
      <c r="J7" s="4" t="inlineStr">
        <is>
          <t>≈173M</t>
        </is>
      </c>
      <c r="K7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7" s="7" t="inlineStr">
        <is>
          <t>https://arxiv.org/abs/2303.05499</t>
        </is>
      </c>
      <c r="M7" s="7" t="inlineStr">
        <is>
          <t>https://github.com/IDEA-Research/GroundingDINO</t>
        </is>
      </c>
    </row>
    <row r="8" ht="48" customHeight="1">
      <c r="A8" s="4" t="inlineStr">
        <is>
          <t>RGB Salient OD</t>
        </is>
      </c>
      <c r="B8" s="4" t="inlineStr">
        <is>
          <t>NTIRE 2025 winners</t>
        </is>
      </c>
      <c r="C8" s="4" t="inlineStr">
        <is>
          <t>Various</t>
        </is>
      </c>
      <c r="D8" s="4" t="inlineStr">
        <is>
          <t>CVPR Workshop</t>
        </is>
      </c>
      <c r="E8" s="4" t="inlineStr">
        <is>
          <t>2025-06</t>
        </is>
      </c>
      <c r="F8" s="4" t="inlineStr">
        <is>
          <t>Published</t>
        </is>
      </c>
      <c r="G8" s="4" t="inlineStr">
        <is>
          <t>N/A</t>
        </is>
      </c>
      <c r="H8" s="4" t="inlineStr">
        <is>
          <t>To verify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8" s="7" t="inlineStr">
        <is>
          <t>https://arxiv.org/abs/2504.10685</t>
        </is>
      </c>
      <c r="M8" s="7" t="inlineStr">
        <is>
          <t>https://github.com/lovelyqian/NTIRE2025_CDFSOD</t>
        </is>
      </c>
    </row>
    <row r="9" ht="48" customHeight="1">
      <c r="A9" s="4" t="inlineStr">
        <is>
          <t>RGB Salient OD</t>
        </is>
      </c>
      <c r="B9" s="4" t="inlineStr">
        <is>
          <t>DeFRCN</t>
        </is>
      </c>
      <c r="C9" s="4" t="inlineStr">
        <is>
          <t>Qiao et al.</t>
        </is>
      </c>
      <c r="D9" s="4" t="inlineStr">
        <is>
          <t>ICCV</t>
        </is>
      </c>
      <c r="E9" s="4" t="inlineStr">
        <is>
          <t>2021-10</t>
        </is>
      </c>
      <c r="F9" s="4" t="inlineStr">
        <is>
          <t>Reproduced</t>
        </is>
      </c>
      <c r="G9" s="4" t="inlineStr">
        <is>
          <t>N/A</t>
        </is>
      </c>
      <c r="H9" s="4" t="inlineStr">
        <is>
          <t>CAMO-FS To verify</t>
        </is>
      </c>
      <c r="I9" s="4" t="inlineStr">
        <is>
          <t>N/A</t>
        </is>
      </c>
      <c r="J9" s="4" t="inlineStr">
        <is>
          <t>≈45M</t>
        </is>
      </c>
      <c r="K9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9" s="7" t="inlineStr">
        <is>
          <t>https://arxiv.org/abs/2108.09017</t>
        </is>
      </c>
      <c r="M9" s="7" t="inlineStr">
        <is>
          <t>https://github.com/er-muyue/DeFRCN</t>
        </is>
      </c>
    </row>
    <row r="10" ht="48" customHeight="1">
      <c r="A10" s="4" t="inlineStr">
        <is>
          <t>RGB Salient OD</t>
        </is>
      </c>
      <c r="B10" s="4" t="inlineStr">
        <is>
          <t>FSCE</t>
        </is>
      </c>
      <c r="C10" s="4" t="inlineStr">
        <is>
          <t>Sun et al.</t>
        </is>
      </c>
      <c r="D10" s="4" t="inlineStr">
        <is>
          <t>CVPR</t>
        </is>
      </c>
      <c r="E10" s="4" t="inlineStr">
        <is>
          <t>2021-06</t>
        </is>
      </c>
      <c r="F10" s="4" t="inlineStr">
        <is>
          <t>Reproduced</t>
        </is>
      </c>
      <c r="G10" s="4" t="inlineStr">
        <is>
          <t>N/A</t>
        </is>
      </c>
      <c r="H10" s="4" t="inlineStr">
        <is>
          <t>CAMO-FS To verify</t>
        </is>
      </c>
      <c r="I10" s="4" t="inlineStr">
        <is>
          <t>N/A</t>
        </is>
      </c>
      <c r="J10" s="4" t="inlineStr">
        <is>
          <t>≈42M</t>
        </is>
      </c>
      <c r="K10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10" s="7" t="inlineStr">
        <is>
          <t>https://arxiv.org/abs/2103.05950</t>
        </is>
      </c>
      <c r="M10" s="7" t="inlineStr">
        <is>
          <t>https://github.com/megvii-research/FSCE</t>
        </is>
      </c>
    </row>
    <row r="11" ht="48" customHeight="1">
      <c r="A11" s="4" t="inlineStr">
        <is>
          <t>RGB Salient OD</t>
        </is>
      </c>
      <c r="B11" s="4" t="inlineStr">
        <is>
          <t>FII-DETR</t>
        </is>
      </c>
      <c r="C11" s="4" t="inlineStr">
        <is>
          <t>Various</t>
        </is>
      </c>
      <c r="D11" s="4" t="inlineStr">
        <is>
          <t>Information Fusion</t>
        </is>
      </c>
      <c r="E11" s="4" t="inlineStr">
        <is>
          <t>2025-01</t>
        </is>
      </c>
      <c r="F11" s="4" t="inlineStr">
        <is>
          <t>Published</t>
        </is>
      </c>
      <c r="G11" s="4" t="inlineStr">
        <is>
          <t>N/A</t>
        </is>
      </c>
      <c r="H11" s="4" t="inlineStr">
        <is>
          <t>CAMO-FS To verify</t>
        </is>
      </c>
      <c r="I11" s="4" t="inlineStr">
        <is>
          <t>N/A</t>
        </is>
      </c>
      <c r="J11" s="4" t="inlineStr">
        <is>
          <t>N/A</t>
        </is>
      </c>
      <c r="K11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11" s="7" t="inlineStr">
        <is>
          <t>https://www.sciencedirect.com/science/article/abs/pii/S1566253525007900</t>
        </is>
      </c>
      <c r="M11" s="7" t="inlineStr">
        <is>
          <t>https://github.com/</t>
        </is>
      </c>
    </row>
    <row r="12" ht="48" customHeight="1">
      <c r="A12" s="4" t="inlineStr">
        <is>
          <t>RGB Salient OD</t>
        </is>
      </c>
      <c r="B12" s="4" t="inlineStr">
        <is>
          <t>CD-ViTO + Domain Prompter</t>
        </is>
      </c>
      <c r="C12" s="4" t="inlineStr">
        <is>
          <t>Fu et al.</t>
        </is>
      </c>
      <c r="D12" s="4" t="inlineStr">
        <is>
          <t>ECCV</t>
        </is>
      </c>
      <c r="E12" s="4" t="inlineStr">
        <is>
          <t>2024-10</t>
        </is>
      </c>
      <c r="F12" s="4" t="inlineStr">
        <is>
          <t>Published</t>
        </is>
      </c>
      <c r="G12" s="4" t="inlineStr">
        <is>
          <t>N/A</t>
        </is>
      </c>
      <c r="H12" s="4" t="inlineStr">
        <is>
          <t>CAMO-FS To verify</t>
        </is>
      </c>
      <c r="I12" s="4" t="inlineStr">
        <is>
          <t>N/A</t>
        </is>
      </c>
      <c r="J12" s="4" t="inlineStr">
        <is>
          <t>N/A</t>
        </is>
      </c>
      <c r="K12" s="4" t="inlineStr">
        <is>
          <t>⚠️ workbook 列為 "RGB Salient OD"，但方法多為 CD-FSOD（Cross-Domain Few-Shot OD）；CAMO-FS 資料集名稱可能誤植，CD-ViTO ECCV24 Table 1 測試 ArTaxOr/Clipart1k/DIOR/DeepFish/NEU-DET/UODD（無 CAMO）。需確認 dataset 命名 + 對應的 NTIRE 2025 challenge paper</t>
        </is>
      </c>
      <c r="L12" s="7" t="inlineStr">
        <is>
          <t>https://arxiv.org/abs/2402.03094</t>
        </is>
      </c>
      <c r="M12" s="7" t="inlineStr">
        <is>
          <t>https://github.com/lovelyqian/CDFSOD-benchmark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MMA</t>
        </is>
      </c>
      <c r="C2" s="5" t="inlineStr">
        <is>
          <t>Cermelli et al.</t>
        </is>
      </c>
      <c r="D2" s="5" t="inlineStr">
        <is>
          <t>CVPR</t>
        </is>
      </c>
      <c r="E2" s="5" t="inlineStr">
        <is>
          <t>2022-06</t>
        </is>
      </c>
      <c r="F2" s="5" t="inlineStr">
        <is>
          <t>Published</t>
        </is>
      </c>
      <c r="G2" s="5" t="inlineStr">
        <is>
          <t>To verify</t>
        </is>
      </c>
      <c r="H2" s="5" t="inlineStr">
        <is>
          <t>VOC 15+5 mAP To verify</t>
        </is>
      </c>
      <c r="I2" s="5" t="inlineStr">
        <is>
          <t>N/A</t>
        </is>
      </c>
      <c r="J2" s="5" t="inlineStr">
        <is>
          <t>N/A</t>
        </is>
      </c>
      <c r="K2" s="5" t="inlineStr">
        <is>
          <t>⚠️ MMA class-incremental OD 方法，使用 PASCAL VOC 15+5 incremental setting (前 15 類 base + 後 5 類 new)；各 paper 報告 Old/New/All mAP at task t1/t2/etc，格式不一。需逐 paper PDF 對讀</t>
        </is>
      </c>
      <c r="L2" s="8" t="inlineStr">
        <is>
          <t>https://arxiv.org/abs/2204.05507</t>
        </is>
      </c>
      <c r="M2" s="8" t="inlineStr">
        <is>
          <t>https://github.com/fcdl94/MMA</t>
        </is>
      </c>
    </row>
    <row r="3" ht="48" customHeight="1">
      <c r="A3" s="5" t="inlineStr">
        <is>
          <t>Few-Shot OD</t>
        </is>
      </c>
      <c r="B3" s="5" t="inlineStr">
        <is>
          <t>ABR</t>
        </is>
      </c>
      <c r="C3" s="5" t="inlineStr">
        <is>
          <t>Liu et al.</t>
        </is>
      </c>
      <c r="D3" s="5" t="inlineStr">
        <is>
          <t>TPAMI</t>
        </is>
      </c>
      <c r="E3" s="5" t="inlineStr">
        <is>
          <t>2023-08</t>
        </is>
      </c>
      <c r="F3" s="5" t="inlineStr">
        <is>
          <t>Published</t>
        </is>
      </c>
      <c r="G3" s="5" t="inlineStr">
        <is>
          <t>To verify</t>
        </is>
      </c>
      <c r="H3" s="5" t="inlineStr">
        <is>
          <t>VOC 15+5 mAP To verify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⚠️ ABR class-incremental OD 方法，使用 PASCAL VOC 15+5 incremental setting (前 15 類 base + 後 5 類 new)；各 paper 報告 Old/New/All mAP at task t1/t2/etc，格式不一。需逐 paper PDF 對讀</t>
        </is>
      </c>
      <c r="L3" s="8" t="inlineStr">
        <is>
          <t>https://arxiv.org/abs/2305.18068</t>
        </is>
      </c>
      <c r="M3" s="8" t="inlineStr">
        <is>
          <t>https://github.com/Yiyao-Liu/ABR</t>
        </is>
      </c>
    </row>
    <row r="4" ht="48" customHeight="1">
      <c r="A4" s="5" t="inlineStr">
        <is>
          <t>Few-Shot OD</t>
        </is>
      </c>
      <c r="B4" s="5" t="inlineStr">
        <is>
          <t>ERD</t>
        </is>
      </c>
      <c r="C4" s="5" t="inlineStr">
        <is>
          <t>Feng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inlineStr">
        <is>
          <t>To verify</t>
        </is>
      </c>
      <c r="H4" s="5" t="inlineStr">
        <is>
          <t>VOC 15+5 mAP To verify</t>
        </is>
      </c>
      <c r="I4" s="5" t="inlineStr">
        <is>
          <t>N/A</t>
        </is>
      </c>
      <c r="J4" s="5" t="inlineStr">
        <is>
          <t>N/A</t>
        </is>
      </c>
      <c r="K4" s="5" t="inlineStr">
        <is>
          <t>⚠️ ERD class-incremental OD 方法，使用 PASCAL VOC 15+5 incremental setting (前 15 類 base + 後 5 類 new)；各 paper 報告 Old/New/All mAP at task t1/t2/etc，格式不一。需逐 paper PDF 對讀</t>
        </is>
      </c>
      <c r="L4" s="8" t="inlineStr">
        <is>
          <t>https://arxiv.org/abs/2204.02136</t>
        </is>
      </c>
      <c r="M4" s="8" t="inlineStr">
        <is>
          <t>https://github.com/Hi-FT/ERD</t>
        </is>
      </c>
    </row>
    <row r="5" ht="48" customHeight="1">
      <c r="A5" s="5" t="inlineStr">
        <is>
          <t>Few-Shot OD</t>
        </is>
      </c>
      <c r="B5" s="5" t="inlineStr">
        <is>
          <t>CL-DETR</t>
        </is>
      </c>
      <c r="C5" s="5" t="inlineStr">
        <is>
          <t>Liu et al.</t>
        </is>
      </c>
      <c r="D5" s="5" t="inlineStr">
        <is>
          <t>CVPR</t>
        </is>
      </c>
      <c r="E5" s="5" t="inlineStr">
        <is>
          <t>2023-06</t>
        </is>
      </c>
      <c r="F5" s="5" t="inlineStr">
        <is>
          <t>Published</t>
        </is>
      </c>
      <c r="G5" s="5" t="inlineStr">
        <is>
          <t>To verify</t>
        </is>
      </c>
      <c r="H5" s="5" t="inlineStr">
        <is>
          <t>VOC 15+5 mAP To verify</t>
        </is>
      </c>
      <c r="I5" s="5" t="inlineStr">
        <is>
          <t>N/A</t>
        </is>
      </c>
      <c r="J5" s="5" t="inlineStr">
        <is>
          <t>N/A</t>
        </is>
      </c>
      <c r="K5" s="5" t="inlineStr">
        <is>
          <t>⚠️ CL-DETR class-incremental OD 方法，使用 PASCAL VOC 15+5 incremental setting (前 15 類 base + 後 5 類 new)；各 paper 報告 Old/New/All mAP at task t1/t2/etc，格式不一。需逐 paper PDF 對讀</t>
        </is>
      </c>
      <c r="L5" s="8" t="inlineStr">
        <is>
          <t>https://arxiv.org/abs/2304.03110</t>
        </is>
      </c>
      <c r="M5" s="8" t="inlineStr">
        <is>
          <t>https://github.com/yaoyao-liu/CL-DETR</t>
        </is>
      </c>
    </row>
    <row r="6" ht="48" customHeight="1">
      <c r="A6" s="5" t="inlineStr">
        <is>
          <t>Few-Shot OD</t>
        </is>
      </c>
      <c r="B6" s="5" t="inlineStr">
        <is>
          <t>PROB</t>
        </is>
      </c>
      <c r="C6" s="5" t="inlineStr">
        <is>
          <t>Zohar et al.</t>
        </is>
      </c>
      <c r="D6" s="5" t="inlineStr">
        <is>
          <t>CVPR</t>
        </is>
      </c>
      <c r="E6" s="5" t="inlineStr">
        <is>
          <t>2023-06</t>
        </is>
      </c>
      <c r="F6" s="5" t="inlineStr">
        <is>
          <t>Published</t>
        </is>
      </c>
      <c r="G6" s="5" t="inlineStr">
        <is>
          <t>To verify</t>
        </is>
      </c>
      <c r="H6" s="5" t="inlineStr">
        <is>
          <t>VOC 15+5 mAP To verify</t>
        </is>
      </c>
      <c r="I6" s="5" t="inlineStr">
        <is>
          <t>N/A</t>
        </is>
      </c>
      <c r="J6" s="5" t="inlineStr">
        <is>
          <t>N/A</t>
        </is>
      </c>
      <c r="K6" s="5" t="inlineStr">
        <is>
          <t>⚠️ PROB class-incremental OD 方法，使用 PASCAL VOC 15+5 incremental setting (前 15 類 base + 後 5 類 new)；各 paper 報告 Old/New/All mAP at task t1/t2/etc，格式不一。需逐 paper PDF 對讀</t>
        </is>
      </c>
      <c r="L6" s="8" t="inlineStr">
        <is>
          <t>https://arxiv.org/abs/2212.01424</t>
        </is>
      </c>
      <c r="M6" s="8" t="inlineStr">
        <is>
          <t>https://github.com/orrzohar/PROB</t>
        </is>
      </c>
    </row>
    <row r="7" ht="48" customHeight="1">
      <c r="A7" s="5" t="inlineStr">
        <is>
          <t>Few-Shot OD</t>
        </is>
      </c>
      <c r="B7" s="5" t="inlineStr">
        <is>
          <t>LwF (baseline)</t>
        </is>
      </c>
      <c r="C7" s="5" t="inlineStr">
        <is>
          <t>Li &amp; Hoiem</t>
        </is>
      </c>
      <c r="D7" s="5" t="inlineStr">
        <is>
          <t>ECCV</t>
        </is>
      </c>
      <c r="E7" s="5" t="inlineStr">
        <is>
          <t>2016-09</t>
        </is>
      </c>
      <c r="F7" s="5" t="inlineStr">
        <is>
          <t>Published</t>
        </is>
      </c>
      <c r="G7" s="5" t="inlineStr">
        <is>
          <t>To verify</t>
        </is>
      </c>
      <c r="H7" s="5" t="inlineStr">
        <is>
          <t>VOC 15+5 mAP To verify</t>
        </is>
      </c>
      <c r="I7" s="5" t="inlineStr">
        <is>
          <t>N/A</t>
        </is>
      </c>
      <c r="J7" s="5" t="inlineStr">
        <is>
          <t>N/A</t>
        </is>
      </c>
      <c r="K7" s="5" t="inlineStr">
        <is>
          <t>⚠️ LwF (baseline) class-incremental OD 方法，使用 PASCAL VOC 15+5 incremental setting (前 15 類 base + 後 5 類 new)；各 paper 報告 Old/New/All mAP at task t1/t2/etc，格式不一。需逐 paper PDF 對讀</t>
        </is>
      </c>
      <c r="L7" s="8" t="inlineStr">
        <is>
          <t>https://arxiv.org/abs/1606.09282</t>
        </is>
      </c>
      <c r="M7" s="8" t="inlineStr">
        <is>
          <t>https://github.com/lhyfst/LwF</t>
        </is>
      </c>
    </row>
    <row r="8" ht="48" customHeight="1">
      <c r="A8" s="5" t="inlineStr">
        <is>
          <t>Few-Shot OD</t>
        </is>
      </c>
      <c r="B8" s="5" t="inlineStr">
        <is>
          <t>Faster ILOD</t>
        </is>
      </c>
      <c r="C8" s="5" t="inlineStr">
        <is>
          <t>Peng et al.</t>
        </is>
      </c>
      <c r="D8" s="5" t="inlineStr">
        <is>
          <t>Neurocomp.</t>
        </is>
      </c>
      <c r="E8" s="5" t="inlineStr">
        <is>
          <t>2020-06</t>
        </is>
      </c>
      <c r="F8" s="5" t="inlineStr">
        <is>
          <t>Published</t>
        </is>
      </c>
      <c r="G8" s="5" t="inlineStr">
        <is>
          <t>To verify</t>
        </is>
      </c>
      <c r="H8" s="5" t="inlineStr">
        <is>
          <t>VOC 15+5 mAP To verify</t>
        </is>
      </c>
      <c r="I8" s="5" t="inlineStr">
        <is>
          <t>N/A</t>
        </is>
      </c>
      <c r="J8" s="5" t="inlineStr">
        <is>
          <t>N/A</t>
        </is>
      </c>
      <c r="K8" s="5" t="inlineStr">
        <is>
          <t>⚠️ Faster ILOD class-incremental OD 方法，使用 PASCAL VOC 15+5 incremental setting (前 15 類 base + 後 5 類 new)；各 paper 報告 Old/New/All mAP at task t1/t2/etc，格式不一。需逐 paper PDF 對讀</t>
        </is>
      </c>
      <c r="L8" s="8" t="inlineStr">
        <is>
          <t>https://arxiv.org/abs/2003.03901</t>
        </is>
      </c>
      <c r="M8" s="8" t="inlineStr">
        <is>
          <t>https://github.com/JosephKJ/iOD</t>
        </is>
      </c>
    </row>
    <row r="9" ht="48" customHeight="1">
      <c r="A9" s="5" t="inlineStr">
        <is>
          <t>Few-Shot OD</t>
        </is>
      </c>
      <c r="B9" s="5" t="inlineStr">
        <is>
          <t>ORE</t>
        </is>
      </c>
      <c r="C9" s="5" t="inlineStr">
        <is>
          <t>Joseph et al.</t>
        </is>
      </c>
      <c r="D9" s="5" t="inlineStr">
        <is>
          <t>CVPR</t>
        </is>
      </c>
      <c r="E9" s="5" t="inlineStr">
        <is>
          <t>2021-06</t>
        </is>
      </c>
      <c r="F9" s="5" t="inlineStr">
        <is>
          <t>Published</t>
        </is>
      </c>
      <c r="G9" s="5" t="inlineStr">
        <is>
          <t>To verify</t>
        </is>
      </c>
      <c r="H9" s="5" t="inlineStr">
        <is>
          <t>VOC 15+5 mAP To verify</t>
        </is>
      </c>
      <c r="I9" s="5" t="inlineStr">
        <is>
          <t>N/A</t>
        </is>
      </c>
      <c r="J9" s="5" t="inlineStr">
        <is>
          <t>N/A</t>
        </is>
      </c>
      <c r="K9" s="5" t="inlineStr">
        <is>
          <t>⚠️ ORE class-incremental OD 方法，使用 PASCAL VOC 15+5 incremental setting (前 15 類 base + 後 5 類 new)；各 paper 報告 Old/New/All mAP at task t1/t2/etc，格式不一。需逐 paper PDF 對讀</t>
        </is>
      </c>
      <c r="L9" s="8" t="inlineStr">
        <is>
          <t>https://arxiv.org/abs/2103.02603</t>
        </is>
      </c>
      <c r="M9" s="8" t="inlineStr">
        <is>
          <t>https://github.com/JosephKJ/OWOD</t>
        </is>
      </c>
    </row>
    <row r="10" ht="48" customHeight="1">
      <c r="A10" s="5" t="inlineStr">
        <is>
          <t>Few-Shot OD</t>
        </is>
      </c>
      <c r="B10" s="5" t="inlineStr">
        <is>
          <t>OW-DETR</t>
        </is>
      </c>
      <c r="C10" s="5" t="inlineStr">
        <is>
          <t>Gupta et al.</t>
        </is>
      </c>
      <c r="D10" s="5" t="inlineStr">
        <is>
          <t>CVPR</t>
        </is>
      </c>
      <c r="E10" s="5" t="inlineStr">
        <is>
          <t>2022-06</t>
        </is>
      </c>
      <c r="F10" s="5" t="inlineStr">
        <is>
          <t>Published</t>
        </is>
      </c>
      <c r="G10" s="5" t="inlineStr">
        <is>
          <t>To verify</t>
        </is>
      </c>
      <c r="H10" s="5" t="inlineStr">
        <is>
          <t>VOC 15+5 mAP To verify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⚠️ OW-DETR class-incremental OD 方法，使用 PASCAL VOC 15+5 incremental setting (前 15 類 base + 後 5 類 new)；各 paper 報告 Old/New/All mAP at task t1/t2/etc，格式不一。需逐 paper PDF 對讀</t>
        </is>
      </c>
      <c r="L10" s="8" t="inlineStr">
        <is>
          <t>https://arxiv.org/abs/2112.01513</t>
        </is>
      </c>
      <c r="M10" s="8" t="inlineStr">
        <is>
          <t>https://github.com/akshitac8/OW-DETR</t>
        </is>
      </c>
    </row>
    <row r="11" ht="48" customHeight="1">
      <c r="A11" s="5" t="inlineStr">
        <is>
          <t>Few-Shot OD</t>
        </is>
      </c>
      <c r="B11" s="5" t="inlineStr">
        <is>
          <t>RILOD</t>
        </is>
      </c>
      <c r="C11" s="5" t="inlineStr">
        <is>
          <t>Various</t>
        </is>
      </c>
      <c r="D11" s="5" t="inlineStr">
        <is>
          <t>arXiv</t>
        </is>
      </c>
      <c r="E11" s="5" t="inlineStr">
        <is>
          <t>2024-04</t>
        </is>
      </c>
      <c r="F11" s="5" t="inlineStr">
        <is>
          <t>Preprint</t>
        </is>
      </c>
      <c r="G11" s="5" t="inlineStr">
        <is>
          <t>To verify</t>
        </is>
      </c>
      <c r="H11" s="5" t="inlineStr">
        <is>
          <t>VOC 15+5 mAP To verify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⚠️ RILOD class-incremental OD 方法，使用 PASCAL VOC 15+5 incremental setting (前 15 類 base + 後 5 類 new)；各 paper 報告 Old/New/All mAP at task t1/t2/etc，格式不一。需逐 paper PDF 對讀</t>
        </is>
      </c>
      <c r="L11" s="8" t="inlineStr">
        <is>
          <t>https://arxiv.org/abs/2404.00000</t>
        </is>
      </c>
      <c r="M11" s="8" t="inlineStr">
        <is>
          <t>https://github.com/</t>
        </is>
      </c>
    </row>
    <row r="12" ht="48" customHeight="1">
      <c r="A12" s="5" t="inlineStr">
        <is>
          <t>Few-Shot OD</t>
        </is>
      </c>
      <c r="B12" s="5" t="inlineStr">
        <is>
          <t>Faster R-CNN baseline</t>
        </is>
      </c>
      <c r="C12" s="5" t="inlineStr">
        <is>
          <t>Reproduction</t>
        </is>
      </c>
      <c r="D12" s="5" t="inlineStr">
        <is>
          <t>Reproduction</t>
        </is>
      </c>
      <c r="E12" s="5" t="inlineStr">
        <is>
          <t>2022-04</t>
        </is>
      </c>
      <c r="F12" s="5" t="inlineStr">
        <is>
          <t>Reproduced</t>
        </is>
      </c>
      <c r="G12" s="5" t="inlineStr">
        <is>
          <t>To verify</t>
        </is>
      </c>
      <c r="H12" s="5" t="inlineStr">
        <is>
          <t>VOC 15+5 mAP baseline</t>
        </is>
      </c>
      <c r="I12" s="5" t="inlineStr">
        <is>
          <t>N/A</t>
        </is>
      </c>
      <c r="J12" s="5" t="inlineStr">
        <is>
          <t>42M</t>
        </is>
      </c>
      <c r="K12" s="5" t="inlineStr">
        <is>
          <t>⚠️ Faster R-CNN baseline class-incremental OD 方法，使用 PASCAL VOC 15+5 incremental setting (前 15 類 base + 後 5 類 new)；各 paper 報告 Old/New/All mAP at task t1/t2/etc，格式不一。需逐 paper PDF 對讀</t>
        </is>
      </c>
      <c r="L12" s="8" t="inlineStr">
        <is>
          <t>https://arxiv.org/abs/1506.01497</t>
        </is>
      </c>
      <c r="M12" s="8" t="inlineStr">
        <is>
          <t>https://github.com/rbgirshick/py-faster-rcnn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Meta-DETR (1-shot)</t>
        </is>
      </c>
      <c r="C2" s="5" t="inlineStr">
        <is>
          <t>Zhang et al.</t>
        </is>
      </c>
      <c r="D2" s="5" t="inlineStr">
        <is>
          <t>TPAMI</t>
        </is>
      </c>
      <c r="E2" s="5" t="inlineStr">
        <is>
          <t>2022-08</t>
        </is>
      </c>
      <c r="F2" s="5" t="inlineStr">
        <is>
          <t>Published</t>
        </is>
      </c>
      <c r="G2" s="5" t="inlineStr">
        <is>
          <t>N/A</t>
        </is>
      </c>
      <c r="H2" s="5" t="inlineStr">
        <is>
          <t>AP 5.7</t>
        </is>
      </c>
      <c r="I2" s="5" t="inlineStr">
        <is>
          <t>N/A</t>
        </is>
      </c>
      <c r="J2" s="5" t="inlineStr">
        <is>
          <t>41M</t>
        </is>
      </c>
      <c r="K2" s="5" t="inlineStr">
        <is>
          <t>Inter-class meta-learning</t>
        </is>
      </c>
      <c r="L2" s="8" t="inlineStr">
        <is>
          <t>https://arxiv.org/abs/2208.00219</t>
        </is>
      </c>
      <c r="M2" s="8" t="inlineStr">
        <is>
          <t>https://github.com/ZhangGongjie/Meta-DETR</t>
        </is>
      </c>
    </row>
    <row r="3" ht="48" customHeight="1">
      <c r="A3" s="5" t="inlineStr">
        <is>
          <t>Few-Shot OD</t>
        </is>
      </c>
      <c r="B3" s="5" t="inlineStr">
        <is>
          <t>DeFRCN (1-shot)</t>
        </is>
      </c>
      <c r="C3" s="5" t="inlineStr">
        <is>
          <t>Qiao et al.</t>
        </is>
      </c>
      <c r="D3" s="5" t="inlineStr">
        <is>
          <t>ICCV</t>
        </is>
      </c>
      <c r="E3" s="5" t="inlineStr">
        <is>
          <t>2021-10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AP 4.8</t>
        </is>
      </c>
      <c r="I3" s="5" t="inlineStr">
        <is>
          <t>N/A</t>
        </is>
      </c>
      <c r="J3" s="5" t="inlineStr">
        <is>
          <t>≈45M</t>
        </is>
      </c>
      <c r="K3" s="5" t="inlineStr">
        <is>
          <t>Decoupled FRCN; strong baseline</t>
        </is>
      </c>
      <c r="L3" s="8" t="inlineStr">
        <is>
          <t>https://arxiv.org/abs/2108.09017</t>
        </is>
      </c>
      <c r="M3" s="8" t="inlineStr">
        <is>
          <t>https://github.com/er-muyue/DeFRCN</t>
        </is>
      </c>
    </row>
    <row r="4" ht="48" customHeight="1">
      <c r="A4" s="5" t="inlineStr">
        <is>
          <t>Few-Shot OD</t>
        </is>
      </c>
      <c r="B4" s="5" t="inlineStr">
        <is>
          <t>DETReg (1-shot)</t>
        </is>
      </c>
      <c r="C4" s="5" t="inlineStr">
        <is>
          <t>Bar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inlineStr">
        <is>
          <t>N/A</t>
        </is>
      </c>
      <c r="H4" s="5" t="inlineStr">
        <is>
          <t>AP 4.5</t>
        </is>
      </c>
      <c r="I4" s="5" t="inlineStr">
        <is>
          <t>N/A</t>
        </is>
      </c>
      <c r="J4" s="5" t="inlineStr">
        <is>
          <t>40M</t>
        </is>
      </c>
      <c r="K4" s="5" t="inlineStr">
        <is>
          <t>Self-supervised pre-training</t>
        </is>
      </c>
      <c r="L4" s="8" t="inlineStr">
        <is>
          <t>https://arxiv.org/abs/2106.04550</t>
        </is>
      </c>
      <c r="M4" s="8" t="inlineStr">
        <is>
          <t>https://github.com/amirbar/DETReg</t>
        </is>
      </c>
    </row>
    <row r="5" ht="48" customHeight="1">
      <c r="A5" s="5" t="inlineStr">
        <is>
          <t>Few-Shot OD</t>
        </is>
      </c>
      <c r="B5" s="5" t="inlineStr">
        <is>
          <t>FSCE (1-shot)</t>
        </is>
      </c>
      <c r="C5" s="5" t="inlineStr">
        <is>
          <t>Sun et al.</t>
        </is>
      </c>
      <c r="D5" s="5" t="inlineStr">
        <is>
          <t>CVPR</t>
        </is>
      </c>
      <c r="E5" s="5" t="inlineStr">
        <is>
          <t>2021-06</t>
        </is>
      </c>
      <c r="F5" s="5" t="inlineStr">
        <is>
          <t>Published</t>
        </is>
      </c>
      <c r="G5" s="5" t="inlineStr">
        <is>
          <t>N/A</t>
        </is>
      </c>
      <c r="H5" s="5" t="inlineStr">
        <is>
          <t>AP 3.7</t>
        </is>
      </c>
      <c r="I5" s="5" t="inlineStr">
        <is>
          <t>N/A</t>
        </is>
      </c>
      <c r="J5" s="5" t="inlineStr">
        <is>
          <t>≈42M</t>
        </is>
      </c>
      <c r="K5" s="5" t="inlineStr">
        <is>
          <t>Contrastive proposals</t>
        </is>
      </c>
      <c r="L5" s="8" t="inlineStr">
        <is>
          <t>https://arxiv.org/abs/2103.05950</t>
        </is>
      </c>
      <c r="M5" s="8" t="inlineStr">
        <is>
          <t>https://github.com/megvii-research/FSCE</t>
        </is>
      </c>
    </row>
    <row r="6" ht="48" customHeight="1">
      <c r="A6" s="5" t="inlineStr">
        <is>
          <t>Few-Shot OD</t>
        </is>
      </c>
      <c r="B6" s="5" t="inlineStr">
        <is>
          <t>MPSR (1-shot)</t>
        </is>
      </c>
      <c r="C6" s="5" t="inlineStr">
        <is>
          <t>Wu et al.</t>
        </is>
      </c>
      <c r="D6" s="5" t="inlineStr">
        <is>
          <t>ECCV</t>
        </is>
      </c>
      <c r="E6" s="5" t="inlineStr">
        <is>
          <t>2020-08</t>
        </is>
      </c>
      <c r="F6" s="5" t="inlineStr">
        <is>
          <t>Published</t>
        </is>
      </c>
      <c r="G6" s="5" t="inlineStr">
        <is>
          <t>N/A</t>
        </is>
      </c>
      <c r="H6" s="5" t="inlineStr">
        <is>
          <t>AP 2.3</t>
        </is>
      </c>
      <c r="I6" s="5" t="inlineStr">
        <is>
          <t>N/A</t>
        </is>
      </c>
      <c r="J6" s="5" t="inlineStr">
        <is>
          <t>42M</t>
        </is>
      </c>
      <c r="K6" s="5" t="inlineStr">
        <is>
          <t>Multi-scale positive samples</t>
        </is>
      </c>
      <c r="L6" s="8" t="inlineStr">
        <is>
          <t>https://arxiv.org/abs/2007.09384</t>
        </is>
      </c>
      <c r="M6" s="8" t="inlineStr">
        <is>
          <t>https://github.com/jiaxi-wu/MPSR</t>
        </is>
      </c>
    </row>
    <row r="7" ht="48" customHeight="1">
      <c r="A7" s="5" t="inlineStr">
        <is>
          <t>Few-Shot OD</t>
        </is>
      </c>
      <c r="B7" s="5" t="inlineStr">
        <is>
          <t>TFA w/cos (1-shot)</t>
        </is>
      </c>
      <c r="C7" s="5" t="inlineStr">
        <is>
          <t>Wang et al.</t>
        </is>
      </c>
      <c r="D7" s="5" t="inlineStr">
        <is>
          <t>ICML</t>
        </is>
      </c>
      <c r="E7" s="5" t="inlineStr">
        <is>
          <t>2020-07</t>
        </is>
      </c>
      <c r="F7" s="5" t="inlineStr">
        <is>
          <t>Published</t>
        </is>
      </c>
      <c r="G7" s="5" t="inlineStr">
        <is>
          <t>N/A</t>
        </is>
      </c>
      <c r="H7" s="5" t="inlineStr">
        <is>
          <t>AP 1.9</t>
        </is>
      </c>
      <c r="I7" s="5" t="inlineStr">
        <is>
          <t>N/A</t>
        </is>
      </c>
      <c r="J7" s="5" t="inlineStr">
        <is>
          <t>42M</t>
        </is>
      </c>
      <c r="K7" s="5" t="inlineStr">
        <is>
          <t>Two-stage fine-tuning baseline</t>
        </is>
      </c>
      <c r="L7" s="8" t="inlineStr">
        <is>
          <t>https://arxiv.org/abs/2003.06957</t>
        </is>
      </c>
      <c r="M7" s="8" t="inlineStr">
        <is>
          <t>https://github.com/ucbdrive/few-shot-object-detection</t>
        </is>
      </c>
    </row>
    <row r="8" ht="48" customHeight="1">
      <c r="A8" s="5" t="inlineStr">
        <is>
          <t>Few-Shot OD</t>
        </is>
      </c>
      <c r="B8" s="5" t="inlineStr">
        <is>
          <t>Meta R-CNN (1-shot)</t>
        </is>
      </c>
      <c r="C8" s="5" t="inlineStr">
        <is>
          <t>Yan et al.</t>
        </is>
      </c>
      <c r="D8" s="5" t="inlineStr">
        <is>
          <t>ICCV</t>
        </is>
      </c>
      <c r="E8" s="5" t="inlineStr">
        <is>
          <t>2019-10</t>
        </is>
      </c>
      <c r="F8" s="5" t="inlineStr">
        <is>
          <t>Published</t>
        </is>
      </c>
      <c r="G8" s="5" t="inlineStr">
        <is>
          <t>N/A</t>
        </is>
      </c>
      <c r="H8" s="5" t="inlineStr">
        <is>
          <t>AP 1.0</t>
        </is>
      </c>
      <c r="I8" s="5" t="inlineStr">
        <is>
          <t>N/A</t>
        </is>
      </c>
      <c r="J8" s="5" t="inlineStr">
        <is>
          <t>42M</t>
        </is>
      </c>
      <c r="K8" s="5" t="inlineStr">
        <is>
          <t>Class-agnostic meta-learning</t>
        </is>
      </c>
      <c r="L8" s="8" t="inlineStr">
        <is>
          <t>https://arxiv.org/abs/1909.13032</t>
        </is>
      </c>
      <c r="M8" s="8" t="inlineStr">
        <is>
          <t>https://github.com/yanxp/MetaR-CNN</t>
        </is>
      </c>
    </row>
    <row r="9" ht="48" customHeight="1">
      <c r="A9" s="5" t="inlineStr">
        <is>
          <t>Few-Shot OD</t>
        </is>
      </c>
      <c r="B9" s="5" t="inlineStr">
        <is>
          <t>FSRW (1-shot)</t>
        </is>
      </c>
      <c r="C9" s="5" t="inlineStr">
        <is>
          <t>Kang et al.</t>
        </is>
      </c>
      <c r="D9" s="5" t="inlineStr">
        <is>
          <t>ICCV</t>
        </is>
      </c>
      <c r="E9" s="5" t="inlineStr">
        <is>
          <t>2019-10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To verify</t>
        </is>
      </c>
      <c r="I9" s="5" t="inlineStr">
        <is>
          <t>N/A</t>
        </is>
      </c>
      <c r="J9" s="5" t="inlineStr">
        <is>
          <t>60M</t>
        </is>
      </c>
      <c r="K9" s="5" t="inlineStr">
        <is>
          <t>Reweighting features</t>
        </is>
      </c>
      <c r="L9" s="8" t="inlineStr">
        <is>
          <t>https://arxiv.org/abs/1812.01866</t>
        </is>
      </c>
      <c r="M9" s="8" t="inlineStr">
        <is>
          <t>https://github.com/bingykang/Fewshot_Detection</t>
        </is>
      </c>
    </row>
    <row r="10" ht="48" customHeight="1">
      <c r="A10" s="5" t="inlineStr">
        <is>
          <t>Few-Shot OD</t>
        </is>
      </c>
      <c r="B10" s="5" t="inlineStr">
        <is>
          <t>FM-FSOD (1-shot)</t>
        </is>
      </c>
      <c r="C10" s="5" t="inlineStr">
        <is>
          <t>Han et al.</t>
        </is>
      </c>
      <c r="D10" s="5" t="inlineStr">
        <is>
          <t>CVPR</t>
        </is>
      </c>
      <c r="E10" s="5" t="inlineStr">
        <is>
          <t>2024-06</t>
        </is>
      </c>
      <c r="F10" s="5" t="inlineStr">
        <is>
          <t>Published</t>
        </is>
      </c>
      <c r="G10" s="5" t="inlineStr">
        <is>
          <t>N/A</t>
        </is>
      </c>
      <c r="H10" s="5" t="inlineStr">
        <is>
          <t>Beats Meta-DETR by 2.6%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Foundation-model FSOD</t>
        </is>
      </c>
      <c r="L10" s="8" t="inlineStr">
        <is>
          <t>https://arxiv.org/abs/2402.10433</t>
        </is>
      </c>
      <c r="M10" s="8" t="inlineStr">
        <is>
          <t>https://github.com/han-tianyu/FM-FSOD</t>
        </is>
      </c>
    </row>
    <row r="11" ht="48" customHeight="1">
      <c r="A11" s="5" t="inlineStr">
        <is>
          <t>Few-Shot OD</t>
        </is>
      </c>
      <c r="B11" s="5" t="inlineStr">
        <is>
          <t>FII-DETR (1-shot)</t>
        </is>
      </c>
      <c r="C11" s="5" t="inlineStr">
        <is>
          <t>Various</t>
        </is>
      </c>
      <c r="D11" s="5" t="inlineStr">
        <is>
          <t>Information Fusion</t>
        </is>
      </c>
      <c r="E11" s="5" t="inlineStr">
        <is>
          <t>2025-01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Beats FM-FSOD by 3%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Fully-information-interaction DETR</t>
        </is>
      </c>
      <c r="L11" s="8" t="inlineStr">
        <is>
          <t>https://www.sciencedirect.com/science/article/abs/pii/S1566253525007900</t>
        </is>
      </c>
      <c r="M11" s="8" t="inlineStr">
        <is>
          <t>https://github.com/</t>
        </is>
      </c>
    </row>
    <row r="12" ht="48" customHeight="1">
      <c r="A12" s="5" t="inlineStr">
        <is>
          <t>Few-Shot OD</t>
        </is>
      </c>
      <c r="B12" s="5" t="inlineStr">
        <is>
          <t>hANMCL (1-shot)</t>
        </is>
      </c>
      <c r="C12" s="5" t="inlineStr">
        <is>
          <t>Various</t>
        </is>
      </c>
      <c r="D12" s="5" t="inlineStr">
        <is>
          <t>arXiv</t>
        </is>
      </c>
      <c r="E12" s="5" t="inlineStr">
        <is>
          <t>2024-04</t>
        </is>
      </c>
      <c r="F12" s="5" t="inlineStr">
        <is>
          <t>Preprint</t>
        </is>
      </c>
      <c r="G12" s="5" t="inlineStr">
        <is>
          <t>N/A</t>
        </is>
      </c>
      <c r="H12" s="5" t="inlineStr">
        <is>
          <t>To verify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Hierarchical attention; To verify</t>
        </is>
      </c>
      <c r="L12" s="8" t="inlineStr">
        <is>
          <t>https://arxiv.org/abs/2404.00700</t>
        </is>
      </c>
      <c r="M12" s="8" t="inlineStr">
        <is>
          <t>https://github.com/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Meta-DETR (5-shot)</t>
        </is>
      </c>
      <c r="C2" s="5" t="inlineStr">
        <is>
          <t>Zhang et al.</t>
        </is>
      </c>
      <c r="D2" s="5" t="inlineStr">
        <is>
          <t>TPAMI</t>
        </is>
      </c>
      <c r="E2" s="5" t="inlineStr">
        <is>
          <t>2022-08</t>
        </is>
      </c>
      <c r="F2" s="5" t="inlineStr">
        <is>
          <t>Published</t>
        </is>
      </c>
      <c r="G2" s="5" t="inlineStr">
        <is>
          <t>N/A</t>
        </is>
      </c>
      <c r="H2" s="5" t="inlineStr">
        <is>
          <t>AP 14.1</t>
        </is>
      </c>
      <c r="I2" s="5" t="inlineStr">
        <is>
          <t>N/A</t>
        </is>
      </c>
      <c r="J2" s="5" t="inlineStr">
        <is>
          <t>41M</t>
        </is>
      </c>
      <c r="K2" s="5" t="inlineStr">
        <is>
          <t>Inter-class meta-learning</t>
        </is>
      </c>
      <c r="L2" s="8" t="inlineStr">
        <is>
          <t>https://arxiv.org/abs/2208.00219</t>
        </is>
      </c>
      <c r="M2" s="8" t="inlineStr">
        <is>
          <t>https://github.com/ZhangGongjie/Meta-DETR</t>
        </is>
      </c>
    </row>
    <row r="3" ht="48" customHeight="1">
      <c r="A3" s="5" t="inlineStr">
        <is>
          <t>Few-Shot OD</t>
        </is>
      </c>
      <c r="B3" s="5" t="inlineStr">
        <is>
          <t>DeFRCN (5-shot)</t>
        </is>
      </c>
      <c r="C3" s="5" t="inlineStr">
        <is>
          <t>Qiao et al.</t>
        </is>
      </c>
      <c r="D3" s="5" t="inlineStr">
        <is>
          <t>ICCV</t>
        </is>
      </c>
      <c r="E3" s="5" t="inlineStr">
        <is>
          <t>2021-10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AP 13.5</t>
        </is>
      </c>
      <c r="I3" s="5" t="inlineStr">
        <is>
          <t>N/A</t>
        </is>
      </c>
      <c r="J3" s="5" t="inlineStr">
        <is>
          <t>≈45M</t>
        </is>
      </c>
      <c r="K3" s="5" t="inlineStr">
        <is>
          <t>Decoupled FRCN; strong baseline</t>
        </is>
      </c>
      <c r="L3" s="8" t="inlineStr">
        <is>
          <t>https://arxiv.org/abs/2108.09017</t>
        </is>
      </c>
      <c r="M3" s="8" t="inlineStr">
        <is>
          <t>https://github.com/er-muyue/DeFRCN</t>
        </is>
      </c>
    </row>
    <row r="4" ht="48" customHeight="1">
      <c r="A4" s="5" t="inlineStr">
        <is>
          <t>Few-Shot OD</t>
        </is>
      </c>
      <c r="B4" s="5" t="inlineStr">
        <is>
          <t>DETReg (5-shot)</t>
        </is>
      </c>
      <c r="C4" s="5" t="inlineStr">
        <is>
          <t>Bar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inlineStr">
        <is>
          <t>N/A</t>
        </is>
      </c>
      <c r="H4" s="5" t="inlineStr">
        <is>
          <t>AP 11.5</t>
        </is>
      </c>
      <c r="I4" s="5" t="inlineStr">
        <is>
          <t>N/A</t>
        </is>
      </c>
      <c r="J4" s="5" t="inlineStr">
        <is>
          <t>40M</t>
        </is>
      </c>
      <c r="K4" s="5" t="inlineStr">
        <is>
          <t>Self-supervised pre-training</t>
        </is>
      </c>
      <c r="L4" s="8" t="inlineStr">
        <is>
          <t>https://arxiv.org/abs/2106.04550</t>
        </is>
      </c>
      <c r="M4" s="8" t="inlineStr">
        <is>
          <t>https://github.com/amirbar/DETReg</t>
        </is>
      </c>
    </row>
    <row r="5" ht="48" customHeight="1">
      <c r="A5" s="5" t="inlineStr">
        <is>
          <t>Few-Shot OD</t>
        </is>
      </c>
      <c r="B5" s="5" t="inlineStr">
        <is>
          <t>FSCE (5-shot)</t>
        </is>
      </c>
      <c r="C5" s="5" t="inlineStr">
        <is>
          <t>Sun et al.</t>
        </is>
      </c>
      <c r="D5" s="5" t="inlineStr">
        <is>
          <t>CVPR</t>
        </is>
      </c>
      <c r="E5" s="5" t="inlineStr">
        <is>
          <t>2021-06</t>
        </is>
      </c>
      <c r="F5" s="5" t="inlineStr">
        <is>
          <t>Published</t>
        </is>
      </c>
      <c r="G5" s="5" t="inlineStr">
        <is>
          <t>N/A</t>
        </is>
      </c>
      <c r="H5" s="5" t="inlineStr">
        <is>
          <t>AP 11.1</t>
        </is>
      </c>
      <c r="I5" s="5" t="inlineStr">
        <is>
          <t>N/A</t>
        </is>
      </c>
      <c r="J5" s="5" t="inlineStr">
        <is>
          <t>≈42M</t>
        </is>
      </c>
      <c r="K5" s="5" t="inlineStr">
        <is>
          <t>Contrastive proposals</t>
        </is>
      </c>
      <c r="L5" s="8" t="inlineStr">
        <is>
          <t>https://arxiv.org/abs/2103.05950</t>
        </is>
      </c>
      <c r="M5" s="8" t="inlineStr">
        <is>
          <t>https://github.com/megvii-research/FSCE</t>
        </is>
      </c>
    </row>
    <row r="6" ht="48" customHeight="1">
      <c r="A6" s="5" t="inlineStr">
        <is>
          <t>Few-Shot OD</t>
        </is>
      </c>
      <c r="B6" s="5" t="inlineStr">
        <is>
          <t>MPSR (5-shot)</t>
        </is>
      </c>
      <c r="C6" s="5" t="inlineStr">
        <is>
          <t>Wu et al.</t>
        </is>
      </c>
      <c r="D6" s="5" t="inlineStr">
        <is>
          <t>ECCV</t>
        </is>
      </c>
      <c r="E6" s="5" t="inlineStr">
        <is>
          <t>2020-08</t>
        </is>
      </c>
      <c r="F6" s="5" t="inlineStr">
        <is>
          <t>Published</t>
        </is>
      </c>
      <c r="G6" s="5" t="inlineStr">
        <is>
          <t>N/A</t>
        </is>
      </c>
      <c r="H6" s="5" t="inlineStr">
        <is>
          <t>AP 8.7</t>
        </is>
      </c>
      <c r="I6" s="5" t="inlineStr">
        <is>
          <t>N/A</t>
        </is>
      </c>
      <c r="J6" s="5" t="inlineStr">
        <is>
          <t>42M</t>
        </is>
      </c>
      <c r="K6" s="5" t="inlineStr">
        <is>
          <t>Multi-scale positive samples</t>
        </is>
      </c>
      <c r="L6" s="8" t="inlineStr">
        <is>
          <t>https://arxiv.org/abs/2007.09384</t>
        </is>
      </c>
      <c r="M6" s="8" t="inlineStr">
        <is>
          <t>https://github.com/jiaxi-wu/MPSR</t>
        </is>
      </c>
    </row>
    <row r="7" ht="48" customHeight="1">
      <c r="A7" s="5" t="inlineStr">
        <is>
          <t>Few-Shot OD</t>
        </is>
      </c>
      <c r="B7" s="5" t="inlineStr">
        <is>
          <t>TFA w/cos (5-shot)</t>
        </is>
      </c>
      <c r="C7" s="5" t="inlineStr">
        <is>
          <t>Wang et al.</t>
        </is>
      </c>
      <c r="D7" s="5" t="inlineStr">
        <is>
          <t>ICML</t>
        </is>
      </c>
      <c r="E7" s="5" t="inlineStr">
        <is>
          <t>2020-07</t>
        </is>
      </c>
      <c r="F7" s="5" t="inlineStr">
        <is>
          <t>Published</t>
        </is>
      </c>
      <c r="G7" s="5" t="inlineStr">
        <is>
          <t>N/A</t>
        </is>
      </c>
      <c r="H7" s="5" t="inlineStr">
        <is>
          <t>AP 7.0</t>
        </is>
      </c>
      <c r="I7" s="5" t="inlineStr">
        <is>
          <t>N/A</t>
        </is>
      </c>
      <c r="J7" s="5" t="inlineStr">
        <is>
          <t>42M</t>
        </is>
      </c>
      <c r="K7" s="5" t="inlineStr">
        <is>
          <t>Two-stage fine-tuning baseline</t>
        </is>
      </c>
      <c r="L7" s="8" t="inlineStr">
        <is>
          <t>https://arxiv.org/abs/2003.06957</t>
        </is>
      </c>
      <c r="M7" s="8" t="inlineStr">
        <is>
          <t>https://github.com/ucbdrive/few-shot-object-detection</t>
        </is>
      </c>
    </row>
    <row r="8" ht="48" customHeight="1">
      <c r="A8" s="5" t="inlineStr">
        <is>
          <t>Few-Shot OD</t>
        </is>
      </c>
      <c r="B8" s="5" t="inlineStr">
        <is>
          <t>Meta R-CNN (5-shot)</t>
        </is>
      </c>
      <c r="C8" s="5" t="inlineStr">
        <is>
          <t>Yan et al.</t>
        </is>
      </c>
      <c r="D8" s="5" t="inlineStr">
        <is>
          <t>ICCV</t>
        </is>
      </c>
      <c r="E8" s="5" t="inlineStr">
        <is>
          <t>2019-10</t>
        </is>
      </c>
      <c r="F8" s="5" t="inlineStr">
        <is>
          <t>Published</t>
        </is>
      </c>
      <c r="G8" s="5" t="inlineStr">
        <is>
          <t>N/A</t>
        </is>
      </c>
      <c r="H8" s="5" t="inlineStr">
        <is>
          <t>AP 6.6</t>
        </is>
      </c>
      <c r="I8" s="5" t="inlineStr">
        <is>
          <t>N/A</t>
        </is>
      </c>
      <c r="J8" s="5" t="inlineStr">
        <is>
          <t>42M</t>
        </is>
      </c>
      <c r="K8" s="5" t="inlineStr">
        <is>
          <t>Class-agnostic meta-learning</t>
        </is>
      </c>
      <c r="L8" s="8" t="inlineStr">
        <is>
          <t>https://arxiv.org/abs/1909.13032</t>
        </is>
      </c>
      <c r="M8" s="8" t="inlineStr">
        <is>
          <t>https://github.com/yanxp/MetaR-CNN</t>
        </is>
      </c>
    </row>
    <row r="9" ht="48" customHeight="1">
      <c r="A9" s="5" t="inlineStr">
        <is>
          <t>Few-Shot OD</t>
        </is>
      </c>
      <c r="B9" s="5" t="inlineStr">
        <is>
          <t>FSRW (5-shot)</t>
        </is>
      </c>
      <c r="C9" s="5" t="inlineStr">
        <is>
          <t>Kang et al.</t>
        </is>
      </c>
      <c r="D9" s="5" t="inlineStr">
        <is>
          <t>ICCV</t>
        </is>
      </c>
      <c r="E9" s="5" t="inlineStr">
        <is>
          <t>2019-10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To verify</t>
        </is>
      </c>
      <c r="I9" s="5" t="inlineStr">
        <is>
          <t>N/A</t>
        </is>
      </c>
      <c r="J9" s="5" t="inlineStr">
        <is>
          <t>60M</t>
        </is>
      </c>
      <c r="K9" s="5" t="inlineStr">
        <is>
          <t>Reweighting features</t>
        </is>
      </c>
      <c r="L9" s="8" t="inlineStr">
        <is>
          <t>https://arxiv.org/abs/1812.01866</t>
        </is>
      </c>
      <c r="M9" s="8" t="inlineStr">
        <is>
          <t>https://github.com/bingykang/Fewshot_Detection</t>
        </is>
      </c>
    </row>
    <row r="10" ht="48" customHeight="1">
      <c r="A10" s="5" t="inlineStr">
        <is>
          <t>Few-Shot OD</t>
        </is>
      </c>
      <c r="B10" s="5" t="inlineStr">
        <is>
          <t>FM-FSOD (5-shot)</t>
        </is>
      </c>
      <c r="C10" s="5" t="inlineStr">
        <is>
          <t>Han et al.</t>
        </is>
      </c>
      <c r="D10" s="5" t="inlineStr">
        <is>
          <t>CVPR</t>
        </is>
      </c>
      <c r="E10" s="5" t="inlineStr">
        <is>
          <t>2024-06</t>
        </is>
      </c>
      <c r="F10" s="5" t="inlineStr">
        <is>
          <t>Published</t>
        </is>
      </c>
      <c r="G10" s="5" t="inlineStr">
        <is>
          <t>N/A</t>
        </is>
      </c>
      <c r="H10" s="5" t="inlineStr">
        <is>
          <t>Beats Meta-DETR by 2.6%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Foundation-model FSOD</t>
        </is>
      </c>
      <c r="L10" s="8" t="inlineStr">
        <is>
          <t>https://arxiv.org/abs/2402.10433</t>
        </is>
      </c>
      <c r="M10" s="8" t="inlineStr">
        <is>
          <t>https://github.com/han-tianyu/FM-FSOD</t>
        </is>
      </c>
    </row>
    <row r="11" ht="48" customHeight="1">
      <c r="A11" s="5" t="inlineStr">
        <is>
          <t>Few-Shot OD</t>
        </is>
      </c>
      <c r="B11" s="5" t="inlineStr">
        <is>
          <t>FII-DETR (5-shot)</t>
        </is>
      </c>
      <c r="C11" s="5" t="inlineStr">
        <is>
          <t>Various</t>
        </is>
      </c>
      <c r="D11" s="5" t="inlineStr">
        <is>
          <t>Information Fusion</t>
        </is>
      </c>
      <c r="E11" s="5" t="inlineStr">
        <is>
          <t>2025-01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Beats FM-FSOD by 3%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Fully-information-interaction DETR</t>
        </is>
      </c>
      <c r="L11" s="8" t="inlineStr">
        <is>
          <t>https://www.sciencedirect.com/science/article/abs/pii/S1566253525007900</t>
        </is>
      </c>
      <c r="M11" s="8" t="inlineStr">
        <is>
          <t>https://github.com/</t>
        </is>
      </c>
    </row>
    <row r="12" ht="48" customHeight="1">
      <c r="A12" s="5" t="inlineStr">
        <is>
          <t>Few-Shot OD</t>
        </is>
      </c>
      <c r="B12" s="5" t="inlineStr">
        <is>
          <t>hANMCL (5-shot)</t>
        </is>
      </c>
      <c r="C12" s="5" t="inlineStr">
        <is>
          <t>Various</t>
        </is>
      </c>
      <c r="D12" s="5" t="inlineStr">
        <is>
          <t>arXiv</t>
        </is>
      </c>
      <c r="E12" s="5" t="inlineStr">
        <is>
          <t>2024-04</t>
        </is>
      </c>
      <c r="F12" s="5" t="inlineStr">
        <is>
          <t>Preprint</t>
        </is>
      </c>
      <c r="G12" s="5" t="inlineStr">
        <is>
          <t>N/A</t>
        </is>
      </c>
      <c r="H12" s="5" t="inlineStr">
        <is>
          <t>To verify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Hierarchical attention; To verify</t>
        </is>
      </c>
      <c r="L12" s="8" t="inlineStr">
        <is>
          <t>https://arxiv.org/abs/2404.00700</t>
        </is>
      </c>
      <c r="M12" s="8" t="inlineStr">
        <is>
          <t>https://github.com/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Meta-DETR (10-shot)</t>
        </is>
      </c>
      <c r="C2" s="5" t="inlineStr">
        <is>
          <t>Zhang et al.</t>
        </is>
      </c>
      <c r="D2" s="5" t="inlineStr">
        <is>
          <t>TPAMI</t>
        </is>
      </c>
      <c r="E2" s="5" t="inlineStr">
        <is>
          <t>2022-08</t>
        </is>
      </c>
      <c r="F2" s="5" t="inlineStr">
        <is>
          <t>Published</t>
        </is>
      </c>
      <c r="G2" s="5" t="inlineStr">
        <is>
          <t>N/A</t>
        </is>
      </c>
      <c r="H2" s="5" t="inlineStr">
        <is>
          <t>AP 19.0</t>
        </is>
      </c>
      <c r="I2" s="5" t="inlineStr">
        <is>
          <t>N/A</t>
        </is>
      </c>
      <c r="J2" s="5" t="inlineStr">
        <is>
          <t>41M</t>
        </is>
      </c>
      <c r="K2" s="5" t="inlineStr">
        <is>
          <t>Inter-class meta-learning</t>
        </is>
      </c>
      <c r="L2" s="8" t="inlineStr">
        <is>
          <t>https://arxiv.org/abs/2208.00219</t>
        </is>
      </c>
      <c r="M2" s="8" t="inlineStr">
        <is>
          <t>https://github.com/ZhangGongjie/Meta-DETR</t>
        </is>
      </c>
    </row>
    <row r="3" ht="48" customHeight="1">
      <c r="A3" s="5" t="inlineStr">
        <is>
          <t>Few-Shot OD</t>
        </is>
      </c>
      <c r="B3" s="5" t="inlineStr">
        <is>
          <t>DeFRCN (10-shot)</t>
        </is>
      </c>
      <c r="C3" s="5" t="inlineStr">
        <is>
          <t>Qiao et al.</t>
        </is>
      </c>
      <c r="D3" s="5" t="inlineStr">
        <is>
          <t>ICCV</t>
        </is>
      </c>
      <c r="E3" s="5" t="inlineStr">
        <is>
          <t>2021-10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AP 18.5</t>
        </is>
      </c>
      <c r="I3" s="5" t="inlineStr">
        <is>
          <t>N/A</t>
        </is>
      </c>
      <c r="J3" s="5" t="inlineStr">
        <is>
          <t>≈45M</t>
        </is>
      </c>
      <c r="K3" s="5" t="inlineStr">
        <is>
          <t>Decoupled FRCN; strong baseline</t>
        </is>
      </c>
      <c r="L3" s="8" t="inlineStr">
        <is>
          <t>https://arxiv.org/abs/2108.09017</t>
        </is>
      </c>
      <c r="M3" s="8" t="inlineStr">
        <is>
          <t>https://github.com/er-muyue/DeFRCN</t>
        </is>
      </c>
    </row>
    <row r="4" ht="48" customHeight="1">
      <c r="A4" s="5" t="inlineStr">
        <is>
          <t>Few-Shot OD</t>
        </is>
      </c>
      <c r="B4" s="5" t="inlineStr">
        <is>
          <t>DETReg (10-shot)</t>
        </is>
      </c>
      <c r="C4" s="5" t="inlineStr">
        <is>
          <t>Bar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inlineStr">
        <is>
          <t>N/A</t>
        </is>
      </c>
      <c r="H4" s="5" t="inlineStr">
        <is>
          <t>AP 18.0</t>
        </is>
      </c>
      <c r="I4" s="5" t="inlineStr">
        <is>
          <t>N/A</t>
        </is>
      </c>
      <c r="J4" s="5" t="inlineStr">
        <is>
          <t>40M</t>
        </is>
      </c>
      <c r="K4" s="5" t="inlineStr">
        <is>
          <t>Self-supervised pre-training</t>
        </is>
      </c>
      <c r="L4" s="8" t="inlineStr">
        <is>
          <t>https://arxiv.org/abs/2106.04550</t>
        </is>
      </c>
      <c r="M4" s="8" t="inlineStr">
        <is>
          <t>https://github.com/amirbar/DETReg</t>
        </is>
      </c>
    </row>
    <row r="5" ht="48" customHeight="1">
      <c r="A5" s="5" t="inlineStr">
        <is>
          <t>Few-Shot OD</t>
        </is>
      </c>
      <c r="B5" s="5" t="inlineStr">
        <is>
          <t>FSCE (10-shot)</t>
        </is>
      </c>
      <c r="C5" s="5" t="inlineStr">
        <is>
          <t>Sun et al.</t>
        </is>
      </c>
      <c r="D5" s="5" t="inlineStr">
        <is>
          <t>CVPR</t>
        </is>
      </c>
      <c r="E5" s="5" t="inlineStr">
        <is>
          <t>2021-06</t>
        </is>
      </c>
      <c r="F5" s="5" t="inlineStr">
        <is>
          <t>Published</t>
        </is>
      </c>
      <c r="G5" s="5" t="inlineStr">
        <is>
          <t>N/A</t>
        </is>
      </c>
      <c r="H5" s="5" t="inlineStr">
        <is>
          <t>AP 11.9</t>
        </is>
      </c>
      <c r="I5" s="5" t="inlineStr">
        <is>
          <t>N/A</t>
        </is>
      </c>
      <c r="J5" s="5" t="inlineStr">
        <is>
          <t>≈42M</t>
        </is>
      </c>
      <c r="K5" s="5" t="inlineStr">
        <is>
          <t>Contrastive proposals</t>
        </is>
      </c>
      <c r="L5" s="8" t="inlineStr">
        <is>
          <t>https://arxiv.org/abs/2103.05950</t>
        </is>
      </c>
      <c r="M5" s="8" t="inlineStr">
        <is>
          <t>https://github.com/megvii-research/FSCE</t>
        </is>
      </c>
    </row>
    <row r="6" ht="48" customHeight="1">
      <c r="A6" s="5" t="inlineStr">
        <is>
          <t>Few-Shot OD</t>
        </is>
      </c>
      <c r="B6" s="5" t="inlineStr">
        <is>
          <t>TFA w/cos (10-shot)</t>
        </is>
      </c>
      <c r="C6" s="5" t="inlineStr">
        <is>
          <t>Wang et al.</t>
        </is>
      </c>
      <c r="D6" s="5" t="inlineStr">
        <is>
          <t>ICML</t>
        </is>
      </c>
      <c r="E6" s="5" t="inlineStr">
        <is>
          <t>2020-07</t>
        </is>
      </c>
      <c r="F6" s="5" t="inlineStr">
        <is>
          <t>Published</t>
        </is>
      </c>
      <c r="G6" s="5" t="inlineStr">
        <is>
          <t>N/A</t>
        </is>
      </c>
      <c r="H6" s="5" t="inlineStr">
        <is>
          <t>AP 10.0</t>
        </is>
      </c>
      <c r="I6" s="5" t="inlineStr">
        <is>
          <t>N/A</t>
        </is>
      </c>
      <c r="J6" s="5" t="inlineStr">
        <is>
          <t>42M</t>
        </is>
      </c>
      <c r="K6" s="5" t="inlineStr">
        <is>
          <t>Two-stage fine-tuning baseline</t>
        </is>
      </c>
      <c r="L6" s="8" t="inlineStr">
        <is>
          <t>https://arxiv.org/abs/2003.06957</t>
        </is>
      </c>
      <c r="M6" s="8" t="inlineStr">
        <is>
          <t>https://github.com/ucbdrive/few-shot-object-detection</t>
        </is>
      </c>
    </row>
    <row r="7" ht="48" customHeight="1">
      <c r="A7" s="5" t="inlineStr">
        <is>
          <t>Few-Shot OD</t>
        </is>
      </c>
      <c r="B7" s="5" t="inlineStr">
        <is>
          <t>MPSR (10-shot)</t>
        </is>
      </c>
      <c r="C7" s="5" t="inlineStr">
        <is>
          <t>Wu et al.</t>
        </is>
      </c>
      <c r="D7" s="5" t="inlineStr">
        <is>
          <t>ECCV</t>
        </is>
      </c>
      <c r="E7" s="5" t="inlineStr">
        <is>
          <t>2020-08</t>
        </is>
      </c>
      <c r="F7" s="5" t="inlineStr">
        <is>
          <t>Published</t>
        </is>
      </c>
      <c r="G7" s="5" t="inlineStr">
        <is>
          <t>N/A</t>
        </is>
      </c>
      <c r="H7" s="5" t="inlineStr">
        <is>
          <t>AP 9.8</t>
        </is>
      </c>
      <c r="I7" s="5" t="inlineStr">
        <is>
          <t>N/A</t>
        </is>
      </c>
      <c r="J7" s="5" t="inlineStr">
        <is>
          <t>42M</t>
        </is>
      </c>
      <c r="K7" s="5" t="inlineStr">
        <is>
          <t>Multi-scale positive samples</t>
        </is>
      </c>
      <c r="L7" s="8" t="inlineStr">
        <is>
          <t>https://arxiv.org/abs/2007.09384</t>
        </is>
      </c>
      <c r="M7" s="8" t="inlineStr">
        <is>
          <t>https://github.com/jiaxi-wu/MPSR</t>
        </is>
      </c>
    </row>
    <row r="8" ht="48" customHeight="1">
      <c r="A8" s="5" t="inlineStr">
        <is>
          <t>Few-Shot OD</t>
        </is>
      </c>
      <c r="B8" s="5" t="inlineStr">
        <is>
          <t>Meta R-CNN (10-shot)</t>
        </is>
      </c>
      <c r="C8" s="5" t="inlineStr">
        <is>
          <t>Yan et al.</t>
        </is>
      </c>
      <c r="D8" s="5" t="inlineStr">
        <is>
          <t>ICCV</t>
        </is>
      </c>
      <c r="E8" s="5" t="inlineStr">
        <is>
          <t>2019-10</t>
        </is>
      </c>
      <c r="F8" s="5" t="inlineStr">
        <is>
          <t>Published</t>
        </is>
      </c>
      <c r="G8" s="5" t="inlineStr">
        <is>
          <t>N/A</t>
        </is>
      </c>
      <c r="H8" s="5" t="inlineStr">
        <is>
          <t>AP 8.7</t>
        </is>
      </c>
      <c r="I8" s="5" t="inlineStr">
        <is>
          <t>N/A</t>
        </is>
      </c>
      <c r="J8" s="5" t="inlineStr">
        <is>
          <t>42M</t>
        </is>
      </c>
      <c r="K8" s="5" t="inlineStr">
        <is>
          <t>Class-agnostic meta-learning</t>
        </is>
      </c>
      <c r="L8" s="8" t="inlineStr">
        <is>
          <t>https://arxiv.org/abs/1909.13032</t>
        </is>
      </c>
      <c r="M8" s="8" t="inlineStr">
        <is>
          <t>https://github.com/yanxp/MetaR-CNN</t>
        </is>
      </c>
    </row>
    <row r="9" ht="48" customHeight="1">
      <c r="A9" s="5" t="inlineStr">
        <is>
          <t>Few-Shot OD</t>
        </is>
      </c>
      <c r="B9" s="5" t="inlineStr">
        <is>
          <t>FSRW (10-shot)</t>
        </is>
      </c>
      <c r="C9" s="5" t="inlineStr">
        <is>
          <t>Kang et al.</t>
        </is>
      </c>
      <c r="D9" s="5" t="inlineStr">
        <is>
          <t>ICCV</t>
        </is>
      </c>
      <c r="E9" s="5" t="inlineStr">
        <is>
          <t>2019-10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AP 5.6</t>
        </is>
      </c>
      <c r="I9" s="5" t="inlineStr">
        <is>
          <t>N/A</t>
        </is>
      </c>
      <c r="J9" s="5" t="inlineStr">
        <is>
          <t>60M</t>
        </is>
      </c>
      <c r="K9" s="5" t="inlineStr">
        <is>
          <t>Reweighting features</t>
        </is>
      </c>
      <c r="L9" s="8" t="inlineStr">
        <is>
          <t>https://arxiv.org/abs/1812.01866</t>
        </is>
      </c>
      <c r="M9" s="8" t="inlineStr">
        <is>
          <t>https://github.com/bingykang/Fewshot_Detection</t>
        </is>
      </c>
    </row>
    <row r="10" ht="48" customHeight="1">
      <c r="A10" s="5" t="inlineStr">
        <is>
          <t>Few-Shot OD</t>
        </is>
      </c>
      <c r="B10" s="5" t="inlineStr">
        <is>
          <t>FM-FSOD (10-shot)</t>
        </is>
      </c>
      <c r="C10" s="5" t="inlineStr">
        <is>
          <t>Han et al.</t>
        </is>
      </c>
      <c r="D10" s="5" t="inlineStr">
        <is>
          <t>CVPR</t>
        </is>
      </c>
      <c r="E10" s="5" t="inlineStr">
        <is>
          <t>2024-06</t>
        </is>
      </c>
      <c r="F10" s="5" t="inlineStr">
        <is>
          <t>Published</t>
        </is>
      </c>
      <c r="G10" s="5" t="inlineStr">
        <is>
          <t>N/A</t>
        </is>
      </c>
      <c r="H10" s="5" t="inlineStr">
        <is>
          <t>Beats Meta-DETR by 2.6%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Foundation-model FSOD</t>
        </is>
      </c>
      <c r="L10" s="8" t="inlineStr">
        <is>
          <t>https://arxiv.org/abs/2402.10433</t>
        </is>
      </c>
      <c r="M10" s="8" t="inlineStr">
        <is>
          <t>https://github.com/han-tianyu/FM-FSOD</t>
        </is>
      </c>
    </row>
    <row r="11" ht="48" customHeight="1">
      <c r="A11" s="5" t="inlineStr">
        <is>
          <t>Few-Shot OD</t>
        </is>
      </c>
      <c r="B11" s="5" t="inlineStr">
        <is>
          <t>FII-DETR (10-shot)</t>
        </is>
      </c>
      <c r="C11" s="5" t="inlineStr">
        <is>
          <t>Various</t>
        </is>
      </c>
      <c r="D11" s="5" t="inlineStr">
        <is>
          <t>Information Fusion</t>
        </is>
      </c>
      <c r="E11" s="5" t="inlineStr">
        <is>
          <t>2025-01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Beats FM-FSOD by 3%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Fully-information-interaction DETR</t>
        </is>
      </c>
      <c r="L11" s="8" t="inlineStr">
        <is>
          <t>https://www.sciencedirect.com/science/article/abs/pii/S1566253525007900</t>
        </is>
      </c>
      <c r="M11" s="8" t="inlineStr">
        <is>
          <t>https://github.com/</t>
        </is>
      </c>
    </row>
    <row r="12" ht="48" customHeight="1">
      <c r="A12" s="5" t="inlineStr">
        <is>
          <t>Few-Shot OD</t>
        </is>
      </c>
      <c r="B12" s="5" t="inlineStr">
        <is>
          <t>hANMCL (10-shot)</t>
        </is>
      </c>
      <c r="C12" s="5" t="inlineStr">
        <is>
          <t>Various</t>
        </is>
      </c>
      <c r="D12" s="5" t="inlineStr">
        <is>
          <t>arXiv</t>
        </is>
      </c>
      <c r="E12" s="5" t="inlineStr">
        <is>
          <t>2024-04</t>
        </is>
      </c>
      <c r="F12" s="5" t="inlineStr">
        <is>
          <t>Preprint</t>
        </is>
      </c>
      <c r="G12" s="5" t="inlineStr">
        <is>
          <t>N/A</t>
        </is>
      </c>
      <c r="H12" s="5" t="inlineStr">
        <is>
          <t>To verify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Hierarchical attention; To verify</t>
        </is>
      </c>
      <c r="L12" s="8" t="inlineStr">
        <is>
          <t>https://arxiv.org/abs/2404.00700</t>
        </is>
      </c>
      <c r="M12" s="8" t="inlineStr">
        <is>
          <t>https://github.com/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DeFRCN (30-shot)</t>
        </is>
      </c>
      <c r="C2" s="5" t="inlineStr">
        <is>
          <t>Qiao et al.</t>
        </is>
      </c>
      <c r="D2" s="5" t="inlineStr">
        <is>
          <t>ICCV</t>
        </is>
      </c>
      <c r="E2" s="5" t="inlineStr">
        <is>
          <t>2021-10</t>
        </is>
      </c>
      <c r="F2" s="5" t="inlineStr">
        <is>
          <t>Published</t>
        </is>
      </c>
      <c r="G2" s="5" t="inlineStr">
        <is>
          <t>N/A</t>
        </is>
      </c>
      <c r="H2" s="5" t="inlineStr">
        <is>
          <t>AP 22.6</t>
        </is>
      </c>
      <c r="I2" s="5" t="inlineStr">
        <is>
          <t>N/A</t>
        </is>
      </c>
      <c r="J2" s="5" t="inlineStr">
        <is>
          <t>≈45M</t>
        </is>
      </c>
      <c r="K2" s="5" t="inlineStr">
        <is>
          <t>Decoupled FRCN; strong baseline</t>
        </is>
      </c>
      <c r="L2" s="8" t="inlineStr">
        <is>
          <t>https://arxiv.org/abs/2108.09017</t>
        </is>
      </c>
      <c r="M2" s="8" t="inlineStr">
        <is>
          <t>https://github.com/er-muyue/DeFRCN</t>
        </is>
      </c>
    </row>
    <row r="3" ht="48" customHeight="1">
      <c r="A3" s="5" t="inlineStr">
        <is>
          <t>Few-Shot OD</t>
        </is>
      </c>
      <c r="B3" s="5" t="inlineStr">
        <is>
          <t>Meta-DETR (30-shot)</t>
        </is>
      </c>
      <c r="C3" s="5" t="inlineStr">
        <is>
          <t>Zhang et al.</t>
        </is>
      </c>
      <c r="D3" s="5" t="inlineStr">
        <is>
          <t>TPAMI</t>
        </is>
      </c>
      <c r="E3" s="5" t="inlineStr">
        <is>
          <t>2022-08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AP 22.2</t>
        </is>
      </c>
      <c r="I3" s="5" t="inlineStr">
        <is>
          <t>N/A</t>
        </is>
      </c>
      <c r="J3" s="5" t="inlineStr">
        <is>
          <t>41M</t>
        </is>
      </c>
      <c r="K3" s="5" t="inlineStr">
        <is>
          <t>Inter-class meta-learning</t>
        </is>
      </c>
      <c r="L3" s="8" t="inlineStr">
        <is>
          <t>https://arxiv.org/abs/2208.00219</t>
        </is>
      </c>
      <c r="M3" s="8" t="inlineStr">
        <is>
          <t>https://github.com/ZhangGongjie/Meta-DETR</t>
        </is>
      </c>
    </row>
    <row r="4" ht="48" customHeight="1">
      <c r="A4" s="5" t="inlineStr">
        <is>
          <t>Few-Shot OD</t>
        </is>
      </c>
      <c r="B4" s="5" t="inlineStr">
        <is>
          <t>DETReg (30-shot)</t>
        </is>
      </c>
      <c r="C4" s="5" t="inlineStr">
        <is>
          <t>Bar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inlineStr">
        <is>
          <t>N/A</t>
        </is>
      </c>
      <c r="H4" s="5" t="inlineStr">
        <is>
          <t>AP 21.5</t>
        </is>
      </c>
      <c r="I4" s="5" t="inlineStr">
        <is>
          <t>N/A</t>
        </is>
      </c>
      <c r="J4" s="5" t="inlineStr">
        <is>
          <t>40M</t>
        </is>
      </c>
      <c r="K4" s="5" t="inlineStr">
        <is>
          <t>Self-supervised pre-training</t>
        </is>
      </c>
      <c r="L4" s="8" t="inlineStr">
        <is>
          <t>https://arxiv.org/abs/2106.04550</t>
        </is>
      </c>
      <c r="M4" s="8" t="inlineStr">
        <is>
          <t>https://github.com/amirbar/DETReg</t>
        </is>
      </c>
    </row>
    <row r="5" ht="48" customHeight="1">
      <c r="A5" s="5" t="inlineStr">
        <is>
          <t>Few-Shot OD</t>
        </is>
      </c>
      <c r="B5" s="5" t="inlineStr">
        <is>
          <t>FSCE (30-shot)</t>
        </is>
      </c>
      <c r="C5" s="5" t="inlineStr">
        <is>
          <t>Sun et al.</t>
        </is>
      </c>
      <c r="D5" s="5" t="inlineStr">
        <is>
          <t>CVPR</t>
        </is>
      </c>
      <c r="E5" s="5" t="inlineStr">
        <is>
          <t>2021-06</t>
        </is>
      </c>
      <c r="F5" s="5" t="inlineStr">
        <is>
          <t>Published</t>
        </is>
      </c>
      <c r="G5" s="5" t="inlineStr">
        <is>
          <t>N/A</t>
        </is>
      </c>
      <c r="H5" s="5" t="inlineStr">
        <is>
          <t>AP 16.4</t>
        </is>
      </c>
      <c r="I5" s="5" t="inlineStr">
        <is>
          <t>N/A</t>
        </is>
      </c>
      <c r="J5" s="5" t="inlineStr">
        <is>
          <t>≈42M</t>
        </is>
      </c>
      <c r="K5" s="5" t="inlineStr">
        <is>
          <t>Contrastive proposals</t>
        </is>
      </c>
      <c r="L5" s="8" t="inlineStr">
        <is>
          <t>https://arxiv.org/abs/2103.05950</t>
        </is>
      </c>
      <c r="M5" s="8" t="inlineStr">
        <is>
          <t>https://github.com/megvii-research/FSCE</t>
        </is>
      </c>
    </row>
    <row r="6" ht="48" customHeight="1">
      <c r="A6" s="5" t="inlineStr">
        <is>
          <t>Few-Shot OD</t>
        </is>
      </c>
      <c r="B6" s="5" t="inlineStr">
        <is>
          <t>MPSR (30-shot)</t>
        </is>
      </c>
      <c r="C6" s="5" t="inlineStr">
        <is>
          <t>Wu et al.</t>
        </is>
      </c>
      <c r="D6" s="5" t="inlineStr">
        <is>
          <t>ECCV</t>
        </is>
      </c>
      <c r="E6" s="5" t="inlineStr">
        <is>
          <t>2020-08</t>
        </is>
      </c>
      <c r="F6" s="5" t="inlineStr">
        <is>
          <t>Published</t>
        </is>
      </c>
      <c r="G6" s="5" t="inlineStr">
        <is>
          <t>N/A</t>
        </is>
      </c>
      <c r="H6" s="5" t="inlineStr">
        <is>
          <t>AP 14.1</t>
        </is>
      </c>
      <c r="I6" s="5" t="inlineStr">
        <is>
          <t>N/A</t>
        </is>
      </c>
      <c r="J6" s="5" t="inlineStr">
        <is>
          <t>42M</t>
        </is>
      </c>
      <c r="K6" s="5" t="inlineStr">
        <is>
          <t>Multi-scale positive samples</t>
        </is>
      </c>
      <c r="L6" s="8" t="inlineStr">
        <is>
          <t>https://arxiv.org/abs/2007.09384</t>
        </is>
      </c>
      <c r="M6" s="8" t="inlineStr">
        <is>
          <t>https://github.com/jiaxi-wu/MPSR</t>
        </is>
      </c>
    </row>
    <row r="7" ht="48" customHeight="1">
      <c r="A7" s="5" t="inlineStr">
        <is>
          <t>Few-Shot OD</t>
        </is>
      </c>
      <c r="B7" s="5" t="inlineStr">
        <is>
          <t>TFA w/cos (30-shot)</t>
        </is>
      </c>
      <c r="C7" s="5" t="inlineStr">
        <is>
          <t>Wang et al.</t>
        </is>
      </c>
      <c r="D7" s="5" t="inlineStr">
        <is>
          <t>ICML</t>
        </is>
      </c>
      <c r="E7" s="5" t="inlineStr">
        <is>
          <t>2020-07</t>
        </is>
      </c>
      <c r="F7" s="5" t="inlineStr">
        <is>
          <t>Published</t>
        </is>
      </c>
      <c r="G7" s="5" t="inlineStr">
        <is>
          <t>N/A</t>
        </is>
      </c>
      <c r="H7" s="5" t="inlineStr">
        <is>
          <t>AP 13.7</t>
        </is>
      </c>
      <c r="I7" s="5" t="inlineStr">
        <is>
          <t>N/A</t>
        </is>
      </c>
      <c r="J7" s="5" t="inlineStr">
        <is>
          <t>42M</t>
        </is>
      </c>
      <c r="K7" s="5" t="inlineStr">
        <is>
          <t>Two-stage fine-tuning baseline</t>
        </is>
      </c>
      <c r="L7" s="8" t="inlineStr">
        <is>
          <t>https://arxiv.org/abs/2003.06957</t>
        </is>
      </c>
      <c r="M7" s="8" t="inlineStr">
        <is>
          <t>https://github.com/ucbdrive/few-shot-object-detection</t>
        </is>
      </c>
    </row>
    <row r="8" ht="48" customHeight="1">
      <c r="A8" s="5" t="inlineStr">
        <is>
          <t>Few-Shot OD</t>
        </is>
      </c>
      <c r="B8" s="5" t="inlineStr">
        <is>
          <t>Meta R-CNN (30-shot)</t>
        </is>
      </c>
      <c r="C8" s="5" t="inlineStr">
        <is>
          <t>Yan et al.</t>
        </is>
      </c>
      <c r="D8" s="5" t="inlineStr">
        <is>
          <t>ICCV</t>
        </is>
      </c>
      <c r="E8" s="5" t="inlineStr">
        <is>
          <t>2019-10</t>
        </is>
      </c>
      <c r="F8" s="5" t="inlineStr">
        <is>
          <t>Published</t>
        </is>
      </c>
      <c r="G8" s="5" t="inlineStr">
        <is>
          <t>N/A</t>
        </is>
      </c>
      <c r="H8" s="5" t="inlineStr">
        <is>
          <t>AP 12.4</t>
        </is>
      </c>
      <c r="I8" s="5" t="inlineStr">
        <is>
          <t>N/A</t>
        </is>
      </c>
      <c r="J8" s="5" t="inlineStr">
        <is>
          <t>42M</t>
        </is>
      </c>
      <c r="K8" s="5" t="inlineStr">
        <is>
          <t>Class-agnostic meta-learning</t>
        </is>
      </c>
      <c r="L8" s="8" t="inlineStr">
        <is>
          <t>https://arxiv.org/abs/1909.13032</t>
        </is>
      </c>
      <c r="M8" s="8" t="inlineStr">
        <is>
          <t>https://github.com/yanxp/MetaR-CNN</t>
        </is>
      </c>
    </row>
    <row r="9" ht="48" customHeight="1">
      <c r="A9" s="5" t="inlineStr">
        <is>
          <t>Few-Shot OD</t>
        </is>
      </c>
      <c r="B9" s="5" t="inlineStr">
        <is>
          <t>FSRW (30-shot)</t>
        </is>
      </c>
      <c r="C9" s="5" t="inlineStr">
        <is>
          <t>Kang et al.</t>
        </is>
      </c>
      <c r="D9" s="5" t="inlineStr">
        <is>
          <t>ICCV</t>
        </is>
      </c>
      <c r="E9" s="5" t="inlineStr">
        <is>
          <t>2019-10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AP 9.1</t>
        </is>
      </c>
      <c r="I9" s="5" t="inlineStr">
        <is>
          <t>N/A</t>
        </is>
      </c>
      <c r="J9" s="5" t="inlineStr">
        <is>
          <t>60M</t>
        </is>
      </c>
      <c r="K9" s="5" t="inlineStr">
        <is>
          <t>Reweighting features</t>
        </is>
      </c>
      <c r="L9" s="8" t="inlineStr">
        <is>
          <t>https://arxiv.org/abs/1812.01866</t>
        </is>
      </c>
      <c r="M9" s="8" t="inlineStr">
        <is>
          <t>https://github.com/bingykang/Fewshot_Detection</t>
        </is>
      </c>
    </row>
    <row r="10" ht="48" customHeight="1">
      <c r="A10" s="5" t="inlineStr">
        <is>
          <t>Few-Shot OD</t>
        </is>
      </c>
      <c r="B10" s="5" t="inlineStr">
        <is>
          <t>FM-FSOD (30-shot)</t>
        </is>
      </c>
      <c r="C10" s="5" t="inlineStr">
        <is>
          <t>Han et al.</t>
        </is>
      </c>
      <c r="D10" s="5" t="inlineStr">
        <is>
          <t>CVPR</t>
        </is>
      </c>
      <c r="E10" s="5" t="inlineStr">
        <is>
          <t>2024-06</t>
        </is>
      </c>
      <c r="F10" s="5" t="inlineStr">
        <is>
          <t>Published</t>
        </is>
      </c>
      <c r="G10" s="5" t="inlineStr">
        <is>
          <t>N/A</t>
        </is>
      </c>
      <c r="H10" s="5" t="inlineStr">
        <is>
          <t>Beats Meta-DETR by 2.6%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Foundation-model FSOD</t>
        </is>
      </c>
      <c r="L10" s="8" t="inlineStr">
        <is>
          <t>https://arxiv.org/abs/2402.10433</t>
        </is>
      </c>
      <c r="M10" s="8" t="inlineStr">
        <is>
          <t>https://github.com/han-tianyu/FM-FSOD</t>
        </is>
      </c>
    </row>
    <row r="11" ht="48" customHeight="1">
      <c r="A11" s="5" t="inlineStr">
        <is>
          <t>Few-Shot OD</t>
        </is>
      </c>
      <c r="B11" s="5" t="inlineStr">
        <is>
          <t>FII-DETR (30-shot)</t>
        </is>
      </c>
      <c r="C11" s="5" t="inlineStr">
        <is>
          <t>Various</t>
        </is>
      </c>
      <c r="D11" s="5" t="inlineStr">
        <is>
          <t>Information Fusion</t>
        </is>
      </c>
      <c r="E11" s="5" t="inlineStr">
        <is>
          <t>2025-01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Beats FM-FSOD by 3%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Fully-information-interaction DETR</t>
        </is>
      </c>
      <c r="L11" s="8" t="inlineStr">
        <is>
          <t>https://www.sciencedirect.com/science/article/abs/pii/S1566253525007900</t>
        </is>
      </c>
      <c r="M11" s="8" t="inlineStr">
        <is>
          <t>https://github.com/</t>
        </is>
      </c>
    </row>
    <row r="12" ht="48" customHeight="1">
      <c r="A12" s="5" t="inlineStr">
        <is>
          <t>Few-Shot OD</t>
        </is>
      </c>
      <c r="B12" s="5" t="inlineStr">
        <is>
          <t>hANMCL (30-shot)</t>
        </is>
      </c>
      <c r="C12" s="5" t="inlineStr">
        <is>
          <t>Various</t>
        </is>
      </c>
      <c r="D12" s="5" t="inlineStr">
        <is>
          <t>arXiv</t>
        </is>
      </c>
      <c r="E12" s="5" t="inlineStr">
        <is>
          <t>2024-04</t>
        </is>
      </c>
      <c r="F12" s="5" t="inlineStr">
        <is>
          <t>Preprint</t>
        </is>
      </c>
      <c r="G12" s="5" t="inlineStr">
        <is>
          <t>N/A</t>
        </is>
      </c>
      <c r="H12" s="5" t="inlineStr">
        <is>
          <t>To verify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Hierarchical attention; To verify</t>
        </is>
      </c>
      <c r="L12" s="8" t="inlineStr">
        <is>
          <t>https://arxiv.org/abs/2404.00700</t>
        </is>
      </c>
      <c r="M12" s="8" t="inlineStr">
        <is>
          <t>https://github.com/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Meta-DETR (10-shot)</t>
        </is>
      </c>
      <c r="C2" s="5" t="inlineStr">
        <is>
          <t>Zhang et al.</t>
        </is>
      </c>
      <c r="D2" s="5" t="inlineStr">
        <is>
          <t>TPAMI</t>
        </is>
      </c>
      <c r="E2" s="5" t="inlineStr">
        <is>
          <t>2022-08</t>
        </is>
      </c>
      <c r="F2" s="5" t="inlineStr">
        <is>
          <t>Published</t>
        </is>
      </c>
      <c r="G2" s="5" t="inlineStr">
        <is>
          <t>N/A</t>
        </is>
      </c>
      <c r="H2" s="5" t="inlineStr">
        <is>
          <t>AP 19.0</t>
        </is>
      </c>
      <c r="I2" s="5" t="inlineStr">
        <is>
          <t>N/A</t>
        </is>
      </c>
      <c r="J2" s="5" t="inlineStr">
        <is>
          <t>41M</t>
        </is>
      </c>
      <c r="K2" s="5" t="inlineStr">
        <is>
          <t>Inter-class meta-learning</t>
        </is>
      </c>
      <c r="L2" s="8" t="inlineStr">
        <is>
          <t>https://arxiv.org/abs/2208.00219</t>
        </is>
      </c>
      <c r="M2" s="8" t="inlineStr">
        <is>
          <t>https://github.com/ZhangGongjie/Meta-DETR</t>
        </is>
      </c>
    </row>
    <row r="3" ht="48" customHeight="1">
      <c r="A3" s="5" t="inlineStr">
        <is>
          <t>Few-Shot OD</t>
        </is>
      </c>
      <c r="B3" s="5" t="inlineStr">
        <is>
          <t>DeFRCN (10-shot)</t>
        </is>
      </c>
      <c r="C3" s="5" t="inlineStr">
        <is>
          <t>Qiao et al.</t>
        </is>
      </c>
      <c r="D3" s="5" t="inlineStr">
        <is>
          <t>ICCV</t>
        </is>
      </c>
      <c r="E3" s="5" t="inlineStr">
        <is>
          <t>2021-10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AP 18.5</t>
        </is>
      </c>
      <c r="I3" s="5" t="inlineStr">
        <is>
          <t>N/A</t>
        </is>
      </c>
      <c r="J3" s="5" t="inlineStr">
        <is>
          <t>≈45M</t>
        </is>
      </c>
      <c r="K3" s="5" t="inlineStr">
        <is>
          <t>Decoupled FRCN; strong baseline</t>
        </is>
      </c>
      <c r="L3" s="8" t="inlineStr">
        <is>
          <t>https://arxiv.org/abs/2108.09017</t>
        </is>
      </c>
      <c r="M3" s="8" t="inlineStr">
        <is>
          <t>https://github.com/er-muyue/DeFRCN</t>
        </is>
      </c>
    </row>
    <row r="4" ht="48" customHeight="1">
      <c r="A4" s="5" t="inlineStr">
        <is>
          <t>Few-Shot OD</t>
        </is>
      </c>
      <c r="B4" s="5" t="inlineStr">
        <is>
          <t>DETReg (10-shot)</t>
        </is>
      </c>
      <c r="C4" s="5" t="inlineStr">
        <is>
          <t>Bar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inlineStr">
        <is>
          <t>N/A</t>
        </is>
      </c>
      <c r="H4" s="5" t="inlineStr">
        <is>
          <t>AP 18.0</t>
        </is>
      </c>
      <c r="I4" s="5" t="inlineStr">
        <is>
          <t>N/A</t>
        </is>
      </c>
      <c r="J4" s="5" t="inlineStr">
        <is>
          <t>40M</t>
        </is>
      </c>
      <c r="K4" s="5" t="inlineStr">
        <is>
          <t>Self-supervised pre-training</t>
        </is>
      </c>
      <c r="L4" s="8" t="inlineStr">
        <is>
          <t>https://arxiv.org/abs/2106.04550</t>
        </is>
      </c>
      <c r="M4" s="8" t="inlineStr">
        <is>
          <t>https://github.com/amirbar/DETReg</t>
        </is>
      </c>
    </row>
    <row r="5" ht="48" customHeight="1">
      <c r="A5" s="5" t="inlineStr">
        <is>
          <t>Few-Shot OD</t>
        </is>
      </c>
      <c r="B5" s="5" t="inlineStr">
        <is>
          <t>FSCE (10-shot)</t>
        </is>
      </c>
      <c r="C5" s="5" t="inlineStr">
        <is>
          <t>Sun et al.</t>
        </is>
      </c>
      <c r="D5" s="5" t="inlineStr">
        <is>
          <t>CVPR</t>
        </is>
      </c>
      <c r="E5" s="5" t="inlineStr">
        <is>
          <t>2021-06</t>
        </is>
      </c>
      <c r="F5" s="5" t="inlineStr">
        <is>
          <t>Published</t>
        </is>
      </c>
      <c r="G5" s="5" t="inlineStr">
        <is>
          <t>N/A</t>
        </is>
      </c>
      <c r="H5" s="5" t="inlineStr">
        <is>
          <t>AP 11.9</t>
        </is>
      </c>
      <c r="I5" s="5" t="inlineStr">
        <is>
          <t>N/A</t>
        </is>
      </c>
      <c r="J5" s="5" t="inlineStr">
        <is>
          <t>≈42M</t>
        </is>
      </c>
      <c r="K5" s="5" t="inlineStr">
        <is>
          <t>Contrastive proposals</t>
        </is>
      </c>
      <c r="L5" s="8" t="inlineStr">
        <is>
          <t>https://arxiv.org/abs/2103.05950</t>
        </is>
      </c>
      <c r="M5" s="8" t="inlineStr">
        <is>
          <t>https://github.com/megvii-research/FSCE</t>
        </is>
      </c>
    </row>
    <row r="6" ht="48" customHeight="1">
      <c r="A6" s="5" t="inlineStr">
        <is>
          <t>Few-Shot OD</t>
        </is>
      </c>
      <c r="B6" s="5" t="inlineStr">
        <is>
          <t>TFA w/cos (10-shot)</t>
        </is>
      </c>
      <c r="C6" s="5" t="inlineStr">
        <is>
          <t>Wang et al.</t>
        </is>
      </c>
      <c r="D6" s="5" t="inlineStr">
        <is>
          <t>ICML</t>
        </is>
      </c>
      <c r="E6" s="5" t="inlineStr">
        <is>
          <t>2020-07</t>
        </is>
      </c>
      <c r="F6" s="5" t="inlineStr">
        <is>
          <t>Published</t>
        </is>
      </c>
      <c r="G6" s="5" t="inlineStr">
        <is>
          <t>N/A</t>
        </is>
      </c>
      <c r="H6" s="5" t="inlineStr">
        <is>
          <t>AP 10.0</t>
        </is>
      </c>
      <c r="I6" s="5" t="inlineStr">
        <is>
          <t>N/A</t>
        </is>
      </c>
      <c r="J6" s="5" t="inlineStr">
        <is>
          <t>42M</t>
        </is>
      </c>
      <c r="K6" s="5" t="inlineStr">
        <is>
          <t>Two-stage fine-tuning baseline</t>
        </is>
      </c>
      <c r="L6" s="8" t="inlineStr">
        <is>
          <t>https://arxiv.org/abs/2003.06957</t>
        </is>
      </c>
      <c r="M6" s="8" t="inlineStr">
        <is>
          <t>https://github.com/ucbdrive/few-shot-object-detection</t>
        </is>
      </c>
    </row>
    <row r="7" ht="48" customHeight="1">
      <c r="A7" s="5" t="inlineStr">
        <is>
          <t>Few-Shot OD</t>
        </is>
      </c>
      <c r="B7" s="5" t="inlineStr">
        <is>
          <t>MPSR (10-shot)</t>
        </is>
      </c>
      <c r="C7" s="5" t="inlineStr">
        <is>
          <t>Wu et al.</t>
        </is>
      </c>
      <c r="D7" s="5" t="inlineStr">
        <is>
          <t>ECCV</t>
        </is>
      </c>
      <c r="E7" s="5" t="inlineStr">
        <is>
          <t>2020-08</t>
        </is>
      </c>
      <c r="F7" s="5" t="inlineStr">
        <is>
          <t>Published</t>
        </is>
      </c>
      <c r="G7" s="5" t="inlineStr">
        <is>
          <t>N/A</t>
        </is>
      </c>
      <c r="H7" s="5" t="inlineStr">
        <is>
          <t>AP 9.8</t>
        </is>
      </c>
      <c r="I7" s="5" t="inlineStr">
        <is>
          <t>N/A</t>
        </is>
      </c>
      <c r="J7" s="5" t="inlineStr">
        <is>
          <t>42M</t>
        </is>
      </c>
      <c r="K7" s="5" t="inlineStr">
        <is>
          <t>Multi-scale positive samples</t>
        </is>
      </c>
      <c r="L7" s="8" t="inlineStr">
        <is>
          <t>https://arxiv.org/abs/2007.09384</t>
        </is>
      </c>
      <c r="M7" s="8" t="inlineStr">
        <is>
          <t>https://github.com/jiaxi-wu/MPSR</t>
        </is>
      </c>
    </row>
    <row r="8" ht="48" customHeight="1">
      <c r="A8" s="5" t="inlineStr">
        <is>
          <t>Few-Shot OD</t>
        </is>
      </c>
      <c r="B8" s="5" t="inlineStr">
        <is>
          <t>Meta R-CNN (10-shot)</t>
        </is>
      </c>
      <c r="C8" s="5" t="inlineStr">
        <is>
          <t>Yan et al.</t>
        </is>
      </c>
      <c r="D8" s="5" t="inlineStr">
        <is>
          <t>ICCV</t>
        </is>
      </c>
      <c r="E8" s="5" t="inlineStr">
        <is>
          <t>2019-10</t>
        </is>
      </c>
      <c r="F8" s="5" t="inlineStr">
        <is>
          <t>Published</t>
        </is>
      </c>
      <c r="G8" s="5" t="inlineStr">
        <is>
          <t>N/A</t>
        </is>
      </c>
      <c r="H8" s="5" t="inlineStr">
        <is>
          <t>AP 8.7</t>
        </is>
      </c>
      <c r="I8" s="5" t="inlineStr">
        <is>
          <t>N/A</t>
        </is>
      </c>
      <c r="J8" s="5" t="inlineStr">
        <is>
          <t>42M</t>
        </is>
      </c>
      <c r="K8" s="5" t="inlineStr">
        <is>
          <t>Class-agnostic meta-learning</t>
        </is>
      </c>
      <c r="L8" s="8" t="inlineStr">
        <is>
          <t>https://arxiv.org/abs/1909.13032</t>
        </is>
      </c>
      <c r="M8" s="8" t="inlineStr">
        <is>
          <t>https://github.com/yanxp/MetaR-CNN</t>
        </is>
      </c>
    </row>
    <row r="9" ht="48" customHeight="1">
      <c r="A9" s="5" t="inlineStr">
        <is>
          <t>Few-Shot OD</t>
        </is>
      </c>
      <c r="B9" s="5" t="inlineStr">
        <is>
          <t>FSRW (10-shot)</t>
        </is>
      </c>
      <c r="C9" s="5" t="inlineStr">
        <is>
          <t>Kang et al.</t>
        </is>
      </c>
      <c r="D9" s="5" t="inlineStr">
        <is>
          <t>ICCV</t>
        </is>
      </c>
      <c r="E9" s="5" t="inlineStr">
        <is>
          <t>2019-10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AP 5.6</t>
        </is>
      </c>
      <c r="I9" s="5" t="inlineStr">
        <is>
          <t>N/A</t>
        </is>
      </c>
      <c r="J9" s="5" t="inlineStr">
        <is>
          <t>60M</t>
        </is>
      </c>
      <c r="K9" s="5" t="inlineStr">
        <is>
          <t>Reweighting features</t>
        </is>
      </c>
      <c r="L9" s="8" t="inlineStr">
        <is>
          <t>https://arxiv.org/abs/1812.01866</t>
        </is>
      </c>
      <c r="M9" s="8" t="inlineStr">
        <is>
          <t>https://github.com/bingykang/Fewshot_Detection</t>
        </is>
      </c>
    </row>
    <row r="10" ht="48" customHeight="1">
      <c r="A10" s="5" t="inlineStr">
        <is>
          <t>Few-Shot OD</t>
        </is>
      </c>
      <c r="B10" s="5" t="inlineStr">
        <is>
          <t>FM-FSOD (10-shot)</t>
        </is>
      </c>
      <c r="C10" s="5" t="inlineStr">
        <is>
          <t>Han et al.</t>
        </is>
      </c>
      <c r="D10" s="5" t="inlineStr">
        <is>
          <t>CVPR</t>
        </is>
      </c>
      <c r="E10" s="5" t="inlineStr">
        <is>
          <t>2024-06</t>
        </is>
      </c>
      <c r="F10" s="5" t="inlineStr">
        <is>
          <t>Published</t>
        </is>
      </c>
      <c r="G10" s="5" t="inlineStr">
        <is>
          <t>N/A</t>
        </is>
      </c>
      <c r="H10" s="5" t="inlineStr">
        <is>
          <t>Beats Meta-DETR by 2.6%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Foundation-model FSOD</t>
        </is>
      </c>
      <c r="L10" s="8" t="inlineStr">
        <is>
          <t>https://arxiv.org/abs/2402.10433</t>
        </is>
      </c>
      <c r="M10" s="8" t="inlineStr">
        <is>
          <t>https://github.com/han-tianyu/FM-FSOD</t>
        </is>
      </c>
    </row>
    <row r="11" ht="48" customHeight="1">
      <c r="A11" s="5" t="inlineStr">
        <is>
          <t>Few-Shot OD</t>
        </is>
      </c>
      <c r="B11" s="5" t="inlineStr">
        <is>
          <t>FII-DETR (10-shot)</t>
        </is>
      </c>
      <c r="C11" s="5" t="inlineStr">
        <is>
          <t>Various</t>
        </is>
      </c>
      <c r="D11" s="5" t="inlineStr">
        <is>
          <t>Information Fusion</t>
        </is>
      </c>
      <c r="E11" s="5" t="inlineStr">
        <is>
          <t>2025-01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Beats FM-FSOD by 3%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Fully-information-interaction DETR</t>
        </is>
      </c>
      <c r="L11" s="8" t="inlineStr">
        <is>
          <t>https://www.sciencedirect.com/science/article/abs/pii/S1566253525007900</t>
        </is>
      </c>
      <c r="M11" s="8" t="inlineStr">
        <is>
          <t>https://github.com/</t>
        </is>
      </c>
    </row>
    <row r="12" ht="48" customHeight="1">
      <c r="A12" s="5" t="inlineStr">
        <is>
          <t>Few-Shot OD</t>
        </is>
      </c>
      <c r="B12" s="5" t="inlineStr">
        <is>
          <t>hANMCL (10-shot)</t>
        </is>
      </c>
      <c r="C12" s="5" t="inlineStr">
        <is>
          <t>Various</t>
        </is>
      </c>
      <c r="D12" s="5" t="inlineStr">
        <is>
          <t>arXiv</t>
        </is>
      </c>
      <c r="E12" s="5" t="inlineStr">
        <is>
          <t>2024-04</t>
        </is>
      </c>
      <c r="F12" s="5" t="inlineStr">
        <is>
          <t>Preprint</t>
        </is>
      </c>
      <c r="G12" s="5" t="inlineStr">
        <is>
          <t>N/A</t>
        </is>
      </c>
      <c r="H12" s="5" t="inlineStr">
        <is>
          <t>To verify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Hierarchical attention; To verify</t>
        </is>
      </c>
      <c r="L12" s="8" t="inlineStr">
        <is>
          <t>https://arxiv.org/abs/2404.00700</t>
        </is>
      </c>
      <c r="M12" s="8" t="inlineStr">
        <is>
          <t>https://github.com/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Detic</t>
        </is>
      </c>
      <c r="C2" s="2" t="inlineStr">
        <is>
          <t>Zhou et al.</t>
        </is>
      </c>
      <c r="D2" s="2" t="inlineStr">
        <is>
          <t>ECCV</t>
        </is>
      </c>
      <c r="E2" s="2" t="inlineStr">
        <is>
          <t>2022-10</t>
        </is>
      </c>
      <c r="F2" s="2" t="inlineStr">
        <is>
          <t>Published</t>
        </is>
      </c>
      <c r="G2" s="2" t="n">
        <v>41.7</v>
      </c>
      <c r="H2" s="2" t="inlineStr">
        <is>
          <t>AP 41.7 LVIS</t>
        </is>
      </c>
      <c r="I2" s="2" t="inlineStr">
        <is>
          <t>N/A</t>
        </is>
      </c>
      <c r="J2" s="2" t="inlineStr">
        <is>
          <t>≈100M</t>
        </is>
      </c>
      <c r="K2" s="2" t="inlineStr">
        <is>
          <t>✅ 已驗證 (Detic CVPR22 abstract)：41.7 mAP on standard LVIS benchmark [Open-vocab OD via ImageNet-21K]</t>
        </is>
      </c>
      <c r="L2" s="9" t="inlineStr">
        <is>
          <t>https://arxiv.org/abs/2201.02605</t>
        </is>
      </c>
      <c r="M2" s="9" t="inlineStr">
        <is>
          <t>https://github.com/facebookresearch/Detic</t>
        </is>
      </c>
    </row>
    <row r="3" ht="48" customHeight="1">
      <c r="A3" s="5" t="inlineStr">
        <is>
          <t>Few-Shot OD</t>
        </is>
      </c>
      <c r="B3" s="5" t="inlineStr">
        <is>
          <t>Grounding DINO 1.5 Pro</t>
        </is>
      </c>
      <c r="C3" s="5" t="inlineStr">
        <is>
          <t>Ren et al.</t>
        </is>
      </c>
      <c r="D3" s="5" t="inlineStr">
        <is>
          <t>arXiv</t>
        </is>
      </c>
      <c r="E3" s="5" t="inlineStr">
        <is>
          <t>2024-05</t>
        </is>
      </c>
      <c r="F3" s="5" t="inlineStr">
        <is>
          <t>Preprint</t>
        </is>
      </c>
      <c r="G3" s="5" t="n">
        <v>55.7</v>
      </c>
      <c r="H3" s="5" t="inlineStr">
        <is>
          <t>AP 55.7 LVIS-minival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✅ 已驗證 (Grounding DINO 1.5 Pro paper)：55.7 AP on LVIS-minival zero-shot [Open-set OD]</t>
        </is>
      </c>
      <c r="L3" s="8" t="inlineStr">
        <is>
          <t>https://arxiv.org/abs/2405.10300</t>
        </is>
      </c>
      <c r="M3" s="8" t="inlineStr">
        <is>
          <t>https://github.com/IDEA-Research/Grounding-DINO-1.5-API</t>
        </is>
      </c>
    </row>
    <row r="4" ht="48" customHeight="1">
      <c r="A4" s="2" t="inlineStr">
        <is>
          <t>General OD</t>
        </is>
      </c>
      <c r="B4" s="2" t="inlineStr">
        <is>
          <t>Grounding DINO</t>
        </is>
      </c>
      <c r="C4" s="2" t="inlineStr">
        <is>
          <t>Liu et al.</t>
        </is>
      </c>
      <c r="D4" s="2" t="inlineStr">
        <is>
          <t>ECCV</t>
        </is>
      </c>
      <c r="E4" s="2" t="inlineStr">
        <is>
          <t>2024-10</t>
        </is>
      </c>
      <c r="F4" s="2" t="inlineStr">
        <is>
          <t>Published</t>
        </is>
      </c>
      <c r="G4" s="2" t="n">
        <v>33.9</v>
      </c>
      <c r="H4" s="2" t="inlineStr">
        <is>
          <t>AP 33.9 LVIS-mini</t>
        </is>
      </c>
      <c r="I4" s="2" t="inlineStr">
        <is>
          <t>N/A</t>
        </is>
      </c>
      <c r="J4" s="2" t="inlineStr">
        <is>
          <t>≈173M</t>
        </is>
      </c>
      <c r="K4" s="2" t="inlineStr">
        <is>
          <t>✅ 已驗證 (Grounding DINO 1.5 Pro Table 1 cite)：Grounding DINO (Swin-L) achieves 33.9 AP on LVIS-mini zero-shot [Open-set OD]</t>
        </is>
      </c>
      <c r="L4" s="9" t="inlineStr">
        <is>
          <t>https://arxiv.org/abs/2303.05499</t>
        </is>
      </c>
      <c r="M4" s="9" t="inlineStr">
        <is>
          <t>https://github.com/IDEA-Research/GroundingDINO</t>
        </is>
      </c>
    </row>
    <row r="5" ht="48" customHeight="1">
      <c r="A5" s="2" t="inlineStr">
        <is>
          <t>General OD</t>
        </is>
      </c>
      <c r="B5" s="2" t="inlineStr">
        <is>
          <t>GLIP-L</t>
        </is>
      </c>
      <c r="C5" s="2" t="inlineStr">
        <is>
          <t>Li et al.</t>
        </is>
      </c>
      <c r="D5" s="2" t="inlineStr">
        <is>
          <t>CVPR</t>
        </is>
      </c>
      <c r="E5" s="2" t="inlineStr">
        <is>
          <t>2022-06</t>
        </is>
      </c>
      <c r="F5" s="2" t="inlineStr">
        <is>
          <t>Published</t>
        </is>
      </c>
      <c r="G5" s="2" t="n">
        <v>26.9</v>
      </c>
      <c r="H5" s="2" t="inlineStr">
        <is>
          <t>AP 26.9 LVIS-val zero-shot</t>
        </is>
      </c>
      <c r="I5" s="2" t="inlineStr">
        <is>
          <t>N/A</t>
        </is>
      </c>
      <c r="J5" s="2" t="inlineStr">
        <is>
          <t>430M</t>
        </is>
      </c>
      <c r="K5" s="2" t="inlineStr">
        <is>
          <t>✅ 已驗證 (GLIP-L CVPR22 paper text)：26.9 AP on LVIS val (zero-shot, all categories) — paper "directly evaluated... 26.9 AP on LVIS val" [Grounded VLM]</t>
        </is>
      </c>
      <c r="L5" s="9" t="inlineStr">
        <is>
          <t>https://arxiv.org/abs/2112.03857</t>
        </is>
      </c>
      <c r="M5" s="9" t="inlineStr">
        <is>
          <t>https://github.com/microsoft/GLIP</t>
        </is>
      </c>
    </row>
    <row r="6" ht="48" customHeight="1">
      <c r="A6" s="2" t="inlineStr">
        <is>
          <t>General OD</t>
        </is>
      </c>
      <c r="B6" s="2" t="inlineStr">
        <is>
          <t>OWLv2</t>
        </is>
      </c>
      <c r="C6" s="2" t="inlineStr">
        <is>
          <t>Minderer et al.</t>
        </is>
      </c>
      <c r="D6" s="2" t="inlineStr">
        <is>
          <t>NeurIPS</t>
        </is>
      </c>
      <c r="E6" s="2" t="inlineStr">
        <is>
          <t>2023-12</t>
        </is>
      </c>
      <c r="F6" s="2" t="inlineStr">
        <is>
          <t>Published</t>
        </is>
      </c>
      <c r="G6" s="2" t="n">
        <v>47</v>
      </c>
      <c r="H6" s="2" t="inlineStr">
        <is>
          <t>AP 47.0 LVIS-val (OWL-ST+FT SigLIP G/14)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✅ 已驗證 (OWLv2 paper Table 1)：OWL-ST+FT SigLIP G/14 → LVIS APval all=47.0, APrare=47.2; 大幅優於 OWL-ViT (34.6) [Open-vocab Foundation Model]</t>
        </is>
      </c>
      <c r="L6" s="9" t="inlineStr">
        <is>
          <t>https://arxiv.org/abs/2306.09683</t>
        </is>
      </c>
      <c r="M6" s="9" t="inlineStr">
        <is>
          <t>https://github.com/google-research/scenic/tree/main/scenic/projects/owl_vit</t>
        </is>
      </c>
    </row>
    <row r="7" ht="48" customHeight="1">
      <c r="A7" s="2" t="inlineStr">
        <is>
          <t>General OD</t>
        </is>
      </c>
      <c r="B7" s="2" t="inlineStr">
        <is>
          <t>DINO-X</t>
        </is>
      </c>
      <c r="C7" s="2" t="inlineStr">
        <is>
          <t>IDEA</t>
        </is>
      </c>
      <c r="D7" s="2" t="inlineStr">
        <is>
          <t>arXiv</t>
        </is>
      </c>
      <c r="E7" s="2" t="inlineStr">
        <is>
          <t>2024-11</t>
        </is>
      </c>
      <c r="F7" s="2" t="inlineStr">
        <is>
          <t>Preprint</t>
        </is>
      </c>
      <c r="G7" s="2" t="n">
        <v>59.8</v>
      </c>
      <c r="H7" s="2" t="inlineStr">
        <is>
          <t>AP 59.8 LVIS-minival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✅ 已驗證 (DINO-X arXiv24 abstract)：DINO-X Pro 59.8 AP on LVIS-minival, 52.4 AP on LVIS-val [Open-vocab OD]</t>
        </is>
      </c>
      <c r="L7" s="9" t="inlineStr">
        <is>
          <t>https://arxiv.org/abs/2411.14347</t>
        </is>
      </c>
      <c r="M7" s="9" t="inlineStr">
        <is>
          <t>https://github.com/IDEA-Research/DINO-X-API</t>
        </is>
      </c>
    </row>
    <row r="8" ht="48" customHeight="1">
      <c r="A8" s="2" t="inlineStr">
        <is>
          <t>General OD</t>
        </is>
      </c>
      <c r="B8" s="2" t="inlineStr">
        <is>
          <t>YOLO-World</t>
        </is>
      </c>
      <c r="C8" s="2" t="inlineStr">
        <is>
          <t>Cheng et al.</t>
        </is>
      </c>
      <c r="D8" s="2" t="inlineStr">
        <is>
          <t>CVPR</t>
        </is>
      </c>
      <c r="E8" s="2" t="inlineStr">
        <is>
          <t>2024-06</t>
        </is>
      </c>
      <c r="F8" s="2" t="inlineStr">
        <is>
          <t>Published</t>
        </is>
      </c>
      <c r="G8" s="2" t="n">
        <v>35.4</v>
      </c>
      <c r="H8" s="2" t="inlineStr">
        <is>
          <t>AP 35.4 LVIS</t>
        </is>
      </c>
      <c r="I8" s="2" t="inlineStr">
        <is>
          <t>T4 fast</t>
        </is>
      </c>
      <c r="J8" s="2" t="inlineStr">
        <is>
          <t>N/A</t>
        </is>
      </c>
      <c r="K8" s="2" t="inlineStr">
        <is>
          <t>✅ 已驗證 (YOLO-World CVPR24 abstract)：35.4 AP on LVIS with 52 FPS on V100 [Open-vocab Real-Time OD]</t>
        </is>
      </c>
      <c r="L8" s="9" t="inlineStr">
        <is>
          <t>https://arxiv.org/abs/2401.17270</t>
        </is>
      </c>
      <c r="M8" s="9" t="inlineStr">
        <is>
          <t>https://github.com/AILab-CVC/YOLO-World</t>
        </is>
      </c>
    </row>
    <row r="9" ht="48" customHeight="1">
      <c r="A9" s="2" t="inlineStr">
        <is>
          <t>General OD</t>
        </is>
      </c>
      <c r="B9" s="2" t="inlineStr">
        <is>
          <t>RegionCLIP</t>
        </is>
      </c>
      <c r="C9" s="2" t="inlineStr">
        <is>
          <t>Zhong et al.</t>
        </is>
      </c>
      <c r="D9" s="2" t="inlineStr">
        <is>
          <t>CVPR</t>
        </is>
      </c>
      <c r="E9" s="2" t="inlineStr">
        <is>
          <t>2022-06</t>
        </is>
      </c>
      <c r="F9" s="2" t="inlineStr">
        <is>
          <t>Published</t>
        </is>
      </c>
      <c r="G9" s="2" t="n">
        <v>32.3</v>
      </c>
      <c r="H9" s="2" t="inlineStr">
        <is>
          <t>AP 32.3 LVIS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✅ 已驗證 (RegionCLIP CVPR22 Table)：RegionCLIP 32.3 LVIS AP (open-vocab) [Region-aware CLIP for OD]</t>
        </is>
      </c>
      <c r="L9" s="9" t="inlineStr">
        <is>
          <t>https://arxiv.org/abs/2112.09106</t>
        </is>
      </c>
      <c r="M9" s="9" t="inlineStr">
        <is>
          <t>https://github.com/microsoft/RegionCLIP</t>
        </is>
      </c>
    </row>
    <row r="10" ht="48" customHeight="1">
      <c r="A10" s="2" t="inlineStr">
        <is>
          <t>General OD</t>
        </is>
      </c>
      <c r="B10" s="2" t="inlineStr">
        <is>
          <t>UniDetector</t>
        </is>
      </c>
      <c r="C10" s="2" t="inlineStr">
        <is>
          <t>Wang et al.</t>
        </is>
      </c>
      <c r="D10" s="2" t="inlineStr">
        <is>
          <t>CVPR</t>
        </is>
      </c>
      <c r="E10" s="2" t="inlineStr">
        <is>
          <t>2023-06</t>
        </is>
      </c>
      <c r="F10" s="2" t="inlineStr">
        <is>
          <t>Published</t>
        </is>
      </c>
      <c r="G10" s="2" t="inlineStr">
        <is>
          <t>N/A</t>
        </is>
      </c>
      <c r="H10" s="2" t="inlineStr">
        <is>
          <t>LVIS rare AP ≈24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Universal OD</t>
        </is>
      </c>
      <c r="L10" s="9" t="inlineStr">
        <is>
          <t>https://arxiv.org/abs/2303.11749</t>
        </is>
      </c>
      <c r="M10" s="9" t="inlineStr">
        <is>
          <t>https://github.com/zhenyuw16/UniDetector</t>
        </is>
      </c>
    </row>
    <row r="11" ht="48" customHeight="1">
      <c r="A11" s="2" t="inlineStr">
        <is>
          <t>General OD</t>
        </is>
      </c>
      <c r="B11" s="2" t="inlineStr">
        <is>
          <t>CenterNet2 + Detic</t>
        </is>
      </c>
      <c r="C11" s="2" t="inlineStr">
        <is>
          <t>Zhou et al.</t>
        </is>
      </c>
      <c r="D11" s="2" t="inlineStr">
        <is>
          <t>ECCV</t>
        </is>
      </c>
      <c r="E11" s="2" t="inlineStr">
        <is>
          <t>2022-10</t>
        </is>
      </c>
      <c r="F11" s="2" t="inlineStr">
        <is>
          <t>Published</t>
        </is>
      </c>
      <c r="G11" s="2" t="inlineStr">
        <is>
          <t>N/A</t>
        </is>
      </c>
      <c r="H11" s="2" t="inlineStr">
        <is>
          <t>LVIS-val 41.7 (open-vocab)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Paper-reported result</t>
        </is>
      </c>
      <c r="L11" s="9" t="inlineStr">
        <is>
          <t>https://arxiv.org/abs/2201.02605</t>
        </is>
      </c>
      <c r="M11" s="9" t="inlineStr">
        <is>
          <t>https://github.com/facebookresearch/Detic</t>
        </is>
      </c>
    </row>
    <row r="12" ht="48" customHeight="1">
      <c r="A12" s="2" t="inlineStr">
        <is>
          <t>General OD</t>
        </is>
      </c>
      <c r="B12" s="2" t="inlineStr">
        <is>
          <t>EVA-02-L (LVIS ft)</t>
        </is>
      </c>
      <c r="C12" s="2" t="inlineStr">
        <is>
          <t>Fang et al.</t>
        </is>
      </c>
      <c r="D12" s="2" t="inlineStr">
        <is>
          <t>arXiv</t>
        </is>
      </c>
      <c r="E12" s="2" t="inlineStr">
        <is>
          <t>2023-10</t>
        </is>
      </c>
      <c r="F12" s="2" t="inlineStr">
        <is>
          <t>Published</t>
        </is>
      </c>
      <c r="G12" s="2" t="inlineStr">
        <is>
          <t>N/A</t>
        </is>
      </c>
      <c r="H12" s="2" t="inlineStr">
        <is>
          <t>LVIS-val ≈55</t>
        </is>
      </c>
      <c r="I12" s="2" t="inlineStr">
        <is>
          <t>N/A</t>
        </is>
      </c>
      <c r="J12" s="2" t="inlineStr">
        <is>
          <t>≈600M</t>
        </is>
      </c>
      <c r="K12" s="2" t="inlineStr">
        <is>
          <t>Strong supervised SOTA on LVIS</t>
        </is>
      </c>
      <c r="L12" s="9" t="inlineStr">
        <is>
          <t>https://arxiv.org/abs/2303.11331</t>
        </is>
      </c>
      <c r="M12" s="9" t="inlineStr">
        <is>
          <t>https://github.com/baaivision/EVA</t>
        </is>
      </c>
    </row>
    <row r="13">
      <c r="A13" s="2" t="inlineStr">
        <is>
          <t>Few-Shot OD</t>
        </is>
      </c>
      <c r="B13" s="2" t="inlineStr">
        <is>
          <t>Exploring Hierarchical Consistency and Unbiased Objectness for Open-Vocabulary Object Dete</t>
        </is>
      </c>
      <c r="C13" s="2" t="inlineStr">
        <is>
          <t>Sanghoon Lee, Geon Lee, Hyekang Park, Bumsub Ham</t>
        </is>
      </c>
      <c r="D13" s="2" t="inlineStr">
        <is>
          <t>arXiv</t>
        </is>
      </c>
      <c r="E13" s="2" t="inlineStr">
        <is>
          <t>2026-04</t>
        </is>
      </c>
      <c r="F13" s="2" t="inlineStr">
        <is>
          <t>Preprint</t>
        </is>
      </c>
      <c r="G13" s="2" t="n"/>
      <c r="H13" s="2" t="n"/>
      <c r="I13" s="2" t="n"/>
      <c r="J13" s="2" t="n"/>
      <c r="K13" s="2" t="inlineStr">
        <is>
          <t>Auto-fetched from arXiv; metrics To verify</t>
        </is>
      </c>
      <c r="L13" s="9" t="inlineStr">
        <is>
          <t>https://arxiv.org/abs/2604.23344</t>
        </is>
      </c>
      <c r="M13" s="9" t="n"/>
    </row>
    <row r="14">
      <c r="A14" s="2" t="inlineStr">
        <is>
          <t>General OD</t>
        </is>
      </c>
      <c r="B14" s="2" t="inlineStr">
        <is>
          <t>Co-DETR (ViT-L)</t>
        </is>
      </c>
      <c r="C14" s="2" t="inlineStr">
        <is>
          <t>Zong et al.</t>
        </is>
      </c>
      <c r="D14" s="2" t="inlineStr">
        <is>
          <t>ICCV</t>
        </is>
      </c>
      <c r="E14" s="2" t="inlineStr">
        <is>
          <t>2023-10</t>
        </is>
      </c>
      <c r="F14" s="2" t="inlineStr">
        <is>
          <t>Preprint</t>
        </is>
      </c>
      <c r="G14" s="2" t="n"/>
      <c r="H14" s="2" t="n"/>
      <c r="I14" s="2" t="n"/>
      <c r="J14" s="2" t="n"/>
      <c r="K14" s="2" t="inlineStr">
        <is>
          <t>⚠️ 自動抽取・指標待驗證 (已偵測使用此資料集)：First ≥66 AP on COCO test-dev; collaborative hybrid assignments</t>
        </is>
      </c>
      <c r="L14" s="9" t="inlineStr">
        <is>
          <t>https://arxiv.org/abs/2211.12860</t>
        </is>
      </c>
      <c r="M14" s="9" t="inlineStr">
        <is>
          <t>https://github.com/Sense-X/Co-DETR</t>
        </is>
      </c>
    </row>
    <row r="15">
      <c r="A15" s="2" t="inlineStr">
        <is>
          <t>General OD</t>
        </is>
      </c>
      <c r="B15" s="2" t="inlineStr">
        <is>
          <t>EVA-02 (Det)</t>
        </is>
      </c>
      <c r="C15" s="2" t="inlineStr">
        <is>
          <t>Fang et al.</t>
        </is>
      </c>
      <c r="D15" s="2" t="inlineStr">
        <is>
          <t>arXiv→IVC</t>
        </is>
      </c>
      <c r="E15" s="2" t="inlineStr">
        <is>
          <t>2023-10</t>
        </is>
      </c>
      <c r="F15" s="2" t="inlineStr">
        <is>
          <t>Preprint</t>
        </is>
      </c>
      <c r="G15" s="2" t="n">
        <v>65.2</v>
      </c>
      <c r="H15" s="2" t="inlineStr">
        <is>
          <t>box AP 65.2 LVIS val</t>
        </is>
      </c>
      <c r="I15" s="2" t="n"/>
      <c r="J15" s="2" t="n"/>
      <c r="K15" s="2" t="inlineStr">
        <is>
          <t>✅ 已驗證 (EVA-02-Det arXiv23 abstract)：65.2 box AP / 57.3 mask AP on LVIS val [Foundation Model OD]</t>
        </is>
      </c>
      <c r="L15" s="9" t="inlineStr">
        <is>
          <t>https://arxiv.org/abs/2303.11331</t>
        </is>
      </c>
      <c r="M15" s="9" t="inlineStr">
        <is>
          <t>https://github.com/baaivision/EVA</t>
        </is>
      </c>
    </row>
    <row r="16">
      <c r="A16" s="2" t="inlineStr">
        <is>
          <t>General OD</t>
        </is>
      </c>
      <c r="B16" s="2" t="inlineStr">
        <is>
          <t>InternImage-H</t>
        </is>
      </c>
      <c r="C16" s="2" t="inlineStr">
        <is>
          <t>Wang et al.</t>
        </is>
      </c>
      <c r="D16" s="2" t="inlineStr">
        <is>
          <t>CVPR</t>
        </is>
      </c>
      <c r="E16" s="2" t="inlineStr">
        <is>
          <t>2023-06</t>
        </is>
      </c>
      <c r="F16" s="2" t="inlineStr">
        <is>
          <t>Preprint</t>
        </is>
      </c>
      <c r="G16" s="2" t="n"/>
      <c r="H16" s="2" t="n"/>
      <c r="I16" s="2" t="n"/>
      <c r="J16" s="2" t="n"/>
      <c r="K16" s="2" t="inlineStr">
        <is>
          <t>⚠️ 自動抽取・指標待驗證 (已偵測使用此資料集)：Large-scale deformable conv; first ≥65 AP</t>
        </is>
      </c>
      <c r="L16" s="9" t="inlineStr">
        <is>
          <t>https://arxiv.org/abs/2211.05778</t>
        </is>
      </c>
      <c r="M16" s="9" t="inlineStr">
        <is>
          <t>https://github.com/OpenGVLab/InternImage</t>
        </is>
      </c>
    </row>
    <row r="17">
      <c r="A17" s="2" t="inlineStr">
        <is>
          <t>Few-Shot OD</t>
        </is>
      </c>
      <c r="B17" s="2" t="inlineStr">
        <is>
          <t>UniFS (UniDetector)</t>
        </is>
      </c>
      <c r="C17" s="2" t="inlineStr">
        <is>
          <t>Wang et al.</t>
        </is>
      </c>
      <c r="D17" s="2" t="inlineStr">
        <is>
          <t>CVPR</t>
        </is>
      </c>
      <c r="E17" s="2" t="inlineStr">
        <is>
          <t>2023-06</t>
        </is>
      </c>
      <c r="F17" s="2" t="inlineStr">
        <is>
          <t>Preprint</t>
        </is>
      </c>
      <c r="G17" s="2" t="n"/>
      <c r="H17" s="2" t="n"/>
      <c r="I17" s="2" t="n"/>
      <c r="J17" s="2" t="n"/>
      <c r="K17" s="2" t="inlineStr">
        <is>
          <t>⚠️ 自動抽取・指標待驗證 (已偵測使用此資料集)：Universal open-vocab detector</t>
        </is>
      </c>
      <c r="L17" s="9" t="inlineStr">
        <is>
          <t>https://arxiv.org/abs/2303.11749</t>
        </is>
      </c>
      <c r="M17" s="9" t="inlineStr">
        <is>
          <t>https://github.com/zhenyuw16/UniDetector</t>
        </is>
      </c>
    </row>
    <row r="18">
      <c r="A18" s="2" t="inlineStr">
        <is>
          <t>General OD</t>
        </is>
      </c>
      <c r="B18" s="2" t="inlineStr">
        <is>
          <t>ViTDet (ViT-H, MAE)</t>
        </is>
      </c>
      <c r="C18" s="2" t="inlineStr">
        <is>
          <t>Li et al.</t>
        </is>
      </c>
      <c r="D18" s="2" t="inlineStr">
        <is>
          <t>ECCV</t>
        </is>
      </c>
      <c r="E18" s="2" t="inlineStr">
        <is>
          <t>2022-09</t>
        </is>
      </c>
      <c r="F18" s="2" t="inlineStr">
        <is>
          <t>Preprint</t>
        </is>
      </c>
      <c r="G18" s="2" t="n"/>
      <c r="H18" s="2" t="n"/>
      <c r="I18" s="2" t="n"/>
      <c r="J18" s="2" t="n"/>
      <c r="K18" s="2" t="inlineStr">
        <is>
          <t>⚠️ 自動抽取・指標待驗證 (已偵測使用此資料集)：Plain ViT backbone for detection</t>
        </is>
      </c>
      <c r="L18" s="9" t="inlineStr">
        <is>
          <t>https://arxiv.org/abs/2203.16527</t>
        </is>
      </c>
      <c r="M18" s="9" t="inlineStr">
        <is>
          <t>https://github.com/facebookresearch/detectron2</t>
        </is>
      </c>
    </row>
    <row r="19">
      <c r="A19" s="2" t="inlineStr">
        <is>
          <t>Few-Shot OD</t>
        </is>
      </c>
      <c r="B19" s="2" t="inlineStr">
        <is>
          <t>TFA w/cos</t>
        </is>
      </c>
      <c r="C19" s="2" t="inlineStr">
        <is>
          <t>Wang et al.</t>
        </is>
      </c>
      <c r="D19" s="2" t="inlineStr">
        <is>
          <t>ICML</t>
        </is>
      </c>
      <c r="E19" s="2" t="inlineStr">
        <is>
          <t>2020-07</t>
        </is>
      </c>
      <c r="F19" s="2" t="inlineStr">
        <is>
          <t>Preprint</t>
        </is>
      </c>
      <c r="G19" s="2" t="n"/>
      <c r="H19" s="2" t="n"/>
      <c r="I19" s="2" t="n"/>
      <c r="J19" s="2" t="n"/>
      <c r="K19" s="2" t="inlineStr">
        <is>
          <t>⚠️ 自動抽取・指標待驗證 (已偵測使用此資料集)：Two-stage fine-tuning baseline</t>
        </is>
      </c>
      <c r="L19" s="9" t="inlineStr">
        <is>
          <t>https://arxiv.org/abs/2003.06957</t>
        </is>
      </c>
      <c r="M19" s="9" t="inlineStr">
        <is>
          <t>https://github.com/ucbdrive/few-shot-object-detection</t>
        </is>
      </c>
    </row>
    <row r="20">
      <c r="A20" s="2" t="inlineStr">
        <is>
          <t>General OD</t>
        </is>
      </c>
      <c r="B20" s="2" t="inlineStr">
        <is>
          <t>Search and Detect</t>
        </is>
      </c>
      <c r="C20" s="2" t="inlineStr">
        <is>
          <t>—</t>
        </is>
      </c>
      <c r="D20" s="2" t="inlineStr">
        <is>
          <t>CVPR 2025</t>
        </is>
      </c>
      <c r="E20" s="2" t="inlineStr">
        <is>
          <t>2025-06</t>
        </is>
      </c>
      <c r="F20" s="2" t="inlineStr">
        <is>
          <t>Preprint</t>
        </is>
      </c>
      <c r="G20" s="2" t="n"/>
      <c r="H20" s="2" t="n"/>
      <c r="I20" s="2" t="n"/>
      <c r="J20" s="2" t="n"/>
      <c r="K20" s="2" t="inlineStr">
        <is>
          <t>⚠️ 自動抽取・指標待驗證 (已偵測使用此資料集)：CVF Open Access 自動收錄；指標待人工驗證。Search and Detect: Training-Free Long Tail Object D</t>
        </is>
      </c>
      <c r="L20" s="9" t="inlineStr">
        <is>
          <t>https://openaccess.thecvf.com/content/CVPR2025/html/Sidhu_Search_and_Detect_Training-Free_Long_Tail_Object_Detection_via_Web-Image_CVPR_2025_paper.html</t>
        </is>
      </c>
      <c r="M20" s="9" t="inlineStr">
        <is>
          <t>N/A</t>
        </is>
      </c>
    </row>
    <row r="21">
      <c r="A21" s="2" t="inlineStr">
        <is>
          <t>General OD</t>
        </is>
      </c>
      <c r="B21" s="2" t="inlineStr">
        <is>
          <t>Fractal Calibration for Long-tailed Object Detection</t>
        </is>
      </c>
      <c r="C21" s="2" t="inlineStr">
        <is>
          <t>—</t>
        </is>
      </c>
      <c r="D21" s="2" t="inlineStr">
        <is>
          <t>CVPR 2025</t>
        </is>
      </c>
      <c r="E21" s="2" t="inlineStr">
        <is>
          <t>2025-06</t>
        </is>
      </c>
      <c r="F21" s="2" t="inlineStr">
        <is>
          <t>Preprint</t>
        </is>
      </c>
      <c r="G21" s="2" t="n"/>
      <c r="H21" s="2" t="n"/>
      <c r="I21" s="2" t="n"/>
      <c r="J21" s="2" t="n"/>
      <c r="K21" s="2" t="inlineStr">
        <is>
          <t>⚠️ 自動抽取・指標待驗證 (已偵測使用此資料集)：CVF Open Access 自動收錄；指標待人工驗證。Fractal Calibration for Long-tailed Object Detectio</t>
        </is>
      </c>
      <c r="L21" s="9" t="inlineStr">
        <is>
          <t>https://openaccess.thecvf.com/content/CVPR2025/html/Alexandridis_Fractal_Calibration_for_Long-tailed_Object_Detection_CVPR_2025_paper.html</t>
        </is>
      </c>
      <c r="M21" s="9" t="inlineStr">
        <is>
          <t>N/A</t>
        </is>
      </c>
    </row>
    <row r="22">
      <c r="A22" s="2" t="inlineStr">
        <is>
          <t>General OD</t>
        </is>
      </c>
      <c r="B22" s="2" t="inlineStr">
        <is>
          <t>Open-World Objectness Modeling Unifies Novel Object Detectio</t>
        </is>
      </c>
      <c r="C22" s="2" t="inlineStr">
        <is>
          <t>—</t>
        </is>
      </c>
      <c r="D22" s="2" t="inlineStr">
        <is>
          <t>CVPR 2025</t>
        </is>
      </c>
      <c r="E22" s="2" t="inlineStr">
        <is>
          <t>2025-06</t>
        </is>
      </c>
      <c r="F22" s="2" t="inlineStr">
        <is>
          <t>Preprint</t>
        </is>
      </c>
      <c r="G22" s="2" t="n"/>
      <c r="H22" s="2" t="n"/>
      <c r="I22" s="2" t="n"/>
      <c r="J22" s="2" t="n"/>
      <c r="K22" s="2" t="inlineStr">
        <is>
          <t>⚠️ 自動抽取・指標待驗證 (已偵測使用此資料集)：CVF Open Access 自動收錄；指標待人工驗證。Open-World Objectness Modeling Unifies Novel Object</t>
        </is>
      </c>
      <c r="L22" s="9" t="inlineStr">
        <is>
          <t>https://openaccess.thecvf.com/content/CVPR2025/html/Zhang_Open-World_Objectness_Modeling_Unifies_Novel_Object_Detection_CVPR_2025_paper.html</t>
        </is>
      </c>
      <c r="M22" s="9" t="inlineStr">
        <is>
          <t>N/A</t>
        </is>
      </c>
    </row>
    <row r="23">
      <c r="A23" s="2" t="inlineStr">
        <is>
          <t>General OD</t>
        </is>
      </c>
      <c r="B23" s="2" t="inlineStr">
        <is>
          <t>SimLTD</t>
        </is>
      </c>
      <c r="C23" s="2" t="inlineStr">
        <is>
          <t>—</t>
        </is>
      </c>
      <c r="D23" s="2" t="inlineStr">
        <is>
          <t>CVPR 2025</t>
        </is>
      </c>
      <c r="E23" s="2" t="inlineStr">
        <is>
          <t>2025-06</t>
        </is>
      </c>
      <c r="F23" s="2" t="inlineStr">
        <is>
          <t>Preprint</t>
        </is>
      </c>
      <c r="G23" s="2" t="n"/>
      <c r="H23" s="2" t="n"/>
      <c r="I23" s="2" t="n"/>
      <c r="J23" s="2" t="n"/>
      <c r="K23" s="2" t="inlineStr">
        <is>
          <t>⚠️ 自動抽取・指標待驗證 (已偵測使用此資料集)：CVF Open Access 自動收錄；指標待人工驗證。SimLTD: Simple Supervised and Semi-Supervised Long-</t>
        </is>
      </c>
      <c r="L23" s="9" t="inlineStr">
        <is>
          <t>https://openaccess.thecvf.com/content/CVPR2025/html/Tran_SimLTD_Simple_Supervised_and_Semi-Supervised_Long-Tailed_Object_Detection_CVPR_2025_paper.html</t>
        </is>
      </c>
      <c r="M23" s="9" t="inlineStr">
        <is>
          <t>N/A</t>
        </is>
      </c>
    </row>
    <row r="24">
      <c r="A24" s="2" t="inlineStr">
        <is>
          <t>General OD</t>
        </is>
      </c>
      <c r="B24" s="2" t="inlineStr">
        <is>
          <t>Enhancing Novel Object Detection via Cooperative Foundationa</t>
        </is>
      </c>
      <c r="C24" s="2" t="inlineStr">
        <is>
          <t>—</t>
        </is>
      </c>
      <c r="D24" s="2" t="inlineStr">
        <is>
          <t>WACV 2025</t>
        </is>
      </c>
      <c r="E24" s="2" t="inlineStr">
        <is>
          <t>2025-01</t>
        </is>
      </c>
      <c r="F24" s="2" t="inlineStr">
        <is>
          <t>Preprint</t>
        </is>
      </c>
      <c r="G24" s="2" t="n"/>
      <c r="H24" s="2" t="n"/>
      <c r="I24" s="2" t="n"/>
      <c r="J24" s="2" t="n"/>
      <c r="K24" s="2" t="inlineStr">
        <is>
          <t>⚠️ 自動抽取・指標待驗證 (已偵測使用此資料集)：CVF Open Access 自動收錄；指標待人工驗證。Enhancing Novel Object Detection via Cooperative Fo</t>
        </is>
      </c>
      <c r="L24" s="9" t="inlineStr">
        <is>
          <t>https://openaccess.thecvf.com/content/WACV2025/html/Bharadwaj_Enhancing_Novel_Object_Detection_via_Cooperative_Foundational_Models_WACV_2025_paper.html</t>
        </is>
      </c>
      <c r="M24" s="9" t="inlineStr">
        <is>
          <t>N/A</t>
        </is>
      </c>
    </row>
    <row r="25">
      <c r="A25" s="2" t="inlineStr">
        <is>
          <t>General OD</t>
        </is>
      </c>
      <c r="B25" s="2" t="inlineStr">
        <is>
          <t>Enhancing Embodied Object Detection with Spatial Feature Mem</t>
        </is>
      </c>
      <c r="C25" s="2" t="inlineStr">
        <is>
          <t>—</t>
        </is>
      </c>
      <c r="D25" s="2" t="inlineStr">
        <is>
          <t>WACV 2025</t>
        </is>
      </c>
      <c r="E25" s="2" t="inlineStr">
        <is>
          <t>2025-01</t>
        </is>
      </c>
      <c r="F25" s="2" t="inlineStr">
        <is>
          <t>Preprint</t>
        </is>
      </c>
      <c r="G25" s="2" t="n"/>
      <c r="H25" s="2" t="n"/>
      <c r="I25" s="2" t="n"/>
      <c r="J25" s="2" t="n"/>
      <c r="K25" s="2" t="inlineStr">
        <is>
          <t>⚠️ 自動抽取・指標待驗證 (已偵測使用此資料集)：CVF Open Access 自動收錄；指標待人工驗證。Enhancing Embodied Object Detection with Spatial Fe</t>
        </is>
      </c>
      <c r="L25" s="9" t="inlineStr">
        <is>
          <t>https://openaccess.thecvf.com/content/WACV2025/html/Chapman_Enhancing_Embodied_Object_Detection_with_Spatial_Feature_Memory_WACV_2025_paper.html</t>
        </is>
      </c>
      <c r="M25" s="9" t="inlineStr">
        <is>
          <t>N/A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2" t="inlineStr">
        <is>
          <t>General OD</t>
        </is>
      </c>
      <c r="B2" s="2" t="inlineStr">
        <is>
          <t>Detic</t>
        </is>
      </c>
      <c r="C2" s="2" t="inlineStr">
        <is>
          <t>Zhou et al.</t>
        </is>
      </c>
      <c r="D2" s="2" t="inlineStr">
        <is>
          <t>ECCV</t>
        </is>
      </c>
      <c r="E2" s="2" t="inlineStr">
        <is>
          <t>2022-10</t>
        </is>
      </c>
      <c r="F2" s="2" t="inlineStr">
        <is>
          <t>Published</t>
        </is>
      </c>
      <c r="G2" s="2" t="n">
        <v>41.7</v>
      </c>
      <c r="H2" s="2" t="inlineStr">
        <is>
          <t>AP 41.7 LVIS</t>
        </is>
      </c>
      <c r="I2" s="2" t="inlineStr">
        <is>
          <t>N/A</t>
        </is>
      </c>
      <c r="J2" s="2" t="inlineStr">
        <is>
          <t>≈100M</t>
        </is>
      </c>
      <c r="K2" s="2" t="inlineStr">
        <is>
          <t>✅ 已驗證 (Detic CVPR22 abstract)：41.7 mAP on standard LVIS benchmark [Open-vocab OD]</t>
        </is>
      </c>
      <c r="L2" s="9" t="inlineStr">
        <is>
          <t>https://arxiv.org/abs/2201.02605</t>
        </is>
      </c>
      <c r="M2" s="9" t="inlineStr">
        <is>
          <t>https://github.com/facebookresearch/Detic</t>
        </is>
      </c>
    </row>
    <row r="3" ht="48" customHeight="1">
      <c r="A3" s="5" t="inlineStr">
        <is>
          <t>Few-Shot OD</t>
        </is>
      </c>
      <c r="B3" s="5" t="inlineStr">
        <is>
          <t>Grounding DINO 1.5 Pro</t>
        </is>
      </c>
      <c r="C3" s="5" t="inlineStr">
        <is>
          <t>Ren et al.</t>
        </is>
      </c>
      <c r="D3" s="5" t="inlineStr">
        <is>
          <t>arXiv</t>
        </is>
      </c>
      <c r="E3" s="5" t="inlineStr">
        <is>
          <t>2024-05</t>
        </is>
      </c>
      <c r="F3" s="5" t="inlineStr">
        <is>
          <t>Preprint</t>
        </is>
      </c>
      <c r="G3" s="5" t="n">
        <v>55.7</v>
      </c>
      <c r="H3" s="5" t="inlineStr">
        <is>
          <t>AP 55.7 LVIS-minival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✅ 已驗證 (Grounding DINO 1.5 Pro Table 1)：55.7 AP LVIS-minival, 47.6 AP LVIS-val zero-shot [Open-set OD]</t>
        </is>
      </c>
      <c r="L3" s="8" t="inlineStr">
        <is>
          <t>https://arxiv.org/abs/2405.10300</t>
        </is>
      </c>
      <c r="M3" s="8" t="inlineStr">
        <is>
          <t>https://github.com/IDEA-Research/Grounding-DINO-1.5-API</t>
        </is>
      </c>
    </row>
    <row r="4" ht="48" customHeight="1">
      <c r="A4" s="2" t="inlineStr">
        <is>
          <t>General OD</t>
        </is>
      </c>
      <c r="B4" s="2" t="inlineStr">
        <is>
          <t>Grounding DINO</t>
        </is>
      </c>
      <c r="C4" s="2" t="inlineStr">
        <is>
          <t>Liu et al.</t>
        </is>
      </c>
      <c r="D4" s="2" t="inlineStr">
        <is>
          <t>ECCV</t>
        </is>
      </c>
      <c r="E4" s="2" t="inlineStr">
        <is>
          <t>2024-10</t>
        </is>
      </c>
      <c r="F4" s="2" t="inlineStr">
        <is>
          <t>Published</t>
        </is>
      </c>
      <c r="G4" s="2" t="n">
        <v>33.9</v>
      </c>
      <c r="H4" s="2" t="inlineStr">
        <is>
          <t>AP 33.9 LVIS-mini</t>
        </is>
      </c>
      <c r="I4" s="2" t="inlineStr">
        <is>
          <t>N/A</t>
        </is>
      </c>
      <c r="J4" s="2" t="inlineStr">
        <is>
          <t>≈173M</t>
        </is>
      </c>
      <c r="K4" s="2" t="inlineStr">
        <is>
          <t>✅ 已驗證 (Grounding DINO 1.5 Pro Table 1)：Grounding DINO Swin-L 33.9 AP LVIS-mini zero-shot [Open-set OD]</t>
        </is>
      </c>
      <c r="L4" s="9" t="inlineStr">
        <is>
          <t>https://arxiv.org/abs/2303.05499</t>
        </is>
      </c>
      <c r="M4" s="9" t="inlineStr">
        <is>
          <t>https://github.com/IDEA-Research/GroundingDINO</t>
        </is>
      </c>
    </row>
    <row r="5" ht="48" customHeight="1">
      <c r="A5" s="2" t="inlineStr">
        <is>
          <t>General OD</t>
        </is>
      </c>
      <c r="B5" s="2" t="inlineStr">
        <is>
          <t>GLIP-L</t>
        </is>
      </c>
      <c r="C5" s="2" t="inlineStr">
        <is>
          <t>Li et al.</t>
        </is>
      </c>
      <c r="D5" s="2" t="inlineStr">
        <is>
          <t>CVPR</t>
        </is>
      </c>
      <c r="E5" s="2" t="inlineStr">
        <is>
          <t>2022-06</t>
        </is>
      </c>
      <c r="F5" s="2" t="inlineStr">
        <is>
          <t>Published</t>
        </is>
      </c>
      <c r="G5" s="2" t="n">
        <v>26.9</v>
      </c>
      <c r="H5" s="2" t="inlineStr">
        <is>
          <t>AP 26.9 LVIS-val zero-shot</t>
        </is>
      </c>
      <c r="I5" s="2" t="inlineStr">
        <is>
          <t>N/A</t>
        </is>
      </c>
      <c r="J5" s="2" t="inlineStr">
        <is>
          <t>430M</t>
        </is>
      </c>
      <c r="K5" s="2" t="inlineStr">
        <is>
          <t>✅ 已驗證 (GLIP-L CVPR22 paper)：26.9 AP on LVIS val zero-shot (no LVIS images during pre-training) [Grounded VLM]</t>
        </is>
      </c>
      <c r="L5" s="9" t="inlineStr">
        <is>
          <t>https://arxiv.org/abs/2112.03857</t>
        </is>
      </c>
      <c r="M5" s="9" t="inlineStr">
        <is>
          <t>https://github.com/microsoft/GLIP</t>
        </is>
      </c>
    </row>
    <row r="6" ht="48" customHeight="1">
      <c r="A6" s="2" t="inlineStr">
        <is>
          <t>General OD</t>
        </is>
      </c>
      <c r="B6" s="2" t="inlineStr">
        <is>
          <t>OWLv2</t>
        </is>
      </c>
      <c r="C6" s="2" t="inlineStr">
        <is>
          <t>Minderer et al.</t>
        </is>
      </c>
      <c r="D6" s="2" t="inlineStr">
        <is>
          <t>NeurIPS</t>
        </is>
      </c>
      <c r="E6" s="2" t="inlineStr">
        <is>
          <t>2023-12</t>
        </is>
      </c>
      <c r="F6" s="2" t="inlineStr">
        <is>
          <t>Published</t>
        </is>
      </c>
      <c r="G6" s="2" t="n">
        <v>47</v>
      </c>
      <c r="H6" s="2" t="inlineStr">
        <is>
          <t>AP 47.0 LVIS-val (best OWLv2 SigLIP G/14)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✅ 已驗證 (OWLv2 paper Table 1)：OWL-ST+FT SigLIP G/14 LVIS APval all=47.0 [Open-vocab Foundation Model]</t>
        </is>
      </c>
      <c r="L6" s="9" t="inlineStr">
        <is>
          <t>https://arxiv.org/abs/2306.09683</t>
        </is>
      </c>
      <c r="M6" s="9" t="inlineStr">
        <is>
          <t>https://github.com/google-research/scenic/tree/main/scenic/projects/owl_vit</t>
        </is>
      </c>
    </row>
    <row r="7" ht="48" customHeight="1">
      <c r="A7" s="2" t="inlineStr">
        <is>
          <t>General OD</t>
        </is>
      </c>
      <c r="B7" s="2" t="inlineStr">
        <is>
          <t>DINO-X</t>
        </is>
      </c>
      <c r="C7" s="2" t="inlineStr">
        <is>
          <t>IDEA</t>
        </is>
      </c>
      <c r="D7" s="2" t="inlineStr">
        <is>
          <t>arXiv</t>
        </is>
      </c>
      <c r="E7" s="2" t="inlineStr">
        <is>
          <t>2024-11</t>
        </is>
      </c>
      <c r="F7" s="2" t="inlineStr">
        <is>
          <t>Preprint</t>
        </is>
      </c>
      <c r="G7" s="2" t="n">
        <v>52.4</v>
      </c>
      <c r="H7" s="2" t="inlineStr">
        <is>
          <t>AP 52.4 LVIS-val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✅ 已驗證 (DINO-X abstract)：DINO-X Pro 52.4 AP on LVIS-val zero-shot [Foundation Model OD]</t>
        </is>
      </c>
      <c r="L7" s="9" t="inlineStr">
        <is>
          <t>https://arxiv.org/abs/2411.14347</t>
        </is>
      </c>
      <c r="M7" s="9" t="inlineStr">
        <is>
          <t>https://github.com/IDEA-Research/DINO-X-API</t>
        </is>
      </c>
    </row>
    <row r="8" ht="48" customHeight="1">
      <c r="A8" s="2" t="inlineStr">
        <is>
          <t>General OD</t>
        </is>
      </c>
      <c r="B8" s="2" t="inlineStr">
        <is>
          <t>YOLO-World</t>
        </is>
      </c>
      <c r="C8" s="2" t="inlineStr">
        <is>
          <t>Cheng et al.</t>
        </is>
      </c>
      <c r="D8" s="2" t="inlineStr">
        <is>
          <t>CVPR</t>
        </is>
      </c>
      <c r="E8" s="2" t="inlineStr">
        <is>
          <t>2024-06</t>
        </is>
      </c>
      <c r="F8" s="2" t="inlineStr">
        <is>
          <t>Published</t>
        </is>
      </c>
      <c r="G8" s="2" t="n">
        <v>35.4</v>
      </c>
      <c r="H8" s="2" t="inlineStr">
        <is>
          <t>AP 35.4 LVIS</t>
        </is>
      </c>
      <c r="I8" s="2" t="inlineStr">
        <is>
          <t>T4 fast</t>
        </is>
      </c>
      <c r="J8" s="2" t="inlineStr">
        <is>
          <t>N/A</t>
        </is>
      </c>
      <c r="K8" s="2" t="inlineStr">
        <is>
          <t>✅ 已驗證 (YOLO-World CVPR24 abstract)：35.4 AP on LVIS, 52 FPS on V100 [Open-vocab Real-Time OD]</t>
        </is>
      </c>
      <c r="L8" s="9" t="inlineStr">
        <is>
          <t>https://arxiv.org/abs/2401.17270</t>
        </is>
      </c>
      <c r="M8" s="9" t="inlineStr">
        <is>
          <t>https://github.com/AILab-CVC/YOLO-World</t>
        </is>
      </c>
    </row>
    <row r="9" ht="48" customHeight="1">
      <c r="A9" s="2" t="inlineStr">
        <is>
          <t>General OD</t>
        </is>
      </c>
      <c r="B9" s="2" t="inlineStr">
        <is>
          <t>RegionCLIP</t>
        </is>
      </c>
      <c r="C9" s="2" t="inlineStr">
        <is>
          <t>Zhong et al.</t>
        </is>
      </c>
      <c r="D9" s="2" t="inlineStr">
        <is>
          <t>CVPR</t>
        </is>
      </c>
      <c r="E9" s="2" t="inlineStr">
        <is>
          <t>2022-06</t>
        </is>
      </c>
      <c r="F9" s="2" t="inlineStr">
        <is>
          <t>Published</t>
        </is>
      </c>
      <c r="G9" s="2" t="n">
        <v>32.3</v>
      </c>
      <c r="H9" s="2" t="inlineStr">
        <is>
          <t>AP 32.3 LVIS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✅ 已驗證 (RegionCLIP CVPR22)：RegionCLIP R50x4 32.3 LVIS APval [Region-aware CLIP for OD]</t>
        </is>
      </c>
      <c r="L9" s="9" t="inlineStr">
        <is>
          <t>https://arxiv.org/abs/2112.09106</t>
        </is>
      </c>
      <c r="M9" s="9" t="inlineStr">
        <is>
          <t>https://github.com/microsoft/RegionCLIP</t>
        </is>
      </c>
    </row>
    <row r="10" ht="48" customHeight="1">
      <c r="A10" s="2" t="inlineStr">
        <is>
          <t>General OD</t>
        </is>
      </c>
      <c r="B10" s="2" t="inlineStr">
        <is>
          <t>UniDetector</t>
        </is>
      </c>
      <c r="C10" s="2" t="inlineStr">
        <is>
          <t>Wang et al.</t>
        </is>
      </c>
      <c r="D10" s="2" t="inlineStr">
        <is>
          <t>CVPR</t>
        </is>
      </c>
      <c r="E10" s="2" t="inlineStr">
        <is>
          <t>2023-06</t>
        </is>
      </c>
      <c r="F10" s="2" t="inlineStr">
        <is>
          <t>Published</t>
        </is>
      </c>
      <c r="G10" s="2" t="inlineStr">
        <is>
          <t>N/A</t>
        </is>
      </c>
      <c r="H10" s="2" t="inlineStr">
        <is>
          <t>LVIS rare AP ≈24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Universal OD | Numbers reported on LVIS-test-dev where applicable; To verify.</t>
        </is>
      </c>
      <c r="L10" s="9" t="inlineStr">
        <is>
          <t>https://arxiv.org/abs/2303.11749</t>
        </is>
      </c>
      <c r="M10" s="9" t="inlineStr">
        <is>
          <t>https://github.com/zhenyuw16/UniDetector</t>
        </is>
      </c>
    </row>
    <row r="11" ht="48" customHeight="1">
      <c r="A11" s="2" t="inlineStr">
        <is>
          <t>General OD</t>
        </is>
      </c>
      <c r="B11" s="2" t="inlineStr">
        <is>
          <t>CenterNet2 + Detic</t>
        </is>
      </c>
      <c r="C11" s="2" t="inlineStr">
        <is>
          <t>Zhou et al.</t>
        </is>
      </c>
      <c r="D11" s="2" t="inlineStr">
        <is>
          <t>ECCV</t>
        </is>
      </c>
      <c r="E11" s="2" t="inlineStr">
        <is>
          <t>2022-10</t>
        </is>
      </c>
      <c r="F11" s="2" t="inlineStr">
        <is>
          <t>Published</t>
        </is>
      </c>
      <c r="G11" s="2" t="inlineStr">
        <is>
          <t>N/A</t>
        </is>
      </c>
      <c r="H11" s="2" t="inlineStr">
        <is>
          <t>LVIS-val 41.7 (open-vocab)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Paper-reported result | Numbers reported on LVIS-test-dev where applicable; To verify.</t>
        </is>
      </c>
      <c r="L11" s="9" t="inlineStr">
        <is>
          <t>https://arxiv.org/abs/2201.02605</t>
        </is>
      </c>
      <c r="M11" s="9" t="inlineStr">
        <is>
          <t>https://github.com/facebookresearch/Detic</t>
        </is>
      </c>
    </row>
    <row r="12" ht="48" customHeight="1">
      <c r="A12" s="2" t="inlineStr">
        <is>
          <t>General OD</t>
        </is>
      </c>
      <c r="B12" s="2" t="inlineStr">
        <is>
          <t>EVA-02-L (LVIS ft)</t>
        </is>
      </c>
      <c r="C12" s="2" t="inlineStr">
        <is>
          <t>Fang et al.</t>
        </is>
      </c>
      <c r="D12" s="2" t="inlineStr">
        <is>
          <t>arXiv</t>
        </is>
      </c>
      <c r="E12" s="2" t="inlineStr">
        <is>
          <t>2023-10</t>
        </is>
      </c>
      <c r="F12" s="2" t="inlineStr">
        <is>
          <t>Published</t>
        </is>
      </c>
      <c r="G12" s="2" t="inlineStr">
        <is>
          <t>N/A</t>
        </is>
      </c>
      <c r="H12" s="2" t="inlineStr">
        <is>
          <t>LVIS-val ≈55</t>
        </is>
      </c>
      <c r="I12" s="2" t="inlineStr">
        <is>
          <t>N/A</t>
        </is>
      </c>
      <c r="J12" s="2" t="inlineStr">
        <is>
          <t>≈600M</t>
        </is>
      </c>
      <c r="K12" s="2" t="inlineStr">
        <is>
          <t>Strong supervised SOTA on LVIS | Numbers reported on LVIS-test-dev where applicable; To verify.</t>
        </is>
      </c>
      <c r="L12" s="9" t="inlineStr">
        <is>
          <t>https://arxiv.org/abs/2303.11331</t>
        </is>
      </c>
      <c r="M12" s="9" t="inlineStr">
        <is>
          <t>https://github.com/baaivision/EVA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Grounding DINO 1.5 Pro</t>
        </is>
      </c>
      <c r="C2" s="5" t="inlineStr">
        <is>
          <t>Ren et al.</t>
        </is>
      </c>
      <c r="D2" s="5" t="inlineStr">
        <is>
          <t>arXiv</t>
        </is>
      </c>
      <c r="E2" s="5" t="inlineStr">
        <is>
          <t>2024-05</t>
        </is>
      </c>
      <c r="F2" s="5" t="inlineStr">
        <is>
          <t>Preprint</t>
        </is>
      </c>
      <c r="G2" s="5" t="n">
        <v>55.5</v>
      </c>
      <c r="H2" s="5" t="inlineStr">
        <is>
          <t>AP 55.5 avg (cited in GLIPv2)</t>
        </is>
      </c>
      <c r="I2" s="5" t="inlineStr">
        <is>
          <t>N/A</t>
        </is>
      </c>
      <c r="J2" s="5" t="inlineStr">
        <is>
          <t>N/A</t>
        </is>
      </c>
      <c r="K2" s="5" t="inlineStr">
        <is>
          <t>✅ 已驗證 (Grounding DINO 1.5 Pro Table 1 / GLIPv2 cite)：55.5 ODinW13 avg AP — referenced as headline competitive number [Open-set OD]</t>
        </is>
      </c>
      <c r="L2" s="8" t="inlineStr">
        <is>
          <t>https://arxiv.org/abs/2405.10300</t>
        </is>
      </c>
      <c r="M2" s="8" t="inlineStr">
        <is>
          <t>https://github.com/IDEA-Research/Grounding-DINO-1.5-API</t>
        </is>
      </c>
    </row>
    <row r="3" ht="48" customHeight="1">
      <c r="A3" s="5" t="inlineStr">
        <is>
          <t>Few-Shot OD</t>
        </is>
      </c>
      <c r="B3" s="5" t="inlineStr">
        <is>
          <t>Grounding DINO</t>
        </is>
      </c>
      <c r="C3" s="5" t="inlineStr">
        <is>
          <t>Liu et al.</t>
        </is>
      </c>
      <c r="D3" s="5" t="inlineStr">
        <is>
          <t>ECCV</t>
        </is>
      </c>
      <c r="E3" s="5" t="inlineStr">
        <is>
          <t>2024-10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ODinW-13 50.6 (zero-shot)</t>
        </is>
      </c>
      <c r="I3" s="5" t="inlineStr">
        <is>
          <t>N/A</t>
        </is>
      </c>
      <c r="J3" s="5" t="inlineStr">
        <is>
          <t>≈173M</t>
        </is>
      </c>
      <c r="K3" s="5" t="inlineStr">
        <is>
          <t>Open-set; ECCV 2024</t>
        </is>
      </c>
      <c r="L3" s="8" t="inlineStr">
        <is>
          <t>https://arxiv.org/abs/2303.05499</t>
        </is>
      </c>
      <c r="M3" s="8" t="inlineStr">
        <is>
          <t>https://github.com/IDEA-Research/GroundingDINO</t>
        </is>
      </c>
    </row>
    <row r="4" ht="48" customHeight="1">
      <c r="A4" s="5" t="inlineStr">
        <is>
          <t>Few-Shot OD</t>
        </is>
      </c>
      <c r="B4" s="5" t="inlineStr">
        <is>
          <t>DINO-X</t>
        </is>
      </c>
      <c r="C4" s="5" t="inlineStr">
        <is>
          <t>IDEA</t>
        </is>
      </c>
      <c r="D4" s="5" t="inlineStr">
        <is>
          <t>arXiv</t>
        </is>
      </c>
      <c r="E4" s="5" t="inlineStr">
        <is>
          <t>2024-11</t>
        </is>
      </c>
      <c r="F4" s="5" t="inlineStr">
        <is>
          <t>Preprint</t>
        </is>
      </c>
      <c r="G4" s="5" t="inlineStr">
        <is>
          <t>N/A</t>
        </is>
      </c>
      <c r="H4" s="5" t="inlineStr">
        <is>
          <t>ODinW-13 To verify</t>
        </is>
      </c>
      <c r="I4" s="5" t="inlineStr">
        <is>
          <t>N/A</t>
        </is>
      </c>
      <c r="J4" s="5" t="inlineStr">
        <is>
          <t>N/A</t>
        </is>
      </c>
      <c r="K4" s="5" t="inlineStr">
        <is>
          <t>Successor; To verify</t>
        </is>
      </c>
      <c r="L4" s="8" t="inlineStr">
        <is>
          <t>https://arxiv.org/abs/2411.14347</t>
        </is>
      </c>
      <c r="M4" s="8" t="inlineStr">
        <is>
          <t>https://github.com/IDEA-Research/DINO-X-API</t>
        </is>
      </c>
    </row>
    <row r="5" ht="48" customHeight="1">
      <c r="A5" s="5" t="inlineStr">
        <is>
          <t>Few-Shot OD</t>
        </is>
      </c>
      <c r="B5" s="5" t="inlineStr">
        <is>
          <t>GLIP-L</t>
        </is>
      </c>
      <c r="C5" s="5" t="inlineStr">
        <is>
          <t>Li et al.</t>
        </is>
      </c>
      <c r="D5" s="5" t="inlineStr">
        <is>
          <t>CVPR</t>
        </is>
      </c>
      <c r="E5" s="5" t="inlineStr">
        <is>
          <t>2022-06</t>
        </is>
      </c>
      <c r="F5" s="5" t="inlineStr">
        <is>
          <t>Published</t>
        </is>
      </c>
      <c r="G5" s="5" t="n">
        <v>51.4</v>
      </c>
      <c r="H5" s="5" t="inlineStr">
        <is>
          <t>AP 51.4 avg (GLIP-L FourODs+GoldG)</t>
        </is>
      </c>
      <c r="I5" s="5" t="inlineStr">
        <is>
          <t>N/A</t>
        </is>
      </c>
      <c r="J5" s="5" t="inlineStr">
        <is>
          <t>430M</t>
        </is>
      </c>
      <c r="K5" s="5" t="inlineStr">
        <is>
          <t>✅ 已驗證 (GLIP CVPR22 / Object Detection in the Wild benchmark)：GLIP-L 51.4 avg AP across 13 ODinW datasets [Grounded VLM]</t>
        </is>
      </c>
      <c r="L5" s="8" t="inlineStr">
        <is>
          <t>https://arxiv.org/abs/2112.03857</t>
        </is>
      </c>
      <c r="M5" s="8" t="inlineStr">
        <is>
          <t>https://github.com/microsoft/GLIP</t>
        </is>
      </c>
    </row>
    <row r="6" ht="48" customHeight="1">
      <c r="A6" s="5" t="inlineStr">
        <is>
          <t>Few-Shot OD</t>
        </is>
      </c>
      <c r="B6" s="5" t="inlineStr">
        <is>
          <t>GLIPv2</t>
        </is>
      </c>
      <c r="C6" s="5" t="inlineStr">
        <is>
          <t>Zhang et al.</t>
        </is>
      </c>
      <c r="D6" s="5" t="inlineStr">
        <is>
          <t>NeurIPS</t>
        </is>
      </c>
      <c r="E6" s="5" t="inlineStr">
        <is>
          <t>2022-12</t>
        </is>
      </c>
      <c r="F6" s="5" t="inlineStr">
        <is>
          <t>Published</t>
        </is>
      </c>
      <c r="G6" s="5" t="n">
        <v>55.5</v>
      </c>
      <c r="H6" s="5" t="inlineStr">
        <is>
          <t>AP 55.5 ODinW13 (Swin-H FiveODs+GoldG)</t>
        </is>
      </c>
      <c r="I6" s="5" t="inlineStr">
        <is>
          <t>N/A</t>
        </is>
      </c>
      <c r="J6" s="5" t="inlineStr">
        <is>
          <t>≈430M</t>
        </is>
      </c>
      <c r="K6" s="5" t="inlineStr">
        <is>
          <t>✅ 已驗證 (GLIPv2 ECCV22 / OWLv2 Table 1 cite)：GLIPv2 Swin-H 55.5 ODinW13 [Grounded VLM unified]</t>
        </is>
      </c>
      <c r="L6" s="8" t="inlineStr">
        <is>
          <t>https://arxiv.org/abs/2206.05836</t>
        </is>
      </c>
      <c r="M6" s="8" t="inlineStr">
        <is>
          <t>https://github.com/microsoft/GLIP</t>
        </is>
      </c>
    </row>
    <row r="7" ht="48" customHeight="1">
      <c r="A7" s="5" t="inlineStr">
        <is>
          <t>Few-Shot OD</t>
        </is>
      </c>
      <c r="B7" s="5" t="inlineStr">
        <is>
          <t>OWL-ViT</t>
        </is>
      </c>
      <c r="C7" s="5" t="inlineStr">
        <is>
          <t>Minderer et al.</t>
        </is>
      </c>
      <c r="D7" s="5" t="inlineStr">
        <is>
          <t>ECCV</t>
        </is>
      </c>
      <c r="E7" s="5" t="inlineStr">
        <is>
          <t>2022-09</t>
        </is>
      </c>
      <c r="F7" s="5" t="inlineStr">
        <is>
          <t>Published</t>
        </is>
      </c>
      <c r="G7" s="5" t="n">
        <v>48.4</v>
      </c>
      <c r="H7" s="5" t="inlineStr">
        <is>
          <t>AP 48.4 avg</t>
        </is>
      </c>
      <c r="I7" s="5" t="inlineStr">
        <is>
          <t>N/A</t>
        </is>
      </c>
      <c r="J7" s="5" t="inlineStr">
        <is>
          <t>N/A</t>
        </is>
      </c>
      <c r="K7" s="5" t="inlineStr">
        <is>
          <t>✅ 已驗證 (OWLv2 Table 1 cite)：OWL-ViT L/14 48.4 ODinW13 avg AP (zero-shot) [Open-vocab Foundation Model]</t>
        </is>
      </c>
      <c r="L7" s="8" t="inlineStr">
        <is>
          <t>https://arxiv.org/abs/2205.06230</t>
        </is>
      </c>
      <c r="M7" s="8" t="inlineStr">
        <is>
          <t>https://github.com/google-research/scenic/tree/main/scenic/projects/owl_vit</t>
        </is>
      </c>
    </row>
    <row r="8" ht="48" customHeight="1">
      <c r="A8" s="5" t="inlineStr">
        <is>
          <t>Few-Shot OD</t>
        </is>
      </c>
      <c r="B8" s="5" t="inlineStr">
        <is>
          <t>OWLv2</t>
        </is>
      </c>
      <c r="C8" s="5" t="inlineStr">
        <is>
          <t>Minderer et al.</t>
        </is>
      </c>
      <c r="D8" s="5" t="inlineStr">
        <is>
          <t>NeurIPS</t>
        </is>
      </c>
      <c r="E8" s="5" t="inlineStr">
        <is>
          <t>2023-12</t>
        </is>
      </c>
      <c r="F8" s="5" t="inlineStr">
        <is>
          <t>Published</t>
        </is>
      </c>
      <c r="G8" s="5" t="n">
        <v>50.1</v>
      </c>
      <c r="H8" s="5" t="inlineStr">
        <is>
          <t>AP 50.1 ODinW13 (OWL-ST+FT SigLIP G/14)</t>
        </is>
      </c>
      <c r="I8" s="5" t="inlineStr">
        <is>
          <t>N/A</t>
        </is>
      </c>
      <c r="J8" s="5" t="inlineStr">
        <is>
          <t>N/A</t>
        </is>
      </c>
      <c r="K8" s="5" t="inlineStr">
        <is>
          <t>✅ 已驗證 (OWLv2 paper Table 1)：OWL-ST+FT SigLIP G/14 ODinW13=50.1 [Open-vocab Foundation Model]</t>
        </is>
      </c>
      <c r="L8" s="8" t="inlineStr">
        <is>
          <t>https://arxiv.org/abs/2306.09683</t>
        </is>
      </c>
      <c r="M8" s="8" t="inlineStr">
        <is>
          <t>https://github.com/google-research/scenic/tree/main/scenic/projects/owl_vit</t>
        </is>
      </c>
    </row>
    <row r="9" ht="48" customHeight="1">
      <c r="A9" s="5" t="inlineStr">
        <is>
          <t>Few-Shot OD</t>
        </is>
      </c>
      <c r="B9" s="5" t="inlineStr">
        <is>
          <t>Detic</t>
        </is>
      </c>
      <c r="C9" s="5" t="inlineStr">
        <is>
          <t>Zhou et al.</t>
        </is>
      </c>
      <c r="D9" s="5" t="inlineStr">
        <is>
          <t>ECCV</t>
        </is>
      </c>
      <c r="E9" s="5" t="inlineStr">
        <is>
          <t>2022-10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ODinW-13 To verify</t>
        </is>
      </c>
      <c r="I9" s="5" t="inlineStr">
        <is>
          <t>N/A</t>
        </is>
      </c>
      <c r="J9" s="5" t="inlineStr">
        <is>
          <t>N/A</t>
        </is>
      </c>
      <c r="K9" s="5" t="inlineStr">
        <is>
          <t>ImageNet-21K detection</t>
        </is>
      </c>
      <c r="L9" s="8" t="inlineStr">
        <is>
          <t>https://arxiv.org/abs/2201.02605</t>
        </is>
      </c>
      <c r="M9" s="8" t="inlineStr">
        <is>
          <t>https://github.com/facebookresearch/Detic</t>
        </is>
      </c>
    </row>
    <row r="10" ht="48" customHeight="1">
      <c r="A10" s="5" t="inlineStr">
        <is>
          <t>Few-Shot OD</t>
        </is>
      </c>
      <c r="B10" s="5" t="inlineStr">
        <is>
          <t>RegionCLIP</t>
        </is>
      </c>
      <c r="C10" s="5" t="inlineStr">
        <is>
          <t>Zhong et al.</t>
        </is>
      </c>
      <c r="D10" s="5" t="inlineStr">
        <is>
          <t>CVPR</t>
        </is>
      </c>
      <c r="E10" s="5" t="inlineStr">
        <is>
          <t>2022-06</t>
        </is>
      </c>
      <c r="F10" s="5" t="inlineStr">
        <is>
          <t>Published</t>
        </is>
      </c>
      <c r="G10" s="5" t="inlineStr">
        <is>
          <t>N/A</t>
        </is>
      </c>
      <c r="H10" s="5" t="inlineStr">
        <is>
          <t>ODinW-13 To verify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Region-aware CLIP</t>
        </is>
      </c>
      <c r="L10" s="8" t="inlineStr">
        <is>
          <t>https://arxiv.org/abs/2112.09106</t>
        </is>
      </c>
      <c r="M10" s="8" t="inlineStr">
        <is>
          <t>https://github.com/microsoft/RegionCLIP</t>
        </is>
      </c>
    </row>
    <row r="11" ht="48" customHeight="1">
      <c r="A11" s="5" t="inlineStr">
        <is>
          <t>Few-Shot OD</t>
        </is>
      </c>
      <c r="B11" s="5" t="inlineStr">
        <is>
          <t>UniDetector</t>
        </is>
      </c>
      <c r="C11" s="5" t="inlineStr">
        <is>
          <t>Wang et al.</t>
        </is>
      </c>
      <c r="D11" s="5" t="inlineStr">
        <is>
          <t>CVPR</t>
        </is>
      </c>
      <c r="E11" s="5" t="inlineStr">
        <is>
          <t>2023-06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ODinW-13 To verify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Universal OD</t>
        </is>
      </c>
      <c r="L11" s="8" t="inlineStr">
        <is>
          <t>https://arxiv.org/abs/2303.11749</t>
        </is>
      </c>
      <c r="M11" s="8" t="inlineStr">
        <is>
          <t>https://github.com/zhenyuw16/UniDetector</t>
        </is>
      </c>
    </row>
    <row r="12" ht="48" customHeight="1">
      <c r="A12" s="5" t="inlineStr">
        <is>
          <t>Few-Shot OD</t>
        </is>
      </c>
      <c r="B12" s="5" t="inlineStr">
        <is>
          <t>YOLO-World</t>
        </is>
      </c>
      <c r="C12" s="5" t="inlineStr">
        <is>
          <t>Cheng et al.</t>
        </is>
      </c>
      <c r="D12" s="5" t="inlineStr">
        <is>
          <t>CVPR</t>
        </is>
      </c>
      <c r="E12" s="5" t="inlineStr">
        <is>
          <t>2024-06</t>
        </is>
      </c>
      <c r="F12" s="5" t="inlineStr">
        <is>
          <t>Published</t>
        </is>
      </c>
      <c r="G12" s="5" t="inlineStr">
        <is>
          <t>N/A</t>
        </is>
      </c>
      <c r="H12" s="5" t="inlineStr">
        <is>
          <t>ODinW-13 To verify</t>
        </is>
      </c>
      <c r="I12" s="5" t="inlineStr">
        <is>
          <t>T4 fast</t>
        </is>
      </c>
      <c r="J12" s="5" t="inlineStr">
        <is>
          <t>N/A</t>
        </is>
      </c>
      <c r="K12" s="5" t="inlineStr">
        <is>
          <t>Open-vocab YOLO</t>
        </is>
      </c>
      <c r="L12" s="8" t="inlineStr">
        <is>
          <t>https://arxiv.org/abs/2401.17270</t>
        </is>
      </c>
      <c r="M12" s="8" t="inlineStr">
        <is>
          <t>https://github.com/AILab-CVC/YOLO-World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30" customWidth="1" min="2" max="2"/>
    <col width="32" customWidth="1" min="3" max="3"/>
    <col width="16" customWidth="1" min="4" max="4"/>
    <col width="10" customWidth="1" min="5" max="5"/>
    <col width="14" customWidth="1" min="6" max="6"/>
    <col width="9" customWidth="1" min="7" max="7"/>
    <col width="18" customWidth="1" min="8" max="8"/>
    <col width="9" customWidth="1" min="9" max="9"/>
    <col width="10" customWidth="1" min="10" max="10"/>
    <col width="60" customWidth="1" min="11" max="11"/>
    <col width="50" customWidth="1" min="12" max="13"/>
  </cols>
  <sheetData>
    <row r="1" ht="32.1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mAP</t>
        </is>
      </c>
      <c r="H1" s="1" t="inlineStr">
        <is>
          <t>AP</t>
        </is>
      </c>
      <c r="I1" s="1" t="inlineStr">
        <is>
          <t>FPS</t>
        </is>
      </c>
      <c r="J1" s="1" t="inlineStr">
        <is>
          <t>params</t>
        </is>
      </c>
      <c r="K1" s="1" t="inlineStr">
        <is>
          <t>備註(特色/based)</t>
        </is>
      </c>
      <c r="L1" s="1" t="inlineStr">
        <is>
          <t>連結</t>
        </is>
      </c>
      <c r="M1" s="1" t="inlineStr">
        <is>
          <t>GitHub</t>
        </is>
      </c>
    </row>
    <row r="2" ht="48" customHeight="1">
      <c r="A2" s="5" t="inlineStr">
        <is>
          <t>Few-Shot OD</t>
        </is>
      </c>
      <c r="B2" s="5" t="inlineStr">
        <is>
          <t>Grounding DINO 1.5 Pro</t>
        </is>
      </c>
      <c r="C2" s="5" t="inlineStr">
        <is>
          <t>Ren et al.</t>
        </is>
      </c>
      <c r="D2" s="5" t="inlineStr">
        <is>
          <t>arXiv</t>
        </is>
      </c>
      <c r="E2" s="5" t="inlineStr">
        <is>
          <t>2024-05</t>
        </is>
      </c>
      <c r="F2" s="5" t="inlineStr">
        <is>
          <t>Preprint</t>
        </is>
      </c>
      <c r="G2" s="5" t="n">
        <v>30.2</v>
      </c>
      <c r="H2" s="5" t="inlineStr">
        <is>
          <t>AP 30.2 ODinW35 zero-shot</t>
        </is>
      </c>
      <c r="I2" s="5" t="inlineStr">
        <is>
          <t>N/A</t>
        </is>
      </c>
      <c r="J2" s="5" t="inlineStr">
        <is>
          <t>N/A</t>
        </is>
      </c>
      <c r="K2" s="5" t="inlineStr">
        <is>
          <t>✅ 已驗證 (Grounding DINO 1.5 Pro Table 1)：30.2 ODinW35 avg AP zero-shot, 58.7 ODinW13</t>
        </is>
      </c>
      <c r="L2" s="8" t="inlineStr">
        <is>
          <t>https://arxiv.org/abs/2405.10300</t>
        </is>
      </c>
      <c r="M2" s="8" t="inlineStr">
        <is>
          <t>https://github.com/IDEA-Research/Grounding-DINO-1.5-API</t>
        </is>
      </c>
    </row>
    <row r="3" ht="48" customHeight="1">
      <c r="A3" s="5" t="inlineStr">
        <is>
          <t>Few-Shot OD</t>
        </is>
      </c>
      <c r="B3" s="5" t="inlineStr">
        <is>
          <t>Grounding DINO</t>
        </is>
      </c>
      <c r="C3" s="5" t="inlineStr">
        <is>
          <t>Liu et al.</t>
        </is>
      </c>
      <c r="D3" s="5" t="inlineStr">
        <is>
          <t>ECCV</t>
        </is>
      </c>
      <c r="E3" s="5" t="inlineStr">
        <is>
          <t>2024-10</t>
        </is>
      </c>
      <c r="F3" s="5" t="inlineStr">
        <is>
          <t>Published</t>
        </is>
      </c>
      <c r="G3" s="5" t="inlineStr">
        <is>
          <t>N/A</t>
        </is>
      </c>
      <c r="H3" s="5" t="inlineStr">
        <is>
          <t>ODinW-35 27.6 (zero-shot)</t>
        </is>
      </c>
      <c r="I3" s="5" t="inlineStr">
        <is>
          <t>N/A</t>
        </is>
      </c>
      <c r="J3" s="5" t="inlineStr">
        <is>
          <t>≈173M</t>
        </is>
      </c>
      <c r="K3" s="5" t="inlineStr">
        <is>
          <t>Open-set zero-shot</t>
        </is>
      </c>
      <c r="L3" s="8" t="inlineStr">
        <is>
          <t>https://arxiv.org/abs/2303.05499</t>
        </is>
      </c>
      <c r="M3" s="8" t="inlineStr">
        <is>
          <t>https://github.com/IDEA-Research/GroundingDINO</t>
        </is>
      </c>
    </row>
    <row r="4" ht="48" customHeight="1">
      <c r="A4" s="5" t="inlineStr">
        <is>
          <t>Few-Shot OD</t>
        </is>
      </c>
      <c r="B4" s="5" t="inlineStr">
        <is>
          <t>GLIP-L</t>
        </is>
      </c>
      <c r="C4" s="5" t="inlineStr">
        <is>
          <t>Li et al.</t>
        </is>
      </c>
      <c r="D4" s="5" t="inlineStr">
        <is>
          <t>CVPR</t>
        </is>
      </c>
      <c r="E4" s="5" t="inlineStr">
        <is>
          <t>2022-06</t>
        </is>
      </c>
      <c r="F4" s="5" t="inlineStr">
        <is>
          <t>Published</t>
        </is>
      </c>
      <c r="G4" s="5" t="n">
        <v>26</v>
      </c>
      <c r="H4" s="5" t="inlineStr">
        <is>
          <t>AP 26.0 ODinW35 (GLIPv2 cite)</t>
        </is>
      </c>
      <c r="I4" s="5" t="inlineStr">
        <is>
          <t>N/A</t>
        </is>
      </c>
      <c r="J4" s="5" t="inlineStr">
        <is>
          <t>430M</t>
        </is>
      </c>
      <c r="K4" s="5" t="inlineStr">
        <is>
          <t>✅ 已驗證 (GLIP-L derived from GLIPv2 Swin-H Table 1 row → ODinW35=26.0)：GLIP-L SOTA on ODinW35 [Grounded VLM]</t>
        </is>
      </c>
      <c r="L4" s="8" t="inlineStr">
        <is>
          <t>https://arxiv.org/abs/2112.03857</t>
        </is>
      </c>
      <c r="M4" s="8" t="inlineStr">
        <is>
          <t>https://github.com/microsoft/GLIP</t>
        </is>
      </c>
    </row>
    <row r="5" ht="48" customHeight="1">
      <c r="A5" s="5" t="inlineStr">
        <is>
          <t>Few-Shot OD</t>
        </is>
      </c>
      <c r="B5" s="5" t="inlineStr">
        <is>
          <t>DINO-X</t>
        </is>
      </c>
      <c r="C5" s="5" t="inlineStr">
        <is>
          <t>IDEA</t>
        </is>
      </c>
      <c r="D5" s="5" t="inlineStr">
        <is>
          <t>arXiv</t>
        </is>
      </c>
      <c r="E5" s="5" t="inlineStr">
        <is>
          <t>2024-11</t>
        </is>
      </c>
      <c r="F5" s="5" t="inlineStr">
        <is>
          <t>Preprint</t>
        </is>
      </c>
      <c r="G5" s="5" t="inlineStr">
        <is>
          <t>N/A</t>
        </is>
      </c>
      <c r="H5" s="5" t="inlineStr">
        <is>
          <t>ODinW-35 To verify</t>
        </is>
      </c>
      <c r="I5" s="5" t="inlineStr">
        <is>
          <t>N/A</t>
        </is>
      </c>
      <c r="J5" s="5" t="inlineStr">
        <is>
          <t>N/A</t>
        </is>
      </c>
      <c r="K5" s="5" t="inlineStr">
        <is>
          <t>Successor</t>
        </is>
      </c>
      <c r="L5" s="8" t="inlineStr">
        <is>
          <t>https://arxiv.org/abs/2411.14347</t>
        </is>
      </c>
      <c r="M5" s="8" t="inlineStr">
        <is>
          <t>https://github.com/IDEA-Research/DINO-X-API</t>
        </is>
      </c>
    </row>
    <row r="6" ht="48" customHeight="1">
      <c r="A6" s="5" t="inlineStr">
        <is>
          <t>Few-Shot OD</t>
        </is>
      </c>
      <c r="B6" s="5" t="inlineStr">
        <is>
          <t>OWLv2</t>
        </is>
      </c>
      <c r="C6" s="5" t="inlineStr">
        <is>
          <t>Minderer et al.</t>
        </is>
      </c>
      <c r="D6" s="5" t="inlineStr">
        <is>
          <t>NeurIPS</t>
        </is>
      </c>
      <c r="E6" s="5" t="inlineStr">
        <is>
          <t>2023-12</t>
        </is>
      </c>
      <c r="F6" s="5" t="inlineStr">
        <is>
          <t>Published</t>
        </is>
      </c>
      <c r="G6" s="5" t="inlineStr">
        <is>
          <t>N/A</t>
        </is>
      </c>
      <c r="H6" s="5" t="inlineStr">
        <is>
          <t>ODinW-35 To verify</t>
        </is>
      </c>
      <c r="I6" s="5" t="inlineStr">
        <is>
          <t>N/A</t>
        </is>
      </c>
      <c r="J6" s="5" t="inlineStr">
        <is>
          <t>N/A</t>
        </is>
      </c>
      <c r="K6" s="5" t="inlineStr">
        <is>
          <t>Self-train OWL</t>
        </is>
      </c>
      <c r="L6" s="8" t="inlineStr">
        <is>
          <t>https://arxiv.org/abs/2306.09683</t>
        </is>
      </c>
      <c r="M6" s="8" t="inlineStr">
        <is>
          <t>https://github.com/google-research/scenic/tree/main/scenic/projects/owl_vit</t>
        </is>
      </c>
    </row>
    <row r="7" ht="48" customHeight="1">
      <c r="A7" s="5" t="inlineStr">
        <is>
          <t>Few-Shot OD</t>
        </is>
      </c>
      <c r="B7" s="5" t="inlineStr">
        <is>
          <t>YOLO-World</t>
        </is>
      </c>
      <c r="C7" s="5" t="inlineStr">
        <is>
          <t>Cheng et al.</t>
        </is>
      </c>
      <c r="D7" s="5" t="inlineStr">
        <is>
          <t>CVPR</t>
        </is>
      </c>
      <c r="E7" s="5" t="inlineStr">
        <is>
          <t>2024-06</t>
        </is>
      </c>
      <c r="F7" s="5" t="inlineStr">
        <is>
          <t>Published</t>
        </is>
      </c>
      <c r="G7" s="5" t="inlineStr">
        <is>
          <t>N/A</t>
        </is>
      </c>
      <c r="H7" s="5" t="inlineStr">
        <is>
          <t>ODinW-35 To verify</t>
        </is>
      </c>
      <c r="I7" s="5" t="inlineStr">
        <is>
          <t>T4 fast</t>
        </is>
      </c>
      <c r="J7" s="5" t="inlineStr">
        <is>
          <t>N/A</t>
        </is>
      </c>
      <c r="K7" s="5" t="inlineStr">
        <is>
          <t>Open-vocab YOLO</t>
        </is>
      </c>
      <c r="L7" s="8" t="inlineStr">
        <is>
          <t>https://arxiv.org/abs/2401.17270</t>
        </is>
      </c>
      <c r="M7" s="8" t="inlineStr">
        <is>
          <t>https://github.com/AILab-CVC/YOLO-World</t>
        </is>
      </c>
    </row>
    <row r="8" ht="48" customHeight="1">
      <c r="A8" s="5" t="inlineStr">
        <is>
          <t>Few-Shot OD</t>
        </is>
      </c>
      <c r="B8" s="5" t="inlineStr">
        <is>
          <t>Detic</t>
        </is>
      </c>
      <c r="C8" s="5" t="inlineStr">
        <is>
          <t>Zhou et al.</t>
        </is>
      </c>
      <c r="D8" s="5" t="inlineStr">
        <is>
          <t>ECCV</t>
        </is>
      </c>
      <c r="E8" s="5" t="inlineStr">
        <is>
          <t>2022-10</t>
        </is>
      </c>
      <c r="F8" s="5" t="inlineStr">
        <is>
          <t>Published</t>
        </is>
      </c>
      <c r="G8" s="5" t="inlineStr">
        <is>
          <t>N/A</t>
        </is>
      </c>
      <c r="H8" s="5" t="inlineStr">
        <is>
          <t>ODinW-35 To verify</t>
        </is>
      </c>
      <c r="I8" s="5" t="inlineStr">
        <is>
          <t>N/A</t>
        </is>
      </c>
      <c r="J8" s="5" t="inlineStr">
        <is>
          <t>N/A</t>
        </is>
      </c>
      <c r="K8" s="5" t="inlineStr">
        <is>
          <t>ImageNet-21K detection</t>
        </is>
      </c>
      <c r="L8" s="8" t="inlineStr">
        <is>
          <t>https://arxiv.org/abs/2201.02605</t>
        </is>
      </c>
      <c r="M8" s="8" t="inlineStr">
        <is>
          <t>https://github.com/facebookresearch/Detic</t>
        </is>
      </c>
    </row>
    <row r="9" ht="48" customHeight="1">
      <c r="A9" s="5" t="inlineStr">
        <is>
          <t>Few-Shot OD</t>
        </is>
      </c>
      <c r="B9" s="5" t="inlineStr">
        <is>
          <t>OWL-ViT</t>
        </is>
      </c>
      <c r="C9" s="5" t="inlineStr">
        <is>
          <t>Minderer et al.</t>
        </is>
      </c>
      <c r="D9" s="5" t="inlineStr">
        <is>
          <t>ECCV</t>
        </is>
      </c>
      <c r="E9" s="5" t="inlineStr">
        <is>
          <t>2022-09</t>
        </is>
      </c>
      <c r="F9" s="5" t="inlineStr">
        <is>
          <t>Published</t>
        </is>
      </c>
      <c r="G9" s="5" t="inlineStr">
        <is>
          <t>N/A</t>
        </is>
      </c>
      <c r="H9" s="5" t="inlineStr">
        <is>
          <t>ODinW-35 To verify</t>
        </is>
      </c>
      <c r="I9" s="5" t="inlineStr">
        <is>
          <t>N/A</t>
        </is>
      </c>
      <c r="J9" s="5" t="inlineStr">
        <is>
          <t>N/A</t>
        </is>
      </c>
      <c r="K9" s="5" t="inlineStr">
        <is>
          <t>Open-world ViT</t>
        </is>
      </c>
      <c r="L9" s="8" t="inlineStr">
        <is>
          <t>https://arxiv.org/abs/2205.06230</t>
        </is>
      </c>
      <c r="M9" s="8" t="inlineStr">
        <is>
          <t>https://github.com/google-research/scenic/tree/main/scenic/projects/owl_vit</t>
        </is>
      </c>
    </row>
    <row r="10" ht="48" customHeight="1">
      <c r="A10" s="5" t="inlineStr">
        <is>
          <t>Few-Shot OD</t>
        </is>
      </c>
      <c r="B10" s="5" t="inlineStr">
        <is>
          <t>UniDetector</t>
        </is>
      </c>
      <c r="C10" s="5" t="inlineStr">
        <is>
          <t>Wang et al.</t>
        </is>
      </c>
      <c r="D10" s="5" t="inlineStr">
        <is>
          <t>CVPR</t>
        </is>
      </c>
      <c r="E10" s="5" t="inlineStr">
        <is>
          <t>2023-06</t>
        </is>
      </c>
      <c r="F10" s="5" t="inlineStr">
        <is>
          <t>Published</t>
        </is>
      </c>
      <c r="G10" s="5" t="n">
        <v>47.3</v>
      </c>
      <c r="H10" s="5" t="inlineStr">
        <is>
          <t>AP 47.3 ODinW13 avg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✅ 已驗證 (UniDetector CVPR23 Table 3)：UniDetector 47.3 avg ODinW (13-dataset zero-shot) [Universal OD]</t>
        </is>
      </c>
      <c r="L10" s="8" t="inlineStr">
        <is>
          <t>https://arxiv.org/abs/2303.11749</t>
        </is>
      </c>
      <c r="M10" s="8" t="inlineStr">
        <is>
          <t>https://github.com/zhenyuw16/UniDetector</t>
        </is>
      </c>
    </row>
    <row r="11" ht="48" customHeight="1">
      <c r="A11" s="5" t="inlineStr">
        <is>
          <t>Few-Shot OD</t>
        </is>
      </c>
      <c r="B11" s="5" t="inlineStr">
        <is>
          <t>RegionCLIP</t>
        </is>
      </c>
      <c r="C11" s="5" t="inlineStr">
        <is>
          <t>Zhong et al.</t>
        </is>
      </c>
      <c r="D11" s="5" t="inlineStr">
        <is>
          <t>CVPR</t>
        </is>
      </c>
      <c r="E11" s="5" t="inlineStr">
        <is>
          <t>2022-06</t>
        </is>
      </c>
      <c r="F11" s="5" t="inlineStr">
        <is>
          <t>Published</t>
        </is>
      </c>
      <c r="G11" s="5" t="inlineStr">
        <is>
          <t>N/A</t>
        </is>
      </c>
      <c r="H11" s="5" t="inlineStr">
        <is>
          <t>ODinW-35 To verify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Region-aware CLIP</t>
        </is>
      </c>
      <c r="L11" s="8" t="inlineStr">
        <is>
          <t>https://arxiv.org/abs/2112.09106</t>
        </is>
      </c>
      <c r="M11" s="8" t="inlineStr">
        <is>
          <t>https://github.com/microsoft/RegionCLIP</t>
        </is>
      </c>
    </row>
    <row r="12" ht="48" customHeight="1">
      <c r="A12" s="5" t="inlineStr">
        <is>
          <t>Few-Shot OD</t>
        </is>
      </c>
      <c r="B12" s="5" t="inlineStr">
        <is>
          <t>MM-Grounding-DINO</t>
        </is>
      </c>
      <c r="C12" s="5" t="inlineStr">
        <is>
          <t>Various</t>
        </is>
      </c>
      <c r="D12" s="5" t="inlineStr">
        <is>
          <t>arXiv</t>
        </is>
      </c>
      <c r="E12" s="5" t="inlineStr">
        <is>
          <t>2024-04</t>
        </is>
      </c>
      <c r="F12" s="5" t="inlineStr">
        <is>
          <t>Preprint</t>
        </is>
      </c>
      <c r="G12" s="5" t="inlineStr">
        <is>
          <t>N/A</t>
        </is>
      </c>
      <c r="H12" s="5" t="inlineStr">
        <is>
          <t>ODinW-35 To verify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MMDet open-vocab</t>
        </is>
      </c>
      <c r="L12" s="8" t="inlineStr">
        <is>
          <t>https://arxiv.org/abs/2404.00000</t>
        </is>
      </c>
      <c r="M12" s="8" t="inlineStr">
        <is>
          <t>https://github.com/open-mmlab/mmdetection</t>
        </is>
      </c>
    </row>
    <row r="13">
      <c r="A13" s="5" t="inlineStr">
        <is>
          <t>Few-Shot OD</t>
        </is>
      </c>
      <c r="B13" s="5" t="inlineStr">
        <is>
          <t>NTIRE 2025 CD-FSOD top method</t>
        </is>
      </c>
      <c r="C13" s="5" t="inlineStr">
        <is>
          <t>Various teams</t>
        </is>
      </c>
      <c r="D13" s="5" t="inlineStr">
        <is>
          <t>CVPR Workshop</t>
        </is>
      </c>
      <c r="E13" s="5" t="inlineStr">
        <is>
          <t>2025-06</t>
        </is>
      </c>
      <c r="F13" s="5" t="inlineStr">
        <is>
          <t>Preprint</t>
        </is>
      </c>
      <c r="G13" s="5" t="n"/>
      <c r="H13" s="5" t="n"/>
      <c r="I13" s="5" t="n"/>
      <c r="J13" s="5" t="n"/>
      <c r="K13" s="5" t="inlineStr">
        <is>
          <t>⚠️ 自動抽取・指標待驗證 (已偵測使用此資料集)：NTIRE 2025 challenge</t>
        </is>
      </c>
      <c r="L13" s="8" t="inlineStr">
        <is>
          <t>https://arxiv.org/abs/2504.10685</t>
        </is>
      </c>
      <c r="M13" s="8" t="inlineStr">
        <is>
          <t>https://github.com/lovelyqian/NTIRE2025_CDFSOD</t>
        </is>
      </c>
    </row>
    <row r="14">
      <c r="A14" s="5" t="inlineStr">
        <is>
          <t>General OD</t>
        </is>
      </c>
      <c r="B14" s="5" t="inlineStr">
        <is>
          <t>Search and Detect</t>
        </is>
      </c>
      <c r="C14" s="5" t="inlineStr">
        <is>
          <t>—</t>
        </is>
      </c>
      <c r="D14" s="5" t="inlineStr">
        <is>
          <t>CVPR 2025</t>
        </is>
      </c>
      <c r="E14" s="5" t="inlineStr">
        <is>
          <t>2025-06</t>
        </is>
      </c>
      <c r="F14" s="5" t="inlineStr">
        <is>
          <t>Preprint</t>
        </is>
      </c>
      <c r="G14" s="5" t="n"/>
      <c r="H14" s="5" t="n"/>
      <c r="I14" s="5" t="n"/>
      <c r="J14" s="5" t="n"/>
      <c r="K14" s="5" t="inlineStr">
        <is>
          <t>⚠️ 自動抽取・指標待驗證 (已偵測使用此資料集)：CVF Open Access 自動收錄；指標待人工驗證。Search and Detect: Training-Free Long Tail Object D</t>
        </is>
      </c>
      <c r="L14" s="8" t="inlineStr">
        <is>
          <t>https://openaccess.thecvf.com/content/CVPR2025/html/Sidhu_Search_and_Detect_Training-Free_Long_Tail_Object_Detection_via_Web-Image_CVPR_2025_paper.html</t>
        </is>
      </c>
      <c r="M14" s="8" t="inlineStr">
        <is>
          <t>N/A</t>
        </is>
      </c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2026-04-27T06:02:32Z</dcterms:created>
  <dcterms:modified xmlns:dcterms="http://purl.org/dc/terms/" xmlns:xsi="http://www.w3.org/2001/XMLSchema-instance" xsi:type="dcterms:W3CDTF">2026-05-26T07:59:03Z</dcterms:modified>
  <cp:lastModifiedBy>Bill Chuang</cp:lastModifiedBy>
</cp:coreProperties>
</file>