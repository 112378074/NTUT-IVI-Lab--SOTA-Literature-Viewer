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6" yWindow="-96" windowWidth="30912" windowHeight="16752" tabRatio="923" firstSheet="0" activeTab="1" autoFilterDateGrouping="1"/>
  </bookViews>
  <sheets>
    <sheet xmlns:r="http://schemas.openxmlformats.org/officeDocument/2006/relationships" name="OD all papers" sheetId="1" state="visible" r:id="rId1"/>
    <sheet xmlns:r="http://schemas.openxmlformats.org/officeDocument/2006/relationships" name="Index" sheetId="2" state="visible" r:id="rId2"/>
    <sheet xmlns:r="http://schemas.openxmlformats.org/officeDocument/2006/relationships" name="COCO test-dev" sheetId="3" state="visible" r:id="rId3"/>
    <sheet xmlns:r="http://schemas.openxmlformats.org/officeDocument/2006/relationships" name="COCO minival" sheetId="4" state="visible" r:id="rId4"/>
    <sheet xmlns:r="http://schemas.openxmlformats.org/officeDocument/2006/relationships" name="COCO 2017 val" sheetId="5" state="visible" r:id="rId5"/>
    <sheet xmlns:r="http://schemas.openxmlformats.org/officeDocument/2006/relationships" name="COCO 2017" sheetId="6" state="visible" r:id="rId6"/>
    <sheet xmlns:r="http://schemas.openxmlformats.org/officeDocument/2006/relationships" name="COCO-O" sheetId="7" state="visible" r:id="rId7"/>
    <sheet xmlns:r="http://schemas.openxmlformats.org/officeDocument/2006/relationships" name="PASCAL VOC 2007" sheetId="8" state="visible" r:id="rId8"/>
    <sheet xmlns:r="http://schemas.openxmlformats.org/officeDocument/2006/relationships" name="CrowdHuman" sheetId="9" state="visible" r:id="rId9"/>
    <sheet xmlns:r="http://schemas.openxmlformats.org/officeDocument/2006/relationships" name="GraZPEDWRI-DX" sheetId="10" state="visible" r:id="rId10"/>
    <sheet xmlns:r="http://schemas.openxmlformats.org/officeDocument/2006/relationships" name="CPPE-5" sheetId="11" state="visible" r:id="rId11"/>
    <sheet xmlns:r="http://schemas.openxmlformats.org/officeDocument/2006/relationships" name="Waymo 2D" sheetId="12" state="visible" r:id="rId12"/>
    <sheet xmlns:r="http://schemas.openxmlformats.org/officeDocument/2006/relationships" name="Argoverse-HD FS Val" sheetId="13" state="visible" r:id="rId13"/>
    <sheet xmlns:r="http://schemas.openxmlformats.org/officeDocument/2006/relationships" name="Argoverse-HD DO Val" sheetId="14" state="visible" r:id="rId14"/>
    <sheet xmlns:r="http://schemas.openxmlformats.org/officeDocument/2006/relationships" name="Argoverse-HD DO Test" sheetId="15" state="visible" r:id="rId15"/>
    <sheet xmlns:r="http://schemas.openxmlformats.org/officeDocument/2006/relationships" name="Argoverse-HD FS Test" sheetId="16" state="visible" r:id="rId16"/>
    <sheet xmlns:r="http://schemas.openxmlformats.org/officeDocument/2006/relationships" name="DUTS-TE" sheetId="17" state="visible" r:id="rId17"/>
    <sheet xmlns:r="http://schemas.openxmlformats.org/officeDocument/2006/relationships" name="DUT-OMRON" sheetId="18" state="visible" r:id="rId18"/>
    <sheet xmlns:r="http://schemas.openxmlformats.org/officeDocument/2006/relationships" name="ECSSD" sheetId="19" state="visible" r:id="rId19"/>
    <sheet xmlns:r="http://schemas.openxmlformats.org/officeDocument/2006/relationships" name="HKU-IS" sheetId="20" state="visible" r:id="rId20"/>
    <sheet xmlns:r="http://schemas.openxmlformats.org/officeDocument/2006/relationships" name="PASCAL-S" sheetId="21" state="visible" r:id="rId21"/>
    <sheet xmlns:r="http://schemas.openxmlformats.org/officeDocument/2006/relationships" name="HRSOD" sheetId="22" state="visible" r:id="rId22"/>
    <sheet xmlns:r="http://schemas.openxmlformats.org/officeDocument/2006/relationships" name="DAVIS-S" sheetId="23" state="visible" r:id="rId23"/>
    <sheet xmlns:r="http://schemas.openxmlformats.org/officeDocument/2006/relationships" name="UHRSD" sheetId="24" state="visible" r:id="rId24"/>
    <sheet xmlns:r="http://schemas.openxmlformats.org/officeDocument/2006/relationships" name="SBU-Refine" sheetId="25" state="visible" r:id="rId25"/>
    <sheet xmlns:r="http://schemas.openxmlformats.org/officeDocument/2006/relationships" name="ISTD" sheetId="26" state="visible" r:id="rId26"/>
    <sheet xmlns:r="http://schemas.openxmlformats.org/officeDocument/2006/relationships" name="CAMO-FS" sheetId="27" state="visible" r:id="rId27"/>
    <sheet xmlns:r="http://schemas.openxmlformats.org/officeDocument/2006/relationships" name="PASCAL VOC 2007 15+5" sheetId="28" state="visible" r:id="rId28"/>
    <sheet xmlns:r="http://schemas.openxmlformats.org/officeDocument/2006/relationships" name="MS-COCO 1-shot" sheetId="29" state="visible" r:id="rId29"/>
    <sheet xmlns:r="http://schemas.openxmlformats.org/officeDocument/2006/relationships" name="MS-COCO 5-shot" sheetId="30" state="visible" r:id="rId30"/>
    <sheet xmlns:r="http://schemas.openxmlformats.org/officeDocument/2006/relationships" name="MS-COCO 10-shot" sheetId="31" state="visible" r:id="rId31"/>
    <sheet xmlns:r="http://schemas.openxmlformats.org/officeDocument/2006/relationships" name="MS-COCO 30-shot" sheetId="32" state="visible" r:id="rId32"/>
    <sheet xmlns:r="http://schemas.openxmlformats.org/officeDocument/2006/relationships" name="COCO 2017 FSOD" sheetId="33" state="visible" r:id="rId33"/>
    <sheet xmlns:r="http://schemas.openxmlformats.org/officeDocument/2006/relationships" name="LVIS v1.0 val" sheetId="34" state="visible" r:id="rId34"/>
    <sheet xmlns:r="http://schemas.openxmlformats.org/officeDocument/2006/relationships" name="LVIS v1.0 test-dev" sheetId="35" state="visible" r:id="rId35"/>
    <sheet xmlns:r="http://schemas.openxmlformats.org/officeDocument/2006/relationships" name="ODinW-13" sheetId="36" state="visible" r:id="rId36"/>
    <sheet xmlns:r="http://schemas.openxmlformats.org/officeDocument/2006/relationships" name="ODinW-35" sheetId="37" state="visible" r:id="rId37"/>
    <sheet xmlns:r="http://schemas.openxmlformats.org/officeDocument/2006/relationships" name="Open-World OD" sheetId="38" state="visible" r:id="rId38"/>
  </sheets>
  <definedNames>
    <definedName name="_xlnm._FilterDatabase" localSheetId="0" hidden="1">'OD all papers'!$A$1:$H$84</definedName>
    <definedName name="_xlnm._FilterDatabase" localSheetId="1" hidden="1">'Index'!$A$1:$E$36</definedName>
    <definedName name="_xlnm._FilterDatabase" localSheetId="2" hidden="1">'COCO test-dev'!$A$1:$M$13</definedName>
    <definedName name="_xlnm._FilterDatabase" localSheetId="3" hidden="1">'COCO minival'!$A$1:$M$12</definedName>
    <definedName name="_xlnm._FilterDatabase" localSheetId="4" hidden="1">'COCO 2017 val'!$A$1:$M$13</definedName>
    <definedName name="_xlnm._FilterDatabase" localSheetId="5" hidden="1">'COCO 2017'!$A$1:$M$13</definedName>
    <definedName name="_xlnm._FilterDatabase" localSheetId="6" hidden="1">'COCO-O'!$A$1:$M$12</definedName>
    <definedName name="_xlnm._FilterDatabase" localSheetId="7" hidden="1">'PASCAL VOC 2007'!$A$1:$M$12</definedName>
    <definedName name="_xlnm._FilterDatabase" localSheetId="8" hidden="1">'CrowdHuman'!$A$1:$M$12</definedName>
    <definedName name="_xlnm._FilterDatabase" localSheetId="9" hidden="1">'GraZPEDWRI-DX'!$A$1:$M$12</definedName>
    <definedName name="_xlnm._FilterDatabase" localSheetId="10" hidden="1">'CPPE-5'!$A$1:$M$12</definedName>
    <definedName name="_xlnm._FilterDatabase" localSheetId="11" hidden="1">'Waymo 2D'!$A$1:$M$12</definedName>
    <definedName name="_xlnm._FilterDatabase" localSheetId="12" hidden="1">'Argoverse-HD FS Val'!$A$1:$M$12</definedName>
    <definedName name="_xlnm._FilterDatabase" localSheetId="13" hidden="1">'Argoverse-HD DO Val'!$A$1:$M$12</definedName>
    <definedName name="_xlnm._FilterDatabase" localSheetId="14" hidden="1">'Argoverse-HD DO Test'!$A$1:$M$12</definedName>
    <definedName name="_xlnm._FilterDatabase" localSheetId="15" hidden="1">'Argoverse-HD FS Test'!$A$1:$M$12</definedName>
    <definedName name="_xlnm._FilterDatabase" localSheetId="16" hidden="1">'DUTS-TE'!$A$1:$M$13</definedName>
    <definedName name="_xlnm._FilterDatabase" localSheetId="17" hidden="1">'DUT-OMRON'!$A$1:$M$13</definedName>
    <definedName name="_xlnm._FilterDatabase" localSheetId="18" hidden="1">'ECSSD'!$A$1:$M$13</definedName>
    <definedName name="_xlnm._FilterDatabase" localSheetId="19" hidden="1">'HKU-IS'!$A$1:$M$13</definedName>
    <definedName name="_xlnm._FilterDatabase" localSheetId="20" hidden="1">'PASCAL-S'!$A$1:$M$13</definedName>
    <definedName name="_xlnm._FilterDatabase" localSheetId="21" hidden="1">'HRSOD'!$A$1:$M$13</definedName>
    <definedName name="_xlnm._FilterDatabase" localSheetId="22" hidden="1">'DAVIS-S'!$A$1:$M$13</definedName>
    <definedName name="_xlnm._FilterDatabase" localSheetId="23" hidden="1">'UHRSD'!$A$1:$M$13</definedName>
    <definedName name="_xlnm._FilterDatabase" localSheetId="24" hidden="1">'SBU-Refine'!$A$1:$M$13</definedName>
    <definedName name="_xlnm._FilterDatabase" localSheetId="25" hidden="1">'ISTD'!$A$1:$M$13</definedName>
    <definedName name="_xlnm._FilterDatabase" localSheetId="26" hidden="1">'CAMO-FS'!$A$1:$M$12</definedName>
    <definedName name="_xlnm._FilterDatabase" localSheetId="27" hidden="1">'PASCAL VOC 2007 15+5'!$A$1:$M$12</definedName>
    <definedName name="_xlnm._FilterDatabase" localSheetId="28" hidden="1">'MS-COCO 1-shot'!$A$1:$M$12</definedName>
    <definedName name="_xlnm._FilterDatabase" localSheetId="29" hidden="1">'MS-COCO 5-shot'!$A$1:$M$12</definedName>
    <definedName name="_xlnm._FilterDatabase" localSheetId="30" hidden="1">'MS-COCO 10-shot'!$A$1:$M$12</definedName>
    <definedName name="_xlnm._FilterDatabase" localSheetId="31" hidden="1">'MS-COCO 30-shot'!$A$1:$M$12</definedName>
    <definedName name="_xlnm._FilterDatabase" localSheetId="32" hidden="1">'COCO 2017 FSOD'!$A$1:$M$12</definedName>
    <definedName name="_xlnm._FilterDatabase" localSheetId="33" hidden="1">'LVIS v1.0 val'!$A$1:$M$12</definedName>
    <definedName name="_xlnm._FilterDatabase" localSheetId="34" hidden="1">'LVIS v1.0 test-dev'!$A$1:$M$12</definedName>
    <definedName name="_xlnm._FilterDatabase" localSheetId="35" hidden="1">'ODinW-13'!$A$1:$M$12</definedName>
    <definedName name="_xlnm._FilterDatabase" localSheetId="36" hidden="1">'ODinW-35'!$A$1:$M$12</definedName>
  </definedNames>
  <calcPr calcId="191029" fullCalcOnLoad="1"/>
</workbook>
</file>

<file path=xl/styles.xml><?xml version="1.0" encoding="utf-8"?>
<styleSheet xmlns="http://schemas.openxmlformats.org/spreadsheetml/2006/main">
  <numFmts count="0"/>
  <fonts count="5">
    <font>
      <name val="新細明體"/>
      <family val="2"/>
      <color theme="1"/>
      <sz val="11"/>
      <scheme val="minor"/>
    </font>
    <font>
      <name val="Arial"/>
      <b val="1"/>
      <color rgb="FFFFFFFF"/>
      <sz val="11"/>
    </font>
    <font>
      <name val="Arial"/>
      <sz val="10"/>
    </font>
    <font>
      <name val="Arial"/>
      <color rgb="FF0563C1"/>
      <sz val="10"/>
      <u val="single"/>
    </font>
    <font>
      <name val="新細明體"/>
      <charset val="136"/>
      <family val="3"/>
      <sz val="9"/>
      <scheme val="minor"/>
    </font>
  </fonts>
  <fills count="7">
    <fill>
      <patternFill/>
    </fill>
    <fill>
      <patternFill patternType="gray125"/>
    </fill>
    <fill>
      <patternFill patternType="solid">
        <fgColor rgb="FF305496"/>
        <bgColor rgb="FF305496"/>
      </patternFill>
    </fill>
    <fill>
      <patternFill patternType="solid">
        <fgColor rgb="FFD9EAF7"/>
        <bgColor rgb="FFD9EAF7"/>
      </patternFill>
    </fill>
    <fill>
      <patternFill patternType="solid">
        <fgColor rgb="FFD9EAD3"/>
        <bgColor rgb="FFD9EAD3"/>
      </patternFill>
    </fill>
    <fill>
      <patternFill patternType="solid">
        <fgColor rgb="FFFCE5CD"/>
        <bgColor rgb="FFFCE5CD"/>
      </patternFill>
    </fill>
    <fill>
      <patternFill patternType="solid">
        <fgColor rgb="FFEADCF8"/>
        <bgColor rgb="FFEADCF8"/>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left" vertical="top" wrapText="1"/>
    </xf>
    <xf numFmtId="0" fontId="2" fillId="4" borderId="1" applyAlignment="1" pivotButton="0" quotePrefix="0" xfId="0">
      <alignment horizontal="left" vertical="top" wrapText="1"/>
    </xf>
    <xf numFmtId="0" fontId="2" fillId="5" borderId="1" applyAlignment="1" pivotButton="0" quotePrefix="0" xfId="0">
      <alignment horizontal="left" vertical="top" wrapText="1"/>
    </xf>
    <xf numFmtId="0" fontId="2" fillId="6" borderId="1" applyAlignment="1" pivotButton="0" quotePrefix="0" xfId="0">
      <alignment horizontal="left" vertical="top" wrapText="1"/>
    </xf>
    <xf numFmtId="0" fontId="3" fillId="4" borderId="1" applyAlignment="1" pivotButton="0" quotePrefix="0" xfId="0">
      <alignment horizontal="left" vertical="top" wrapText="1"/>
    </xf>
    <xf numFmtId="0" fontId="3" fillId="5" borderId="1" applyAlignment="1" pivotButton="0" quotePrefix="0" xfId="0">
      <alignment horizontal="left" vertical="top" wrapText="1"/>
    </xf>
    <xf numFmtId="0" fontId="3" fillId="6" borderId="1" applyAlignment="1" pivotButton="0" quotePrefix="0" xfId="0">
      <alignment horizontal="left" vertical="top" wrapText="1"/>
    </xf>
    <xf numFmtId="0" fontId="3" fillId="3" borderId="1" applyAlignment="1" pivotButton="0" quotePrefix="0" xfId="0">
      <alignment horizontal="left" vertical="top" wrapText="1"/>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rxiv.org/abs/2511.09554" TargetMode="External" Id="rId1"/><Relationship Type="http://schemas.openxmlformats.org/officeDocument/2006/relationships/hyperlink" Target="https://github.com/roboflow/rf-detr" TargetMode="External" Id="rId2"/><Relationship Type="http://schemas.openxmlformats.org/officeDocument/2006/relationships/hyperlink" Target="https://arxiv.org/abs/2511.09554" TargetMode="External" Id="rId3"/><Relationship Type="http://schemas.openxmlformats.org/officeDocument/2006/relationships/hyperlink" Target="https://github.com/roboflow/rf-detr" TargetMode="External" Id="rId4"/><Relationship Type="http://schemas.openxmlformats.org/officeDocument/2006/relationships/hyperlink" Target="https://docs.ultralytics.com/models/yolo26/" TargetMode="External" Id="rId5"/><Relationship Type="http://schemas.openxmlformats.org/officeDocument/2006/relationships/hyperlink" Target="https://github.com/ultralytics/ultralytics" TargetMode="External" Id="rId6"/><Relationship Type="http://schemas.openxmlformats.org/officeDocument/2006/relationships/hyperlink" Target="https://docs.ultralytics.com/models/yolo26/" TargetMode="External" Id="rId7"/><Relationship Type="http://schemas.openxmlformats.org/officeDocument/2006/relationships/hyperlink" Target="https://github.com/ultralytics/ultralytics" TargetMode="External" Id="rId8"/><Relationship Type="http://schemas.openxmlformats.org/officeDocument/2006/relationships/hyperlink" Target="https://arxiv.org/abs/2510.25257" TargetMode="External" Id="rId9"/><Relationship Type="http://schemas.openxmlformats.org/officeDocument/2006/relationships/hyperlink" Target="https://github.com/RT-DETRs/RT-DETRv4" TargetMode="External" Id="rId10"/><Relationship Type="http://schemas.openxmlformats.org/officeDocument/2006/relationships/hyperlink" Target="https://arxiv.org/abs/2510.21605" TargetMode="External" Id="rId11"/><Relationship Type="http://schemas.openxmlformats.org/officeDocument/2006/relationships/hyperlink" Target="https://github.com/" TargetMode="External" Id="rId12"/><Relationship Type="http://schemas.openxmlformats.org/officeDocument/2006/relationships/hyperlink" Target="https://arxiv.org/abs/2509.20787" TargetMode="External" Id="rId13"/><Relationship Type="http://schemas.openxmlformats.org/officeDocument/2006/relationships/hyperlink" Target="https://github.com/Intellindust-AI-Lab/DEIMv2" TargetMode="External" Id="rId14"/><Relationship Type="http://schemas.openxmlformats.org/officeDocument/2006/relationships/hyperlink" Target="https://github.com/topics/yolo-master" TargetMode="External" Id="rId15"/><Relationship Type="http://schemas.openxmlformats.org/officeDocument/2006/relationships/hyperlink" Target="https://github.com/topics/yolo-master" TargetMode="External" Id="rId16"/><Relationship Type="http://schemas.openxmlformats.org/officeDocument/2006/relationships/hyperlink" Target="https://arxiv.org/abs/2412.04234" TargetMode="External" Id="rId17"/><Relationship Type="http://schemas.openxmlformats.org/officeDocument/2006/relationships/hyperlink" Target="https://github.com/Intellindust-AI-Lab/DEIM" TargetMode="External" Id="rId18"/><Relationship Type="http://schemas.openxmlformats.org/officeDocument/2006/relationships/hyperlink" Target="https://arxiv.org/abs/2506.17733" TargetMode="External" Id="rId19"/><Relationship Type="http://schemas.openxmlformats.org/officeDocument/2006/relationships/hyperlink" Target="https://github.com/iMoonLab/yolov13" TargetMode="External" Id="rId20"/><Relationship Type="http://schemas.openxmlformats.org/officeDocument/2006/relationships/hyperlink" Target="https://arxiv.org/abs/2412.04234" TargetMode="External" Id="rId21"/><Relationship Type="http://schemas.openxmlformats.org/officeDocument/2006/relationships/hyperlink" Target="https://github.com/Intellindust-AI-Lab/DEIM" TargetMode="External" Id="rId22"/><Relationship Type="http://schemas.openxmlformats.org/officeDocument/2006/relationships/hyperlink" Target="https://arxiv.org/abs/2504.10685" TargetMode="External" Id="rId23"/><Relationship Type="http://schemas.openxmlformats.org/officeDocument/2006/relationships/hyperlink" Target="https://github.com/lovelyqian/NTIRE2025_CDFSOD" TargetMode="External" Id="rId24"/><Relationship Type="http://schemas.openxmlformats.org/officeDocument/2006/relationships/hyperlink" Target="https://arxiv.org/abs/2410.13842" TargetMode="External" Id="rId25"/><Relationship Type="http://schemas.openxmlformats.org/officeDocument/2006/relationships/hyperlink" Target="https://github.com/Peterande/D-FINE" TargetMode="External" Id="rId26"/><Relationship Type="http://schemas.openxmlformats.org/officeDocument/2006/relationships/hyperlink" Target="https://arxiv.org/abs/2410.13842" TargetMode="External" Id="rId27"/><Relationship Type="http://schemas.openxmlformats.org/officeDocument/2006/relationships/hyperlink" Target="https://github.com/Peterande/D-FINE" TargetMode="External" Id="rId28"/><Relationship Type="http://schemas.openxmlformats.org/officeDocument/2006/relationships/hyperlink" Target="https://arxiv.org/abs/2502.12524" TargetMode="External" Id="rId29"/><Relationship Type="http://schemas.openxmlformats.org/officeDocument/2006/relationships/hyperlink" Target="https://github.com/sunsmarterjie/yolov12" TargetMode="External" Id="rId30"/><Relationship Type="http://schemas.openxmlformats.org/officeDocument/2006/relationships/hyperlink" Target="https://arxiv.org/abs/2409.08475" TargetMode="External" Id="rId31"/><Relationship Type="http://schemas.openxmlformats.org/officeDocument/2006/relationships/hyperlink" Target="https://github.com/clxia12/RT-DETRv3" TargetMode="External" Id="rId32"/><Relationship Type="http://schemas.openxmlformats.org/officeDocument/2006/relationships/hyperlink" Target="https://github.com/I2-Multimedia-Lab/UGRAN" TargetMode="External" Id="rId33"/><Relationship Type="http://schemas.openxmlformats.org/officeDocument/2006/relationships/hyperlink" Target="https://github.com/I2-Multimedia-Lab/UGRAN" TargetMode="External" Id="rId34"/><Relationship Type="http://schemas.openxmlformats.org/officeDocument/2006/relationships/hyperlink" Target="https://www.sciencedirect.com/science/article/abs/pii/S1566253525007900" TargetMode="External" Id="rId35"/><Relationship Type="http://schemas.openxmlformats.org/officeDocument/2006/relationships/hyperlink" Target="https://github.com/" TargetMode="External" Id="rId36"/><Relationship Type="http://schemas.openxmlformats.org/officeDocument/2006/relationships/hyperlink" Target="https://arxiv.org/abs/2405.14458" TargetMode="External" Id="rId37"/><Relationship Type="http://schemas.openxmlformats.org/officeDocument/2006/relationships/hyperlink" Target="https://github.com/THU-MIG/yolov10" TargetMode="External" Id="rId38"/><Relationship Type="http://schemas.openxmlformats.org/officeDocument/2006/relationships/hyperlink" Target="https://arxiv.org/abs/2411.14347" TargetMode="External" Id="rId39"/><Relationship Type="http://schemas.openxmlformats.org/officeDocument/2006/relationships/hyperlink" Target="https://github.com/IDEA-Research/DINO-X-API" TargetMode="External" Id="rId40"/><Relationship Type="http://schemas.openxmlformats.org/officeDocument/2006/relationships/hyperlink" Target="https://arxiv.org/abs/2303.05499" TargetMode="External" Id="rId41"/><Relationship Type="http://schemas.openxmlformats.org/officeDocument/2006/relationships/hyperlink" Target="https://github.com/IDEA-Research/GroundingDINO" TargetMode="External" Id="rId42"/><Relationship Type="http://schemas.openxmlformats.org/officeDocument/2006/relationships/hyperlink" Target="https://arxiv.org/abs/2402.03094" TargetMode="External" Id="rId43"/><Relationship Type="http://schemas.openxmlformats.org/officeDocument/2006/relationships/hyperlink" Target="https://github.com/lovelyqian/CDFSOD-benchmark" TargetMode="External" Id="rId44"/><Relationship Type="http://schemas.openxmlformats.org/officeDocument/2006/relationships/hyperlink" Target="https://arxiv.org/abs/2407.11699" TargetMode="External" Id="rId45"/><Relationship Type="http://schemas.openxmlformats.org/officeDocument/2006/relationships/hyperlink" Target="https://github.com/xiuqhou/Relation-DETR" TargetMode="External" Id="rId46"/><Relationship Type="http://schemas.openxmlformats.org/officeDocument/2006/relationships/hyperlink" Target="https://arxiv.org/abs/2402.13616" TargetMode="External" Id="rId47"/><Relationship Type="http://schemas.openxmlformats.org/officeDocument/2006/relationships/hyperlink" Target="https://github.com/WongKinYiu/yolov9" TargetMode="External" Id="rId48"/><Relationship Type="http://schemas.openxmlformats.org/officeDocument/2006/relationships/hyperlink" Target="https://docs.ultralytics.com/models/yolo11/" TargetMode="External" Id="rId49"/><Relationship Type="http://schemas.openxmlformats.org/officeDocument/2006/relationships/hyperlink" Target="https://github.com/ultralytics/ultralytics" TargetMode="External" Id="rId50"/><Relationship Type="http://schemas.openxmlformats.org/officeDocument/2006/relationships/hyperlink" Target="https://arxiv.org/abs/2407.17140" TargetMode="External" Id="rId51"/><Relationship Type="http://schemas.openxmlformats.org/officeDocument/2006/relationships/hyperlink" Target="https://github.com/lyuwenyu/RT-DETR" TargetMode="External" Id="rId52"/><Relationship Type="http://schemas.openxmlformats.org/officeDocument/2006/relationships/hyperlink" Target="https://arxiv.org/abs/2304.08069" TargetMode="External" Id="rId53"/><Relationship Type="http://schemas.openxmlformats.org/officeDocument/2006/relationships/hyperlink" Target="https://github.com/lyuwenyu/RT-DETR" TargetMode="External" Id="rId54"/><Relationship Type="http://schemas.openxmlformats.org/officeDocument/2006/relationships/hyperlink" Target="https://arxiv.org/abs/2404.07445" TargetMode="External" Id="rId55"/><Relationship Type="http://schemas.openxmlformats.org/officeDocument/2006/relationships/hyperlink" Target="https://github.com/qianyu-dlut/MVANet" TargetMode="External" Id="rId56"/><Relationship Type="http://schemas.openxmlformats.org/officeDocument/2006/relationships/hyperlink" Target="https://arxiv.org/abs/2311.15011" TargetMode="External" Id="rId57"/><Relationship Type="http://schemas.openxmlformats.org/officeDocument/2006/relationships/hyperlink" Target="https://github.com/Sssssuperior/VSCode" TargetMode="External" Id="rId58"/><Relationship Type="http://schemas.openxmlformats.org/officeDocument/2006/relationships/hyperlink" Target="https://arxiv.org/abs/2402.10433" TargetMode="External" Id="rId59"/><Relationship Type="http://schemas.openxmlformats.org/officeDocument/2006/relationships/hyperlink" Target="https://github.com/han-tianyu/FM-FSOD" TargetMode="External" Id="rId60"/><Relationship Type="http://schemas.openxmlformats.org/officeDocument/2006/relationships/hyperlink" Target="https://arxiv.org/abs/2405.10300" TargetMode="External" Id="rId61"/><Relationship Type="http://schemas.openxmlformats.org/officeDocument/2006/relationships/hyperlink" Target="https://github.com/IDEA-Research/Grounding-DINO-1.5-API" TargetMode="External" Id="rId62"/><Relationship Type="http://schemas.openxmlformats.org/officeDocument/2006/relationships/hyperlink" Target="https://arxiv.org/abs/2405.10300" TargetMode="External" Id="rId63"/><Relationship Type="http://schemas.openxmlformats.org/officeDocument/2006/relationships/hyperlink" Target="https://github.com/IDEA-Research/Grounding-DINO-1.5-API" TargetMode="External" Id="rId64"/><Relationship Type="http://schemas.openxmlformats.org/officeDocument/2006/relationships/hyperlink" Target="https://arxiv.org/abs/2401.03407" TargetMode="External" Id="rId65"/><Relationship Type="http://schemas.openxmlformats.org/officeDocument/2006/relationships/hyperlink" Target="https://github.com/ZhengPeng7/BiRefNet" TargetMode="External" Id="rId66"/><Relationship Type="http://schemas.openxmlformats.org/officeDocument/2006/relationships/hyperlink" Target="https://arxiv.org/abs/2404.00700" TargetMode="External" Id="rId67"/><Relationship Type="http://schemas.openxmlformats.org/officeDocument/2006/relationships/hyperlink" Target="https://github.com/" TargetMode="External" Id="rId68"/><Relationship Type="http://schemas.openxmlformats.org/officeDocument/2006/relationships/hyperlink" Target="https://arxiv.org/abs/2211.12860" TargetMode="External" Id="rId69"/><Relationship Type="http://schemas.openxmlformats.org/officeDocument/2006/relationships/hyperlink" Target="https://github.com/Sense-X/Co-DETR" TargetMode="External" Id="rId70"/><Relationship Type="http://schemas.openxmlformats.org/officeDocument/2006/relationships/hyperlink" Target="https://arxiv.org/abs/2303.11331" TargetMode="External" Id="rId71"/><Relationship Type="http://schemas.openxmlformats.org/officeDocument/2006/relationships/hyperlink" Target="https://github.com/baaivision/EVA" TargetMode="External" Id="rId72"/><Relationship Type="http://schemas.openxmlformats.org/officeDocument/2006/relationships/hyperlink" Target="https://arxiv.org/abs/2309.08365" TargetMode="External" Id="rId73"/><Relationship Type="http://schemas.openxmlformats.org/officeDocument/2006/relationships/hyperlink" Target="https://github.com/I2-Multimedia-Lab/M3Net" TargetMode="External" Id="rId74"/><Relationship Type="http://schemas.openxmlformats.org/officeDocument/2006/relationships/hyperlink" Target="https://arxiv.org/abs/2211.05778" TargetMode="External" Id="rId75"/><Relationship Type="http://schemas.openxmlformats.org/officeDocument/2006/relationships/hyperlink" Target="https://github.com/OpenGVLab/InternImage" TargetMode="External" Id="rId76"/><Relationship Type="http://schemas.openxmlformats.org/officeDocument/2006/relationships/hyperlink" Target="https://arxiv.org/abs/2207.02696" TargetMode="External" Id="rId77"/><Relationship Type="http://schemas.openxmlformats.org/officeDocument/2006/relationships/hyperlink" Target="https://github.com/WongKinYiu/yolov7" TargetMode="External" Id="rId78"/><Relationship Type="http://schemas.openxmlformats.org/officeDocument/2006/relationships/hyperlink" Target="https://arxiv.org/abs/2303.11749" TargetMode="External" Id="rId79"/><Relationship Type="http://schemas.openxmlformats.org/officeDocument/2006/relationships/hyperlink" Target="https://github.com/zhenyuw16/UniDetector" TargetMode="External" Id="rId80"/><Relationship Type="http://schemas.openxmlformats.org/officeDocument/2006/relationships/hyperlink" Target="https://github.com/Deci-AI/super-gradients" TargetMode="External" Id="rId81"/><Relationship Type="http://schemas.openxmlformats.org/officeDocument/2006/relationships/hyperlink" Target="https://github.com/Deci-AI/super-gradients" TargetMode="External" Id="rId82"/><Relationship Type="http://schemas.openxmlformats.org/officeDocument/2006/relationships/hyperlink" Target="https://arxiv.org/abs/2203.03605" TargetMode="External" Id="rId83"/><Relationship Type="http://schemas.openxmlformats.org/officeDocument/2006/relationships/hyperlink" Target="https://github.com/IDEA-Research/DINO" TargetMode="External" Id="rId84"/><Relationship Type="http://schemas.openxmlformats.org/officeDocument/2006/relationships/hyperlink" Target="https://arxiv.org/abs/2111.13409" TargetMode="External" Id="rId85"/><Relationship Type="http://schemas.openxmlformats.org/officeDocument/2006/relationships/hyperlink" Target="https://github.com/mczhuge/ICON" TargetMode="External" Id="rId86"/><Relationship Type="http://schemas.openxmlformats.org/officeDocument/2006/relationships/hyperlink" Target="https://docs.ultralytics.com/models/yolov8/" TargetMode="External" Id="rId87"/><Relationship Type="http://schemas.openxmlformats.org/officeDocument/2006/relationships/hyperlink" Target="https://github.com/ultralytics/ultralytics" TargetMode="External" Id="rId88"/><Relationship Type="http://schemas.openxmlformats.org/officeDocument/2006/relationships/hyperlink" Target="https://arxiv.org/abs/2212.07784" TargetMode="External" Id="rId89"/><Relationship Type="http://schemas.openxmlformats.org/officeDocument/2006/relationships/hyperlink" Target="https://github.com/open-mmlab/mmdetection" TargetMode="External" Id="rId90"/><Relationship Type="http://schemas.openxmlformats.org/officeDocument/2006/relationships/hyperlink" Target="https://arxiv.org/abs/2211.15444" TargetMode="External" Id="rId91"/><Relationship Type="http://schemas.openxmlformats.org/officeDocument/2006/relationships/hyperlink" Target="https://github.com/tinyvision/damo-yolo" TargetMode="External" Id="rId92"/><Relationship Type="http://schemas.openxmlformats.org/officeDocument/2006/relationships/hyperlink" Target="https://arxiv.org/abs/2209.09475" TargetMode="External" Id="rId93"/><Relationship Type="http://schemas.openxmlformats.org/officeDocument/2006/relationships/hyperlink" Target="https://github.com/plemeri/InSPyReNet" TargetMode="External" Id="rId94"/><Relationship Type="http://schemas.openxmlformats.org/officeDocument/2006/relationships/hyperlink" Target="https://arxiv.org/abs/2203.16527" TargetMode="External" Id="rId95"/><Relationship Type="http://schemas.openxmlformats.org/officeDocument/2006/relationships/hyperlink" Target="https://github.com/facebookresearch/detectron2" TargetMode="External" Id="rId96"/><Relationship Type="http://schemas.openxmlformats.org/officeDocument/2006/relationships/hyperlink" Target="https://arxiv.org/abs/2204.01697" TargetMode="External" Id="rId97"/><Relationship Type="http://schemas.openxmlformats.org/officeDocument/2006/relationships/hyperlink" Target="https://github.com/google-research/maxvit" TargetMode="External" Id="rId98"/><Relationship Type="http://schemas.openxmlformats.org/officeDocument/2006/relationships/hyperlink" Target="https://arxiv.org/abs/2209.02976" TargetMode="External" Id="rId99"/><Relationship Type="http://schemas.openxmlformats.org/officeDocument/2006/relationships/hyperlink" Target="https://github.com/meituan/YOLOv6" TargetMode="External" Id="rId100"/><Relationship Type="http://schemas.openxmlformats.org/officeDocument/2006/relationships/hyperlink" Target="https://arxiv.org/abs/2012.13093" TargetMode="External" Id="rId101"/><Relationship Type="http://schemas.openxmlformats.org/officeDocument/2006/relationships/hyperlink" Target="https://github.com/yuhuan-wu/EDN" TargetMode="External" Id="rId102"/><Relationship Type="http://schemas.openxmlformats.org/officeDocument/2006/relationships/hyperlink" Target="https://arxiv.org/abs/2208.00219" TargetMode="External" Id="rId103"/><Relationship Type="http://schemas.openxmlformats.org/officeDocument/2006/relationships/hyperlink" Target="https://github.com/ZhangGongjie/Meta-DETR" TargetMode="External" Id="rId104"/><Relationship Type="http://schemas.openxmlformats.org/officeDocument/2006/relationships/hyperlink" Target="https://arxiv.org/abs/2203.16250" TargetMode="External" Id="rId105"/><Relationship Type="http://schemas.openxmlformats.org/officeDocument/2006/relationships/hyperlink" Target="https://github.com/PaddlePaddle/PaddleDetection" TargetMode="External" Id="rId106"/><Relationship Type="http://schemas.openxmlformats.org/officeDocument/2006/relationships/hyperlink" Target="https://arxiv.org/abs/2106.04550" TargetMode="External" Id="rId107"/><Relationship Type="http://schemas.openxmlformats.org/officeDocument/2006/relationships/hyperlink" Target="https://github.com/amirbar/DETReg" TargetMode="External" Id="rId108"/><Relationship Type="http://schemas.openxmlformats.org/officeDocument/2006/relationships/hyperlink" Target="https://arxiv.org/abs/2201.03545" TargetMode="External" Id="rId109"/><Relationship Type="http://schemas.openxmlformats.org/officeDocument/2006/relationships/hyperlink" Target="https://github.com/facebookresearch/ConvNeXt" TargetMode="External" Id="rId110"/><Relationship Type="http://schemas.openxmlformats.org/officeDocument/2006/relationships/hyperlink" Target="https://arxiv.org/abs/2203.01305" TargetMode="External" Id="rId111"/><Relationship Type="http://schemas.openxmlformats.org/officeDocument/2006/relationships/hyperlink" Target="https://github.com/IDEA-Research/DN-DETR" TargetMode="External" Id="rId112"/><Relationship Type="http://schemas.openxmlformats.org/officeDocument/2006/relationships/hyperlink" Target="https://arxiv.org/abs/2201.12329" TargetMode="External" Id="rId113"/><Relationship Type="http://schemas.openxmlformats.org/officeDocument/2006/relationships/hyperlink" Target="https://github.com/IDEA-Research/DAB-DETR" TargetMode="External" Id="rId114"/><Relationship Type="http://schemas.openxmlformats.org/officeDocument/2006/relationships/hyperlink" Target="https://github.com/RangiLyu/nanodet" TargetMode="External" Id="rId115"/><Relationship Type="http://schemas.openxmlformats.org/officeDocument/2006/relationships/hyperlink" Target="https://github.com/RangiLyu/nanodet" TargetMode="External" Id="rId116"/><Relationship Type="http://schemas.openxmlformats.org/officeDocument/2006/relationships/hyperlink" Target="https://arxiv.org/abs/2104.12099" TargetMode="External" Id="rId117"/><Relationship Type="http://schemas.openxmlformats.org/officeDocument/2006/relationships/hyperlink" Target="https://github.com/nnizhang/VST" TargetMode="External" Id="rId118"/><Relationship Type="http://schemas.openxmlformats.org/officeDocument/2006/relationships/hyperlink" Target="https://arxiv.org/abs/2108.09017" TargetMode="External" Id="rId119"/><Relationship Type="http://schemas.openxmlformats.org/officeDocument/2006/relationships/hyperlink" Target="https://github.com/er-muyue/DeFRCN" TargetMode="External" Id="rId120"/><Relationship Type="http://schemas.openxmlformats.org/officeDocument/2006/relationships/hyperlink" Target="https://arxiv.org/abs/2103.14030" TargetMode="External" Id="rId121"/><Relationship Type="http://schemas.openxmlformats.org/officeDocument/2006/relationships/hyperlink" Target="https://github.com/microsoft/Swin-Transformer" TargetMode="External" Id="rId122"/><Relationship Type="http://schemas.openxmlformats.org/officeDocument/2006/relationships/hyperlink" Target="https://arxiv.org/abs/2107.08430" TargetMode="External" Id="rId123"/><Relationship Type="http://schemas.openxmlformats.org/officeDocument/2006/relationships/hyperlink" Target="https://github.com/Megvii-BaseDetection/YOLOX" TargetMode="External" Id="rId124"/><Relationship Type="http://schemas.openxmlformats.org/officeDocument/2006/relationships/hyperlink" Target="https://arxiv.org/abs/2103.05950" TargetMode="External" Id="rId125"/><Relationship Type="http://schemas.openxmlformats.org/officeDocument/2006/relationships/hyperlink" Target="https://github.com/megvii-research/FSCE" TargetMode="External" Id="rId126"/><Relationship Type="http://schemas.openxmlformats.org/officeDocument/2006/relationships/hyperlink" Target="https://arxiv.org/abs/2010.04159" TargetMode="External" Id="rId127"/><Relationship Type="http://schemas.openxmlformats.org/officeDocument/2006/relationships/hyperlink" Target="https://github.com/fundamentalvision/Deformable-DETR" TargetMode="External" Id="rId128"/><Relationship Type="http://schemas.openxmlformats.org/officeDocument/2006/relationships/hyperlink" Target="https://arxiv.org/abs/1904.09569" TargetMode="External" Id="rId129"/><Relationship Type="http://schemas.openxmlformats.org/officeDocument/2006/relationships/hyperlink" Target="https://github.com/backseason/PoolNet" TargetMode="External" Id="rId130"/><Relationship Type="http://schemas.openxmlformats.org/officeDocument/2006/relationships/hyperlink" Target="https://arxiv.org/abs/2011.12450" TargetMode="External" Id="rId131"/><Relationship Type="http://schemas.openxmlformats.org/officeDocument/2006/relationships/hyperlink" Target="https://github.com/PeizeSun/SparseR-CNN" TargetMode="External" Id="rId132"/><Relationship Type="http://schemas.openxmlformats.org/officeDocument/2006/relationships/hyperlink" Target="https://arxiv.org/abs/2005.12872" TargetMode="External" Id="rId133"/><Relationship Type="http://schemas.openxmlformats.org/officeDocument/2006/relationships/hyperlink" Target="https://github.com/facebookresearch/detr" TargetMode="External" Id="rId134"/><Relationship Type="http://schemas.openxmlformats.org/officeDocument/2006/relationships/hyperlink" Target="https://arxiv.org/abs/2007.09384" TargetMode="External" Id="rId135"/><Relationship Type="http://schemas.openxmlformats.org/officeDocument/2006/relationships/hyperlink" Target="https://github.com/jiaxi-wu/MPSR" TargetMode="External" Id="rId136"/><Relationship Type="http://schemas.openxmlformats.org/officeDocument/2006/relationships/hyperlink" Target="https://arxiv.org/abs/2003.06957" TargetMode="External" Id="rId137"/><Relationship Type="http://schemas.openxmlformats.org/officeDocument/2006/relationships/hyperlink" Target="https://github.com/ucbdrive/few-shot-object-detection" TargetMode="External" Id="rId138"/><Relationship Type="http://schemas.openxmlformats.org/officeDocument/2006/relationships/hyperlink" Target="https://arxiv.org/abs/1911.09070" TargetMode="External" Id="rId139"/><Relationship Type="http://schemas.openxmlformats.org/officeDocument/2006/relationships/hyperlink" Target="https://github.com/google/automl/tree/master/efficientdet" TargetMode="External" Id="rId140"/><Relationship Type="http://schemas.openxmlformats.org/officeDocument/2006/relationships/hyperlink" Target="https://github.com/ultralytics/yolov5" TargetMode="External" Id="rId141"/><Relationship Type="http://schemas.openxmlformats.org/officeDocument/2006/relationships/hyperlink" Target="https://github.com/ultralytics/yolov5" TargetMode="External" Id="rId142"/><Relationship Type="http://schemas.openxmlformats.org/officeDocument/2006/relationships/hyperlink" Target="https://arxiv.org/abs/2007.09062" TargetMode="External" Id="rId143"/><Relationship Type="http://schemas.openxmlformats.org/officeDocument/2006/relationships/hyperlink" Target="https://github.com/lartpang/MINet" TargetMode="External" Id="rId144"/><Relationship Type="http://schemas.openxmlformats.org/officeDocument/2006/relationships/hyperlink" Target="https://arxiv.org/abs/2005.09007" TargetMode="External" Id="rId145"/><Relationship Type="http://schemas.openxmlformats.org/officeDocument/2006/relationships/hyperlink" Target="https://github.com/xuebinqin/U-2-Net" TargetMode="External" Id="rId146"/><Relationship Type="http://schemas.openxmlformats.org/officeDocument/2006/relationships/hyperlink" Target="https://arxiv.org/abs/1909.13032" TargetMode="External" Id="rId147"/><Relationship Type="http://schemas.openxmlformats.org/officeDocument/2006/relationships/hyperlink" Target="https://github.com/yanxp/MetaR-CNN" TargetMode="External" Id="rId148"/><Relationship Type="http://schemas.openxmlformats.org/officeDocument/2006/relationships/hyperlink" Target="https://arxiv.org/abs/1812.01866" TargetMode="External" Id="rId149"/><Relationship Type="http://schemas.openxmlformats.org/officeDocument/2006/relationships/hyperlink" Target="https://github.com/bingykang/Fewshot_Detection" TargetMode="External" Id="rId150"/><Relationship Type="http://schemas.openxmlformats.org/officeDocument/2006/relationships/hyperlink" Target="https://arxiv.org/abs/1904.07857" TargetMode="External" Id="rId151"/><Relationship Type="http://schemas.openxmlformats.org/officeDocument/2006/relationships/hyperlink" Target="https://github.com/xuebinqin/BASNet" TargetMode="External" Id="rId152"/><Relationship Type="http://schemas.openxmlformats.org/officeDocument/2006/relationships/hyperlink" Target="https://arxiv.org/abs/1904.08739" TargetMode="External" Id="rId153"/><Relationship Type="http://schemas.openxmlformats.org/officeDocument/2006/relationships/hyperlink" Target="https://github.com/wuzhe71/CPD" TargetMode="External" Id="rId154"/><Relationship Type="http://schemas.openxmlformats.org/officeDocument/2006/relationships/hyperlink" Target="https://arxiv.org/abs/1904.07850" TargetMode="External" Id="rId155"/><Relationship Type="http://schemas.openxmlformats.org/officeDocument/2006/relationships/hyperlink" Target="https://github.com/xingyizhou/CenterNet" TargetMode="External" Id="rId156"/><Relationship Type="http://schemas.openxmlformats.org/officeDocument/2006/relationships/hyperlink" Target="https://arxiv.org/abs/1904.01355" TargetMode="External" Id="rId157"/><Relationship Type="http://schemas.openxmlformats.org/officeDocument/2006/relationships/hyperlink" Target="https://github.com/tianzhi0549/FCOS" TargetMode="External" Id="rId158"/><Relationship Type="http://schemas.openxmlformats.org/officeDocument/2006/relationships/hyperlink" Target="https://arxiv.org/abs/1712.00726" TargetMode="External" Id="rId159"/><Relationship Type="http://schemas.openxmlformats.org/officeDocument/2006/relationships/hyperlink" Target="https://github.com/zhaoweicai/cascade-rcnn" TargetMode="External" Id="rId160"/><Relationship Type="http://schemas.openxmlformats.org/officeDocument/2006/relationships/hyperlink" Target="https://arxiv.org/abs/1708.02002" TargetMode="External" Id="rId161"/><Relationship Type="http://schemas.openxmlformats.org/officeDocument/2006/relationships/hyperlink" Target="https://github.com/facebookresearch/Detectron" TargetMode="External" Id="rId162"/><Relationship Type="http://schemas.openxmlformats.org/officeDocument/2006/relationships/hyperlink" Target="https://arxiv.org/abs/1703.06870" TargetMode="External" Id="rId163"/><Relationship Type="http://schemas.openxmlformats.org/officeDocument/2006/relationships/hyperlink" Target="https://github.com/facebookresearch/maskrcnn-benchmark" TargetMode="External" Id="rId164"/><Relationship Type="http://schemas.openxmlformats.org/officeDocument/2006/relationships/hyperlink" Target="https://arxiv.org/abs/1506.01497" TargetMode="External" Id="rId165"/><Relationship Type="http://schemas.openxmlformats.org/officeDocument/2006/relationships/hyperlink" Target="https://github.com/rbgirshick/py-faster-rcnn" TargetMode="External" Id="rId166"/></Relationships>
</file>

<file path=xl/worksheets/_rels/sheet3.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211.05778"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11.05778"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11.05778" TargetMode="External" Id="rId11"/><Relationship Type="http://schemas.openxmlformats.org/officeDocument/2006/relationships/hyperlink" Target="https://github.com/facebookresearch/detectron2" TargetMode="External" Id="rId12"/><Relationship Type="http://schemas.openxmlformats.org/officeDocument/2006/relationships/hyperlink" Target="https://arxiv.org/abs/2211.05778" TargetMode="External" Id="rId13"/><Relationship Type="http://schemas.openxmlformats.org/officeDocument/2006/relationships/hyperlink" Target="https://github.com/microsoft/Swin-Transformer" TargetMode="External" Id="rId14"/><Relationship Type="http://schemas.openxmlformats.org/officeDocument/2006/relationships/hyperlink" Target="https://arxiv.org/abs/2407.11699" TargetMode="External" Id="rId15"/><Relationship Type="http://schemas.openxmlformats.org/officeDocument/2006/relationships/hyperlink" Target="https://github.com/microsoft/FocalNet" TargetMode="External" Id="rId16"/><Relationship Type="http://schemas.openxmlformats.org/officeDocument/2006/relationships/hyperlink" Target="https://arxiv.org/abs/2203.03605" TargetMode="External" Id="rId17"/><Relationship Type="http://schemas.openxmlformats.org/officeDocument/2006/relationships/hyperlink" Target="https://github.com/facebookresearch/ConvNeXt" TargetMode="External" Id="rId18"/><Relationship Type="http://schemas.openxmlformats.org/officeDocument/2006/relationships/hyperlink" Target="https://arxiv.org/abs/2211.05778" TargetMode="External" Id="rId19"/><Relationship Type="http://schemas.openxmlformats.org/officeDocument/2006/relationships/hyperlink" Target="https://github.com/google-research/maxvit" TargetMode="External" Id="rId20"/><Relationship Type="http://schemas.openxmlformats.org/officeDocument/2006/relationships/hyperlink" Target="https://arxiv.org/abs/2211.05778" TargetMode="External" Id="rId21"/><Relationship Type="http://schemas.openxmlformats.org/officeDocument/2006/relationships/hyperlink" Target="https://github.com/fundamentalvision/Deformable-DETR" TargetMode="External" Id="rId22"/><Relationship Type="http://schemas.openxmlformats.org/officeDocument/2006/relationships/hyperlink" Target="https://arxiv.org/abs/2211.05778" TargetMode="External" Id="rId23"/><Relationship Type="http://schemas.openxmlformats.org/officeDocument/2006/relationships/hyperlink" Target="https://github.com/facebookresearch/detr" TargetMode="External" Id="rId24"/><Relationship Type="http://schemas.openxmlformats.org/officeDocument/2006/relationships/hyperlink" Target="https://arxiv.org/abs/2203.16527" TargetMode="External" Id="rId25"/><Relationship Type="http://schemas.openxmlformats.org/officeDocument/2006/relationships/hyperlink" Target="https://arxiv.org/abs/2211.05778" TargetMode="External" Id="rId26"/><Relationship Type="http://schemas.openxmlformats.org/officeDocument/2006/relationships/hyperlink" Target="https://arxiv.org/abs/2103.14030" TargetMode="External" Id="rId27"/><Relationship Type="http://schemas.openxmlformats.org/officeDocument/2006/relationships/hyperlink" Target="https://arxiv.org/abs/2203.11926" TargetMode="External" Id="rId28"/><Relationship Type="http://schemas.openxmlformats.org/officeDocument/2006/relationships/hyperlink" Target="https://arxiv.org/abs/2201.03545" TargetMode="External" Id="rId29"/><Relationship Type="http://schemas.openxmlformats.org/officeDocument/2006/relationships/hyperlink" Target="https://arxiv.org/abs/2204.01697" TargetMode="External" Id="rId30"/><Relationship Type="http://schemas.openxmlformats.org/officeDocument/2006/relationships/hyperlink" Target="https://arxiv.org/abs/2010.04159" TargetMode="External" Id="rId31"/><Relationship Type="http://schemas.openxmlformats.org/officeDocument/2006/relationships/hyperlink" Target="https://arxiv.org/abs/2005.12872" TargetMode="External" Id="rId32"/></Relationships>
</file>

<file path=xl/worksheets/_rels/sheet4.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arxiv.org/abs/2207.13080" TargetMode="External" Id="rId11"/><Relationship Type="http://schemas.openxmlformats.org/officeDocument/2006/relationships/hyperlink" Target="https://github.com/HDETR/H-Deformable-DETR" TargetMode="External" Id="rId12"/><Relationship Type="http://schemas.openxmlformats.org/officeDocument/2006/relationships/hyperlink" Target="https://arxiv.org/abs/2510.25257" TargetMode="External" Id="rId13"/><Relationship Type="http://schemas.openxmlformats.org/officeDocument/2006/relationships/hyperlink" Target="https://github.com/RT-DETRs/RT-DETRv4" TargetMode="External" Id="rId14"/><Relationship Type="http://schemas.openxmlformats.org/officeDocument/2006/relationships/hyperlink" Target="https://arxiv.org/abs/2412.04234" TargetMode="External" Id="rId15"/><Relationship Type="http://schemas.openxmlformats.org/officeDocument/2006/relationships/hyperlink" Target="https://github.com/Intellindust-AI-Lab/DEIM" TargetMode="External" Id="rId16"/><Relationship Type="http://schemas.openxmlformats.org/officeDocument/2006/relationships/hyperlink" Target="https://arxiv.org/abs/2203.01305" TargetMode="External" Id="rId17"/><Relationship Type="http://schemas.openxmlformats.org/officeDocument/2006/relationships/hyperlink" Target="https://github.com/IDEA-Research/DN-DETR" TargetMode="External" Id="rId18"/><Relationship Type="http://schemas.openxmlformats.org/officeDocument/2006/relationships/hyperlink" Target="https://arxiv.org/abs/2201.12329" TargetMode="External" Id="rId19"/><Relationship Type="http://schemas.openxmlformats.org/officeDocument/2006/relationships/hyperlink" Target="https://github.com/IDEA-Research/DAB-DETR" TargetMode="External" Id="rId20"/><Relationship Type="http://schemas.openxmlformats.org/officeDocument/2006/relationships/hyperlink" Target="https://arxiv.org/abs/2005.12872" TargetMode="External" Id="rId21"/><Relationship Type="http://schemas.openxmlformats.org/officeDocument/2006/relationships/hyperlink" Target="https://github.com/facebookresearch/detr" TargetMode="External" Id="rId22"/></Relationships>
</file>

<file path=xl/worksheets/_rels/sheet5.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arxiv.org/abs/2510.25257" TargetMode="External" Id="rId15"/><Relationship Type="http://schemas.openxmlformats.org/officeDocument/2006/relationships/hyperlink" Target="https://github.com/WongKinYiu/yolov9" TargetMode="External" Id="rId16"/><Relationship Type="http://schemas.openxmlformats.org/officeDocument/2006/relationships/hyperlink" Target="https://arxiv.org/abs/2511.09554" TargetMode="External" Id="rId17"/><Relationship Type="http://schemas.openxmlformats.org/officeDocument/2006/relationships/hyperlink" Target="https://github.com/sunsmarterjie/yolov12" TargetMode="External" Id="rId18"/><Relationship Type="http://schemas.openxmlformats.org/officeDocument/2006/relationships/hyperlink" Target="https://arxiv.org/abs/2412.04234"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6.xml.rels><Relationships xmlns="http://schemas.openxmlformats.org/package/2006/relationships"><Relationship Type="http://schemas.openxmlformats.org/officeDocument/2006/relationships/hyperlink" Target="https://arxiv.org/abs/2211.12860" TargetMode="External" Id="rId1"/><Relationship Type="http://schemas.openxmlformats.org/officeDocument/2006/relationships/hyperlink" Target="https://github.com/Sense-X/Co-DETR" TargetMode="External" Id="rId2"/><Relationship Type="http://schemas.openxmlformats.org/officeDocument/2006/relationships/hyperlink" Target="https://arxiv.org/abs/2211.05778" TargetMode="External" Id="rId3"/><Relationship Type="http://schemas.openxmlformats.org/officeDocument/2006/relationships/hyperlink" Target="https://github.com/OpenGVLab/InternImage" TargetMode="External" Id="rId4"/><Relationship Type="http://schemas.openxmlformats.org/officeDocument/2006/relationships/hyperlink" Target="https://arxiv.org/abs/2303.11331" TargetMode="External" Id="rId5"/><Relationship Type="http://schemas.openxmlformats.org/officeDocument/2006/relationships/hyperlink" Target="https://github.com/baaivision/EVA" TargetMode="External" Id="rId6"/><Relationship Type="http://schemas.openxmlformats.org/officeDocument/2006/relationships/hyperlink" Target="https://arxiv.org/abs/2407.11699" TargetMode="External" Id="rId7"/><Relationship Type="http://schemas.openxmlformats.org/officeDocument/2006/relationships/hyperlink" Target="https://github.com/xiuqhou/Relation-DETR" TargetMode="External" Id="rId8"/><Relationship Type="http://schemas.openxmlformats.org/officeDocument/2006/relationships/hyperlink" Target="https://arxiv.org/abs/2203.03605" TargetMode="External" Id="rId9"/><Relationship Type="http://schemas.openxmlformats.org/officeDocument/2006/relationships/hyperlink" Target="https://github.com/IDEA-Research/DINO" TargetMode="External" Id="rId10"/><Relationship Type="http://schemas.openxmlformats.org/officeDocument/2006/relationships/hyperlink" Target="https://github.com/roboflow/rf-detr" TargetMode="External" Id="rId11"/><Relationship Type="http://schemas.openxmlformats.org/officeDocument/2006/relationships/hyperlink" Target="https://github.com/RT-DETRs/RT-DETRv4" TargetMode="External" Id="rId12"/><Relationship Type="http://schemas.openxmlformats.org/officeDocument/2006/relationships/hyperlink" Target="https://github.com/Intellindust-AI-Lab/DEIM" TargetMode="External" Id="rId13"/><Relationship Type="http://schemas.openxmlformats.org/officeDocument/2006/relationships/hyperlink" Target="https://github.com/Peterande/D-FINE" TargetMode="External" Id="rId14"/><Relationship Type="http://schemas.openxmlformats.org/officeDocument/2006/relationships/hyperlink" Target="https://github.com/WongKinYiu/yolov9" TargetMode="External" Id="rId15"/><Relationship Type="http://schemas.openxmlformats.org/officeDocument/2006/relationships/hyperlink" Target="https://arxiv.org/abs/2510.25257" TargetMode="External" Id="rId16"/><Relationship Type="http://schemas.openxmlformats.org/officeDocument/2006/relationships/hyperlink" Target="https://github.com/sunsmarterjie/yolov12" TargetMode="External" Id="rId17"/><Relationship Type="http://schemas.openxmlformats.org/officeDocument/2006/relationships/hyperlink" Target="https://arxiv.org/abs/2511.09554" TargetMode="External" Id="rId18"/><Relationship Type="http://schemas.openxmlformats.org/officeDocument/2006/relationships/hyperlink" Target="https://github.com/ultralytics/ultralytics" TargetMode="External" Id="rId19"/><Relationship Type="http://schemas.openxmlformats.org/officeDocument/2006/relationships/hyperlink" Target="https://arxiv.org/abs/2412.04234" TargetMode="External" Id="rId20"/><Relationship Type="http://schemas.openxmlformats.org/officeDocument/2006/relationships/hyperlink" Target="https://arxiv.org/abs/2410.13842" TargetMode="External" Id="rId21"/><Relationship Type="http://schemas.openxmlformats.org/officeDocument/2006/relationships/hyperlink" Target="https://arxiv.org/abs/2402.13616" TargetMode="External" Id="rId22"/><Relationship Type="http://schemas.openxmlformats.org/officeDocument/2006/relationships/hyperlink" Target="https://arxiv.org/abs/2502.12524" TargetMode="External" Id="rId23"/><Relationship Type="http://schemas.openxmlformats.org/officeDocument/2006/relationships/hyperlink" Target="https://docs.ultralytics.com/models/yolo11/" TargetMode="External" Id="rId24"/></Relationships>
</file>

<file path=xl/worksheets/_rels/sheet7.xml.rels><Relationships xmlns="http://schemas.openxmlformats.org/package/2006/relationships"><Relationship Type="http://schemas.openxmlformats.org/officeDocument/2006/relationships/hyperlink" Target="https://arxiv.org/abs/2203.03605" TargetMode="External" Id="rId1"/><Relationship Type="http://schemas.openxmlformats.org/officeDocument/2006/relationships/hyperlink" Target="https://github.com/alibaba/easyrobust" TargetMode="External" Id="rId2"/><Relationship Type="http://schemas.openxmlformats.org/officeDocument/2006/relationships/hyperlink" Target="https://arxiv.org/abs/2307.12730" TargetMode="External" Id="rId3"/><Relationship Type="http://schemas.openxmlformats.org/officeDocument/2006/relationships/hyperlink" Target="https://github.com/alibaba/easyrobust" TargetMode="External" Id="rId4"/><Relationship Type="http://schemas.openxmlformats.org/officeDocument/2006/relationships/hyperlink" Target="https://arxiv.org/abs/2307.12730" TargetMode="External" Id="rId5"/><Relationship Type="http://schemas.openxmlformats.org/officeDocument/2006/relationships/hyperlink" Target="https://github.com/alibaba/easyrobust" TargetMode="External" Id="rId6"/><Relationship Type="http://schemas.openxmlformats.org/officeDocument/2006/relationships/hyperlink" Target="https://arxiv.org/abs/2307.12730" TargetMode="External" Id="rId7"/><Relationship Type="http://schemas.openxmlformats.org/officeDocument/2006/relationships/hyperlink" Target="https://github.com/alibaba/easyrobust" TargetMode="External" Id="rId8"/><Relationship Type="http://schemas.openxmlformats.org/officeDocument/2006/relationships/hyperlink" Target="https://arxiv.org/abs/2307.12730" TargetMode="External" Id="rId9"/><Relationship Type="http://schemas.openxmlformats.org/officeDocument/2006/relationships/hyperlink" Target="https://github.com/OpenGVLab/InternImage" TargetMode="External" Id="rId10"/><Relationship Type="http://schemas.openxmlformats.org/officeDocument/2006/relationships/hyperlink" Target="https://arxiv.org/abs/2211.05778" TargetMode="External" Id="rId11"/><Relationship Type="http://schemas.openxmlformats.org/officeDocument/2006/relationships/hyperlink" Target="https://github.com/baaivision/EVA" TargetMode="External" Id="rId12"/><Relationship Type="http://schemas.openxmlformats.org/officeDocument/2006/relationships/hyperlink" Target="https://arxiv.org/abs/2303.11331" TargetMode="External" Id="rId13"/><Relationship Type="http://schemas.openxmlformats.org/officeDocument/2006/relationships/hyperlink" Target="https://github.com/Sense-X/Co-DETR" TargetMode="External" Id="rId14"/><Relationship Type="http://schemas.openxmlformats.org/officeDocument/2006/relationships/hyperlink" Target="https://arxiv.org/abs/2211.12860" TargetMode="External" Id="rId15"/><Relationship Type="http://schemas.openxmlformats.org/officeDocument/2006/relationships/hyperlink" Target="https://github.com/IDEA-Research/DINO" TargetMode="External" Id="rId16"/><Relationship Type="http://schemas.openxmlformats.org/officeDocument/2006/relationships/hyperlink" Target="https://docs.ultralytics.com/models/yolov8/" TargetMode="External" Id="rId17"/><Relationship Type="http://schemas.openxmlformats.org/officeDocument/2006/relationships/hyperlink" Target="https://github.com/ultralytics/ultralytics" TargetMode="External" Id="rId18"/><Relationship Type="http://schemas.openxmlformats.org/officeDocument/2006/relationships/hyperlink" Target="https://arxiv.org/abs/2304.08069" TargetMode="External" Id="rId19"/><Relationship Type="http://schemas.openxmlformats.org/officeDocument/2006/relationships/hyperlink" Target="https://github.com/lyuwenyu/RT-DETR" TargetMode="External" Id="rId20"/><Relationship Type="http://schemas.openxmlformats.org/officeDocument/2006/relationships/hyperlink" Target="https://arxiv.org/abs/2405.10300" TargetMode="External" Id="rId21"/><Relationship Type="http://schemas.openxmlformats.org/officeDocument/2006/relationships/hyperlink" Target="https://github.com/IDEA-Research/Grounding-DINO-1.5-API" TargetMode="External" Id="rId22"/></Relationships>
</file>

<file path=xl/worksheets/_rels/sheet8.xml.rels><Relationships xmlns="http://schemas.openxmlformats.org/package/2006/relationships"><Relationship Type="http://schemas.openxmlformats.org/officeDocument/2006/relationships/hyperlink" Target="https://github.com/IDEA-Research/DINO" TargetMode="External" Id="rId1"/><Relationship Type="http://schemas.openxmlformats.org/officeDocument/2006/relationships/hyperlink" Target="https://arxiv.org/abs/2203.03605" TargetMode="External" Id="rId2"/><Relationship Type="http://schemas.openxmlformats.org/officeDocument/2006/relationships/hyperlink" Target="https://github.com/WongKinYiu/yolov7" TargetMode="External" Id="rId3"/><Relationship Type="http://schemas.openxmlformats.org/officeDocument/2006/relationships/hyperlink" Target="https://arxiv.org/abs/2207.02696" TargetMode="External" Id="rId4"/><Relationship Type="http://schemas.openxmlformats.org/officeDocument/2006/relationships/hyperlink" Target="https://github.com/AlexeyAB/darknet" TargetMode="External" Id="rId5"/><Relationship Type="http://schemas.openxmlformats.org/officeDocument/2006/relationships/hyperlink" Target="https://arxiv.org/abs/2004.10934" TargetMode="External" Id="rId6"/><Relationship Type="http://schemas.openxmlformats.org/officeDocument/2006/relationships/hyperlink" Target="https://github.com/zhaoweicai/cascade-rcnn" TargetMode="External" Id="rId7"/><Relationship Type="http://schemas.openxmlformats.org/officeDocument/2006/relationships/hyperlink" Target="https://arxiv.org/abs/1712.00726" TargetMode="External" Id="rId8"/><Relationship Type="http://schemas.openxmlformats.org/officeDocument/2006/relationships/hyperlink" Target="https://github.com/facebookresearch/detr" TargetMode="External" Id="rId9"/><Relationship Type="http://schemas.openxmlformats.org/officeDocument/2006/relationships/hyperlink" Target="https://arxiv.org/abs/2005.12872" TargetMode="External" Id="rId10"/><Relationship Type="http://schemas.openxmlformats.org/officeDocument/2006/relationships/hyperlink" Target="https://github.com/PeizeSun/SparseR-CNN" TargetMode="External" Id="rId11"/><Relationship Type="http://schemas.openxmlformats.org/officeDocument/2006/relationships/hyperlink" Target="https://arxiv.org/abs/2011.12450" TargetMode="External" Id="rId12"/><Relationship Type="http://schemas.openxmlformats.org/officeDocument/2006/relationships/hyperlink" Target="https://github.com/facebookresearch/Detectron" TargetMode="External" Id="rId13"/><Relationship Type="http://schemas.openxmlformats.org/officeDocument/2006/relationships/hyperlink" Target="https://github.com/rbgirshick/py-faster-rcnn" TargetMode="External" Id="rId14"/><Relationship Type="http://schemas.openxmlformats.org/officeDocument/2006/relationships/hyperlink" Target="https://arxiv.org/abs/1708.02002" TargetMode="External" Id="rId15"/><Relationship Type="http://schemas.openxmlformats.org/officeDocument/2006/relationships/hyperlink" Target="https://github.com/ultralytics/ultralytics" TargetMode="External" Id="rId16"/><Relationship Type="http://schemas.openxmlformats.org/officeDocument/2006/relationships/hyperlink" Target="https://arxiv.org/abs/1506.01497" TargetMode="External" Id="rId17"/><Relationship Type="http://schemas.openxmlformats.org/officeDocument/2006/relationships/hyperlink" Target="https://github.com/Deci-AI/super-gradients" TargetMode="External" Id="rId18"/><Relationship Type="http://schemas.openxmlformats.org/officeDocument/2006/relationships/hyperlink" Target="https://github.com/IDEA-Research/GroundingDINO" TargetMode="External" Id="rId19"/><Relationship Type="http://schemas.openxmlformats.org/officeDocument/2006/relationships/hyperlink" Target="https://docs.ultralytics.com/models/yolov8/" TargetMode="External" Id="rId20"/><Relationship Type="http://schemas.openxmlformats.org/officeDocument/2006/relationships/hyperlink" Target="https://github.com/Deci-AI/super-gradients" TargetMode="External" Id="rId21"/><Relationship Type="http://schemas.openxmlformats.org/officeDocument/2006/relationships/hyperlink" Target="https://arxiv.org/abs/2303.05499" TargetMode="External" Id="rId22"/></Relationships>
</file>

<file path=xl/worksheets/_rels/sheet9.xml.rels><Relationships xmlns="http://schemas.openxmlformats.org/package/2006/relationships"><Relationship Type="http://schemas.openxmlformats.org/officeDocument/2006/relationships/hyperlink" Target="https://arxiv.org/abs/2207.13165" TargetMode="External" Id="rId1"/><Relationship Type="http://schemas.openxmlformats.org/officeDocument/2006/relationships/hyperlink" Target="https://github.com/anlinzheng/iter-deformable-detr" TargetMode="External" Id="rId2"/><Relationship Type="http://schemas.openxmlformats.org/officeDocument/2006/relationships/hyperlink" Target="https://arxiv.org/abs/2012.06785" TargetMode="External" Id="rId3"/><Relationship Type="http://schemas.openxmlformats.org/officeDocument/2006/relationships/hyperlink" Target="https://github.com/Hatins/DEYOLO" TargetMode="External" Id="rId4"/><Relationship Type="http://schemas.openxmlformats.org/officeDocument/2006/relationships/hyperlink" Target="https://arxiv.org/abs/2010.04159" TargetMode="External" Id="rId5"/><Relationship Type="http://schemas.openxmlformats.org/officeDocument/2006/relationships/hyperlink" Target="https://github.com/fundamentalvision/Deformable-DETR" TargetMode="External" Id="rId6"/><Relationship Type="http://schemas.openxmlformats.org/officeDocument/2006/relationships/hyperlink" Target="https://arxiv.org/abs/2011.12450" TargetMode="External" Id="rId7"/><Relationship Type="http://schemas.openxmlformats.org/officeDocument/2006/relationships/hyperlink" Target="https://github.com/PeizeSun/SparseR-CNN" TargetMode="External" Id="rId8"/><Relationship Type="http://schemas.openxmlformats.org/officeDocument/2006/relationships/hyperlink" Target="https://arxiv.org/abs/2003.07847" TargetMode="External" Id="rId9"/><Relationship Type="http://schemas.openxmlformats.org/officeDocument/2006/relationships/hyperlink" Target="https://github.com/Megvii-BaseDetection/CrowdDetection" TargetMode="External" Id="rId10"/><Relationship Type="http://schemas.openxmlformats.org/officeDocument/2006/relationships/hyperlink" Target="https://arxiv.org/abs/2003.07847" TargetMode="External" Id="rId11"/><Relationship Type="http://schemas.openxmlformats.org/officeDocument/2006/relationships/hyperlink" Target="https://github.com/Purkialo/CrowdDet" TargetMode="External" Id="rId12"/><Relationship Type="http://schemas.openxmlformats.org/officeDocument/2006/relationships/hyperlink" Target="https://arxiv.org/abs/2207.02696" TargetMode="External" Id="rId13"/><Relationship Type="http://schemas.openxmlformats.org/officeDocument/2006/relationships/hyperlink" Target="https://github.com/WongKinYiu/yolov7" TargetMode="External" Id="rId14"/><Relationship Type="http://schemas.openxmlformats.org/officeDocument/2006/relationships/hyperlink" Target="https://arxiv.org/abs/2003.07847" TargetMode="External" Id="rId15"/><Relationship Type="http://schemas.openxmlformats.org/officeDocument/2006/relationships/hyperlink" Target="https://github.com/Purkialo/CrowdDet" TargetMode="External" Id="rId16"/><Relationship Type="http://schemas.openxmlformats.org/officeDocument/2006/relationships/hyperlink" Target="https://arxiv.org/abs/1805.00123" TargetMode="External" Id="rId17"/><Relationship Type="http://schemas.openxmlformats.org/officeDocument/2006/relationships/hyperlink" Target="https://github.com/Purkialo/CrowdDet" TargetMode="External" Id="rId18"/><Relationship Type="http://schemas.openxmlformats.org/officeDocument/2006/relationships/hyperlink" Target="https://arxiv.org/abs/2309.00000" TargetMode="External" Id="rId19"/><Relationship Type="http://schemas.openxmlformats.org/officeDocument/2006/relationships/hyperlink" Target="https://github.com/" TargetMode="External" Id="rId20"/><Relationship Type="http://schemas.openxmlformats.org/officeDocument/2006/relationships/hyperlink" Target="https://docs.ultralytics.com/models/yolov8/" TargetMode="External" Id="rId21"/><Relationship Type="http://schemas.openxmlformats.org/officeDocument/2006/relationships/hyperlink" Target="https://github.com/ultralytics/ultralytics" TargetMode="External" Id="rId22"/></Relationships>
</file>

<file path=xl/worksheets/_rels/sheet10.xml.rels><Relationships xmlns="http://schemas.openxmlformats.org/package/2006/relationships"><Relationship Type="http://schemas.openxmlformats.org/officeDocument/2006/relationships/hyperlink" Target="https://arxiv.org/abs/2403.11249" TargetMode="External" Id="rId1"/><Relationship Type="http://schemas.openxmlformats.org/officeDocument/2006/relationships/hyperlink" Target="https://arxiv.org/abs/2403.11249" TargetMode="External" Id="rId2"/><Relationship Type="http://schemas.openxmlformats.org/officeDocument/2006/relationships/hyperlink" Target="https://arxiv.org/abs/2403.11249" TargetMode="External" Id="rId3"/><Relationship Type="http://schemas.openxmlformats.org/officeDocument/2006/relationships/hyperlink" Target="https://arxiv.org/abs/2403.11249" TargetMode="External" Id="rId4"/><Relationship Type="http://schemas.openxmlformats.org/officeDocument/2006/relationships/hyperlink" Target="https://arxiv.org/abs/2403.11249" TargetMode="External" Id="rId5"/><Relationship Type="http://schemas.openxmlformats.org/officeDocument/2006/relationships/hyperlink" Target="https://arxiv.org/abs/2403.11249" TargetMode="External" Id="rId6"/><Relationship Type="http://schemas.openxmlformats.org/officeDocument/2006/relationships/hyperlink" Target="https://arxiv.org/abs/2403.11249" TargetMode="External" Id="rId7"/><Relationship Type="http://schemas.openxmlformats.org/officeDocument/2006/relationships/hyperlink" Target="https://arxiv.org/abs/2403.11249" TargetMode="External" Id="rId8"/></Relationships>
</file>

<file path=xl/worksheets/_rels/sheet11.xml.rels><Relationships xmlns="http://schemas.openxmlformats.org/package/2006/relationships"><Relationship Type="http://schemas.openxmlformats.org/officeDocument/2006/relationships/hyperlink" Target="https://arxiv.org/abs/2112.09569" TargetMode="External" Id="rId1"/><Relationship Type="http://schemas.openxmlformats.org/officeDocument/2006/relationships/hyperlink" Target="https://arxiv.org/abs/2112.09569" TargetMode="External" Id="rId2"/><Relationship Type="http://schemas.openxmlformats.org/officeDocument/2006/relationships/hyperlink" Target="https://arxiv.org/abs/2112.09569" TargetMode="External" Id="rId3"/><Relationship Type="http://schemas.openxmlformats.org/officeDocument/2006/relationships/hyperlink" Target="https://arxiv.org/abs/2112.09569" TargetMode="External" Id="rId4"/><Relationship Type="http://schemas.openxmlformats.org/officeDocument/2006/relationships/hyperlink" Target="https://arxiv.org/abs/2112.09569" TargetMode="External" Id="rId5"/><Relationship Type="http://schemas.openxmlformats.org/officeDocument/2006/relationships/hyperlink" Target="https://arxiv.org/abs/2112.09569" TargetMode="External" Id="rId6"/><Relationship Type="http://schemas.openxmlformats.org/officeDocument/2006/relationships/hyperlink" Target="https://arxiv.org/abs/2112.09569" TargetMode="External" Id="rId7"/><Relationship Type="http://schemas.openxmlformats.org/officeDocument/2006/relationships/hyperlink" Target="https://arxiv.org/abs/2112.09569" TargetMode="External" Id="rId8"/><Relationship Type="http://schemas.openxmlformats.org/officeDocument/2006/relationships/hyperlink" Target="https://arxiv.org/abs/2112.09569" TargetMode="External" Id="rId9"/><Relationship Type="http://schemas.openxmlformats.org/officeDocument/2006/relationships/hyperlink" Target="https://arxiv.org/abs/2112.09569" TargetMode="External" Id="rId10"/><Relationship Type="http://schemas.openxmlformats.org/officeDocument/2006/relationships/hyperlink" Target="https://arxiv.org/abs/2112.09569" TargetMode="External" Id="rId11"/><Relationship Type="http://schemas.openxmlformats.org/officeDocument/2006/relationships/hyperlink" Target="https://arxiv.org/abs/2112.09569" TargetMode="External" Id="rId12"/><Relationship Type="http://schemas.openxmlformats.org/officeDocument/2006/relationships/hyperlink" Target="https://arxiv.org/abs/2112.09569" TargetMode="External" Id="rId13"/><Relationship Type="http://schemas.openxmlformats.org/officeDocument/2006/relationships/hyperlink" Target="https://arxiv.org/abs/2112.09569" TargetMode="External" Id="rId14"/><Relationship Type="http://schemas.openxmlformats.org/officeDocument/2006/relationships/hyperlink" Target="https://arxiv.org/abs/2112.09569" TargetMode="External" Id="rId15"/></Relationships>
</file>

<file path=xl/worksheets/_rels/sheet12.xml.rels><Relationships xmlns="http://schemas.openxmlformats.org/package/2006/relationships"><Relationship Type="http://schemas.openxmlformats.org/officeDocument/2006/relationships/hyperlink" Target="https://arxiv.org/abs/2008.01365" TargetMode="External" Id="rId1"/><Relationship Type="http://schemas.openxmlformats.org/officeDocument/2006/relationships/hyperlink" Target="https://arxiv.org/abs/2008.01365" TargetMode="External" Id="rId2"/><Relationship Type="http://schemas.openxmlformats.org/officeDocument/2006/relationships/hyperlink" Target="https://arxiv.org/abs/2008.01365" TargetMode="External" Id="rId3"/><Relationship Type="http://schemas.openxmlformats.org/officeDocument/2006/relationships/hyperlink" Target="https://arxiv.org/abs/2008.01365" TargetMode="External" Id="rId4"/><Relationship Type="http://schemas.openxmlformats.org/officeDocument/2006/relationships/hyperlink" Target="https://arxiv.org/abs/2008.01365" TargetMode="External" Id="rId5"/></Relationships>
</file>

<file path=xl/worksheets/_rels/sheet13.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4.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5.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6.xml.rels><Relationships xmlns="http://schemas.openxmlformats.org/package/2006/relationships"><Relationship Type="http://schemas.openxmlformats.org/officeDocument/2006/relationships/hyperlink" Target="https://arxiv.org/abs/2303.17144" TargetMode="External" Id="rId1"/><Relationship Type="http://schemas.openxmlformats.org/officeDocument/2006/relationships/hyperlink" Target="https://github.com/zhiqic/DAMO-StreamNet" TargetMode="External" Id="rId2"/><Relationship Type="http://schemas.openxmlformats.org/officeDocument/2006/relationships/hyperlink" Target="https://arxiv.org/abs/2207.10433" TargetMode="External" Id="rId3"/><Relationship Type="http://schemas.openxmlformats.org/officeDocument/2006/relationships/hyperlink" Target="https://github.com/yancie-yjr/StreamYOLO" TargetMode="External" Id="rId4"/><Relationship Type="http://schemas.openxmlformats.org/officeDocument/2006/relationships/hyperlink" Target="https://arxiv.org/abs/2210.15518" TargetMode="External" Id="rId5"/><Relationship Type="http://schemas.openxmlformats.org/officeDocument/2006/relationships/hyperlink" Target="https://github.com/LongShortNet/LongShortNet" TargetMode="External" Id="rId6"/><Relationship Type="http://schemas.openxmlformats.org/officeDocument/2006/relationships/hyperlink" Target="https://arxiv.org/abs/2207.10433" TargetMode="External" Id="rId7"/><Relationship Type="http://schemas.openxmlformats.org/officeDocument/2006/relationships/hyperlink" Target="https://github.com/yancie-yjr/StreamYOLO" TargetMode="External" Id="rId8"/><Relationship Type="http://schemas.openxmlformats.org/officeDocument/2006/relationships/hyperlink" Target="https://arxiv.org/abs/2107.08430" TargetMode="External" Id="rId9"/><Relationship Type="http://schemas.openxmlformats.org/officeDocument/2006/relationships/hyperlink" Target="https://github.com/Megvii-BaseDetection/YOLOX" TargetMode="External" Id="rId10"/><Relationship Type="http://schemas.openxmlformats.org/officeDocument/2006/relationships/hyperlink" Target="https://arxiv.org/abs/2005.10420" TargetMode="External" Id="rId11"/><Relationship Type="http://schemas.openxmlformats.org/officeDocument/2006/relationships/hyperlink" Target="https://github.com/mtli/sAP" TargetMode="External" Id="rId12"/><Relationship Type="http://schemas.openxmlformats.org/officeDocument/2006/relationships/hyperlink" Target="https://arxiv.org/abs/2304.00000" TargetMode="External" Id="rId13"/><Relationship Type="http://schemas.openxmlformats.org/officeDocument/2006/relationships/hyperlink" Target="https://github.com/" TargetMode="External" Id="rId14"/><Relationship Type="http://schemas.openxmlformats.org/officeDocument/2006/relationships/hyperlink" Target="https://github.com/open-mmlab/mmdetection" TargetMode="External" Id="rId15"/><Relationship Type="http://schemas.openxmlformats.org/officeDocument/2006/relationships/hyperlink" Target="https://github.com/open-mmlab/mmdetection" TargetMode="External" Id="rId16"/><Relationship Type="http://schemas.openxmlformats.org/officeDocument/2006/relationships/hyperlink" Target="https://arxiv.org/abs/2304.08069" TargetMode="External" Id="rId17"/><Relationship Type="http://schemas.openxmlformats.org/officeDocument/2006/relationships/hyperlink" Target="https://github.com/lyuwenyu/RT-DETR" TargetMode="External" Id="rId18"/><Relationship Type="http://schemas.openxmlformats.org/officeDocument/2006/relationships/hyperlink" Target="https://docs.ultralytics.com/models/yolov8/" TargetMode="External" Id="rId19"/><Relationship Type="http://schemas.openxmlformats.org/officeDocument/2006/relationships/hyperlink" Target="https://github.com/ultralytics/ultralytics" TargetMode="External" Id="rId20"/><Relationship Type="http://schemas.openxmlformats.org/officeDocument/2006/relationships/hyperlink" Target="https://arxiv.org/abs/2410.13842" TargetMode="External" Id="rId21"/><Relationship Type="http://schemas.openxmlformats.org/officeDocument/2006/relationships/hyperlink" Target="https://github.com/Peterande/D-FINE" TargetMode="External" Id="rId22"/></Relationships>
</file>

<file path=xl/worksheets/_rels/sheet17.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8.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19.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0.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1.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2.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3.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4.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5.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6.xml.rels><Relationships xmlns="http://schemas.openxmlformats.org/package/2006/relationships"><Relationship Type="http://schemas.openxmlformats.org/officeDocument/2006/relationships/hyperlink" Target="https://arxiv.org/abs/2401.03407" TargetMode="External" Id="rId1"/><Relationship Type="http://schemas.openxmlformats.org/officeDocument/2006/relationships/hyperlink" Target="https://github.com/ZhengPeng7/BiRefNet" TargetMode="External" Id="rId2"/><Relationship Type="http://schemas.openxmlformats.org/officeDocument/2006/relationships/hyperlink" Target="https://arxiv.org/abs/2209.09475" TargetMode="External" Id="rId3"/><Relationship Type="http://schemas.openxmlformats.org/officeDocument/2006/relationships/hyperlink" Target="https://github.com/plemeri/InSPyReNet" TargetMode="External" Id="rId4"/><Relationship Type="http://schemas.openxmlformats.org/officeDocument/2006/relationships/hyperlink" Target="https://arxiv.org/abs/2404.07445" TargetMode="External" Id="rId5"/><Relationship Type="http://schemas.openxmlformats.org/officeDocument/2006/relationships/hyperlink" Target="https://github.com/qianyu-dlut/MVANet" TargetMode="External" Id="rId6"/><Relationship Type="http://schemas.openxmlformats.org/officeDocument/2006/relationships/hyperlink" Target="https://arxiv.org/abs/2309.08365" TargetMode="External" Id="rId7"/><Relationship Type="http://schemas.openxmlformats.org/officeDocument/2006/relationships/hyperlink" Target="https://github.com/I2-Multimedia-Lab/M3Net" TargetMode="External" Id="rId8"/><Relationship Type="http://schemas.openxmlformats.org/officeDocument/2006/relationships/hyperlink" Target="https://arxiv.org/abs/2111.13409" TargetMode="External" Id="rId9"/><Relationship Type="http://schemas.openxmlformats.org/officeDocument/2006/relationships/hyperlink" Target="https://github.com/mczhuge/ICON" TargetMode="External" Id="rId10"/><Relationship Type="http://schemas.openxmlformats.org/officeDocument/2006/relationships/hyperlink" Target="https://arxiv.org/abs/2104.12099" TargetMode="External" Id="rId11"/><Relationship Type="http://schemas.openxmlformats.org/officeDocument/2006/relationships/hyperlink" Target="https://github.com/nnizhang/VST" TargetMode="External" Id="rId12"/><Relationship Type="http://schemas.openxmlformats.org/officeDocument/2006/relationships/hyperlink" Target="https://arxiv.org/abs/2012.13093" TargetMode="External" Id="rId13"/><Relationship Type="http://schemas.openxmlformats.org/officeDocument/2006/relationships/hyperlink" Target="https://github.com/yuhuan-wu/EDN" TargetMode="External" Id="rId14"/><Relationship Type="http://schemas.openxmlformats.org/officeDocument/2006/relationships/hyperlink" Target="https://arxiv.org/abs/1904.09569" TargetMode="External" Id="rId15"/><Relationship Type="http://schemas.openxmlformats.org/officeDocument/2006/relationships/hyperlink" Target="https://github.com/backseason/PoolNet" TargetMode="External" Id="rId16"/><Relationship Type="http://schemas.openxmlformats.org/officeDocument/2006/relationships/hyperlink" Target="https://arxiv.org/abs/2007.09062" TargetMode="External" Id="rId17"/><Relationship Type="http://schemas.openxmlformats.org/officeDocument/2006/relationships/hyperlink" Target="https://github.com/lartpang/MINet" TargetMode="External" Id="rId18"/><Relationship Type="http://schemas.openxmlformats.org/officeDocument/2006/relationships/hyperlink" Target="https://arxiv.org/abs/2005.09007" TargetMode="External" Id="rId19"/><Relationship Type="http://schemas.openxmlformats.org/officeDocument/2006/relationships/hyperlink" Target="https://github.com/xuebinqin/U-2-Net" TargetMode="External" Id="rId20"/><Relationship Type="http://schemas.openxmlformats.org/officeDocument/2006/relationships/hyperlink" Target="https://arxiv.org/abs/1904.07857" TargetMode="External" Id="rId21"/><Relationship Type="http://schemas.openxmlformats.org/officeDocument/2006/relationships/hyperlink" Target="https://github.com/xuebinqin/BASNet" TargetMode="External" Id="rId22"/><Relationship Type="http://schemas.openxmlformats.org/officeDocument/2006/relationships/hyperlink" Target="https://github.com/I2-Multimedia-Lab/UGRAN" TargetMode="External" Id="rId23"/><Relationship Type="http://schemas.openxmlformats.org/officeDocument/2006/relationships/hyperlink" Target="https://github.com/I2-Multimedia-Lab/UGRAN" TargetMode="External" Id="rId24"/></Relationships>
</file>

<file path=xl/worksheets/_rels/sheet27.xml.rels><Relationships xmlns="http://schemas.openxmlformats.org/package/2006/relationships"><Relationship Type="http://schemas.openxmlformats.org/officeDocument/2006/relationships/hyperlink" Target="https://arxiv.org/abs/2402.03094" TargetMode="External" Id="rId1"/><Relationship Type="http://schemas.openxmlformats.org/officeDocument/2006/relationships/hyperlink" Target="https://github.com/lovelyqian/CDFSOD-benchmark" TargetMode="External" Id="rId2"/><Relationship Type="http://schemas.openxmlformats.org/officeDocument/2006/relationships/hyperlink" Target="https://arxiv.org/abs/2304.00000" TargetMode="External" Id="rId3"/><Relationship Type="http://schemas.openxmlformats.org/officeDocument/2006/relationships/hyperlink" Target="https://github.com/" TargetMode="External" Id="rId4"/><Relationship Type="http://schemas.openxmlformats.org/officeDocument/2006/relationships/hyperlink" Target="https://arxiv.org/abs/1909.13032" TargetMode="External" Id="rId5"/><Relationship Type="http://schemas.openxmlformats.org/officeDocument/2006/relationships/hyperlink" Target="https://github.com/yanxp/MetaR-CNN" TargetMode="External" Id="rId6"/><Relationship Type="http://schemas.openxmlformats.org/officeDocument/2006/relationships/hyperlink" Target="https://github.com/lovelyqian/CDFSOD-benchmark" TargetMode="External" Id="rId7"/><Relationship Type="http://schemas.openxmlformats.org/officeDocument/2006/relationships/hyperlink" Target="https://github.com/lovelyqian/CDFSOD-benchmark" TargetMode="External" Id="rId8"/><Relationship Type="http://schemas.openxmlformats.org/officeDocument/2006/relationships/hyperlink" Target="https://arxiv.org/abs/2201.02605" TargetMode="External" Id="rId9"/><Relationship Type="http://schemas.openxmlformats.org/officeDocument/2006/relationships/hyperlink" Target="https://github.com/facebookresearch/Detic" TargetMode="External" Id="rId10"/><Relationship Type="http://schemas.openxmlformats.org/officeDocument/2006/relationships/hyperlink" Target="https://arxiv.org/abs/2303.05499" TargetMode="External" Id="rId11"/><Relationship Type="http://schemas.openxmlformats.org/officeDocument/2006/relationships/hyperlink" Target="https://github.com/IDEA-Research/GroundingDINO" TargetMode="External" Id="rId12"/><Relationship Type="http://schemas.openxmlformats.org/officeDocument/2006/relationships/hyperlink" Target="https://arxiv.org/abs/2504.10685" TargetMode="External" Id="rId13"/><Relationship Type="http://schemas.openxmlformats.org/officeDocument/2006/relationships/hyperlink" Target="https://github.com/lovelyqian/NTIRE2025_CDFSOD" TargetMode="External" Id="rId14"/><Relationship Type="http://schemas.openxmlformats.org/officeDocument/2006/relationships/hyperlink" Target="https://arxiv.org/abs/2108.09017" TargetMode="External" Id="rId15"/><Relationship Type="http://schemas.openxmlformats.org/officeDocument/2006/relationships/hyperlink" Target="https://github.com/er-muyue/DeFRCN" TargetMode="External" Id="rId16"/><Relationship Type="http://schemas.openxmlformats.org/officeDocument/2006/relationships/hyperlink" Target="https://arxiv.org/abs/2103.05950" TargetMode="External" Id="rId17"/><Relationship Type="http://schemas.openxmlformats.org/officeDocument/2006/relationships/hyperlink" Target="https://github.com/megvii-research/FSCE"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2.03094" TargetMode="External" Id="rId21"/><Relationship Type="http://schemas.openxmlformats.org/officeDocument/2006/relationships/hyperlink" Target="https://github.com/lovelyqian/CDFSOD-benchmark" TargetMode="External" Id="rId22"/></Relationships>
</file>

<file path=xl/worksheets/_rels/sheet28.xml.rels><Relationships xmlns="http://schemas.openxmlformats.org/package/2006/relationships"><Relationship Type="http://schemas.openxmlformats.org/officeDocument/2006/relationships/hyperlink" Target="https://arxiv.org/abs/2204.05507" TargetMode="External" Id="rId1"/><Relationship Type="http://schemas.openxmlformats.org/officeDocument/2006/relationships/hyperlink" Target="https://github.com/fcdl94/MMA" TargetMode="External" Id="rId2"/><Relationship Type="http://schemas.openxmlformats.org/officeDocument/2006/relationships/hyperlink" Target="https://arxiv.org/abs/2305.18068" TargetMode="External" Id="rId3"/><Relationship Type="http://schemas.openxmlformats.org/officeDocument/2006/relationships/hyperlink" Target="https://github.com/Yiyao-Liu/ABR" TargetMode="External" Id="rId4"/><Relationship Type="http://schemas.openxmlformats.org/officeDocument/2006/relationships/hyperlink" Target="https://arxiv.org/abs/2204.02136" TargetMode="External" Id="rId5"/><Relationship Type="http://schemas.openxmlformats.org/officeDocument/2006/relationships/hyperlink" Target="https://github.com/Hi-FT/ERD" TargetMode="External" Id="rId6"/><Relationship Type="http://schemas.openxmlformats.org/officeDocument/2006/relationships/hyperlink" Target="https://arxiv.org/abs/2304.03110" TargetMode="External" Id="rId7"/><Relationship Type="http://schemas.openxmlformats.org/officeDocument/2006/relationships/hyperlink" Target="https://github.com/yaoyao-liu/CL-DETR" TargetMode="External" Id="rId8"/><Relationship Type="http://schemas.openxmlformats.org/officeDocument/2006/relationships/hyperlink" Target="https://arxiv.org/abs/2212.01424" TargetMode="External" Id="rId9"/><Relationship Type="http://schemas.openxmlformats.org/officeDocument/2006/relationships/hyperlink" Target="https://github.com/orrzohar/PROB" TargetMode="External" Id="rId10"/><Relationship Type="http://schemas.openxmlformats.org/officeDocument/2006/relationships/hyperlink" Target="https://arxiv.org/abs/1606.09282" TargetMode="External" Id="rId11"/><Relationship Type="http://schemas.openxmlformats.org/officeDocument/2006/relationships/hyperlink" Target="https://github.com/lhyfst/LwF" TargetMode="External" Id="rId12"/><Relationship Type="http://schemas.openxmlformats.org/officeDocument/2006/relationships/hyperlink" Target="https://arxiv.org/abs/2003.03901" TargetMode="External" Id="rId13"/><Relationship Type="http://schemas.openxmlformats.org/officeDocument/2006/relationships/hyperlink" Target="https://github.com/JosephKJ/iOD" TargetMode="External" Id="rId14"/><Relationship Type="http://schemas.openxmlformats.org/officeDocument/2006/relationships/hyperlink" Target="https://arxiv.org/abs/2103.02603" TargetMode="External" Id="rId15"/><Relationship Type="http://schemas.openxmlformats.org/officeDocument/2006/relationships/hyperlink" Target="https://github.com/JosephKJ/OWOD" TargetMode="External" Id="rId16"/><Relationship Type="http://schemas.openxmlformats.org/officeDocument/2006/relationships/hyperlink" Target="https://arxiv.org/abs/2112.01513" TargetMode="External" Id="rId17"/><Relationship Type="http://schemas.openxmlformats.org/officeDocument/2006/relationships/hyperlink" Target="https://github.com/akshitac8/OW-DETR" TargetMode="External" Id="rId18"/><Relationship Type="http://schemas.openxmlformats.org/officeDocument/2006/relationships/hyperlink" Target="https://arxiv.org/abs/2404.00000" TargetMode="External" Id="rId19"/><Relationship Type="http://schemas.openxmlformats.org/officeDocument/2006/relationships/hyperlink" Target="https://github.com/" TargetMode="External" Id="rId20"/><Relationship Type="http://schemas.openxmlformats.org/officeDocument/2006/relationships/hyperlink" Target="https://arxiv.org/abs/1506.01497" TargetMode="External" Id="rId21"/><Relationship Type="http://schemas.openxmlformats.org/officeDocument/2006/relationships/hyperlink" Target="https://github.com/rbgirshick/py-faster-rcnn" TargetMode="External" Id="rId22"/></Relationships>
</file>

<file path=xl/worksheets/_rels/sheet29.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0.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1.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2.xml.rels><Relationships xmlns="http://schemas.openxmlformats.org/package/2006/relationships"><Relationship Type="http://schemas.openxmlformats.org/officeDocument/2006/relationships/hyperlink" Target="https://arxiv.org/abs/2108.09017" TargetMode="External" Id="rId1"/><Relationship Type="http://schemas.openxmlformats.org/officeDocument/2006/relationships/hyperlink" Target="https://github.com/er-muyue/DeFRCN" TargetMode="External" Id="rId2"/><Relationship Type="http://schemas.openxmlformats.org/officeDocument/2006/relationships/hyperlink" Target="https://arxiv.org/abs/2208.00219" TargetMode="External" Id="rId3"/><Relationship Type="http://schemas.openxmlformats.org/officeDocument/2006/relationships/hyperlink" Target="https://github.com/ZhangGongjie/Meta-DETR"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7.09384" TargetMode="External" Id="rId9"/><Relationship Type="http://schemas.openxmlformats.org/officeDocument/2006/relationships/hyperlink" Target="https://github.com/jiaxi-wu/MPSR" TargetMode="External" Id="rId10"/><Relationship Type="http://schemas.openxmlformats.org/officeDocument/2006/relationships/hyperlink" Target="https://arxiv.org/abs/2003.06957" TargetMode="External" Id="rId11"/><Relationship Type="http://schemas.openxmlformats.org/officeDocument/2006/relationships/hyperlink" Target="https://github.com/ucbdrive/few-shot-object-detection"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3.xml.rels><Relationships xmlns="http://schemas.openxmlformats.org/package/2006/relationships"><Relationship Type="http://schemas.openxmlformats.org/officeDocument/2006/relationships/hyperlink" Target="https://arxiv.org/abs/2208.00219" TargetMode="External" Id="rId1"/><Relationship Type="http://schemas.openxmlformats.org/officeDocument/2006/relationships/hyperlink" Target="https://github.com/ZhangGongjie/Meta-DETR" TargetMode="External" Id="rId2"/><Relationship Type="http://schemas.openxmlformats.org/officeDocument/2006/relationships/hyperlink" Target="https://arxiv.org/abs/2108.09017" TargetMode="External" Id="rId3"/><Relationship Type="http://schemas.openxmlformats.org/officeDocument/2006/relationships/hyperlink" Target="https://github.com/er-muyue/DeFRCN" TargetMode="External" Id="rId4"/><Relationship Type="http://schemas.openxmlformats.org/officeDocument/2006/relationships/hyperlink" Target="https://arxiv.org/abs/2106.04550" TargetMode="External" Id="rId5"/><Relationship Type="http://schemas.openxmlformats.org/officeDocument/2006/relationships/hyperlink" Target="https://github.com/amirbar/DETReg" TargetMode="External" Id="rId6"/><Relationship Type="http://schemas.openxmlformats.org/officeDocument/2006/relationships/hyperlink" Target="https://arxiv.org/abs/2103.05950" TargetMode="External" Id="rId7"/><Relationship Type="http://schemas.openxmlformats.org/officeDocument/2006/relationships/hyperlink" Target="https://github.com/megvii-research/FSCE" TargetMode="External" Id="rId8"/><Relationship Type="http://schemas.openxmlformats.org/officeDocument/2006/relationships/hyperlink" Target="https://arxiv.org/abs/2003.06957" TargetMode="External" Id="rId9"/><Relationship Type="http://schemas.openxmlformats.org/officeDocument/2006/relationships/hyperlink" Target="https://github.com/ucbdrive/few-shot-object-detection" TargetMode="External" Id="rId10"/><Relationship Type="http://schemas.openxmlformats.org/officeDocument/2006/relationships/hyperlink" Target="https://arxiv.org/abs/2007.09384" TargetMode="External" Id="rId11"/><Relationship Type="http://schemas.openxmlformats.org/officeDocument/2006/relationships/hyperlink" Target="https://github.com/jiaxi-wu/MPSR" TargetMode="External" Id="rId12"/><Relationship Type="http://schemas.openxmlformats.org/officeDocument/2006/relationships/hyperlink" Target="https://arxiv.org/abs/1909.13032" TargetMode="External" Id="rId13"/><Relationship Type="http://schemas.openxmlformats.org/officeDocument/2006/relationships/hyperlink" Target="https://github.com/yanxp/MetaR-CNN" TargetMode="External" Id="rId14"/><Relationship Type="http://schemas.openxmlformats.org/officeDocument/2006/relationships/hyperlink" Target="https://arxiv.org/abs/1812.01866" TargetMode="External" Id="rId15"/><Relationship Type="http://schemas.openxmlformats.org/officeDocument/2006/relationships/hyperlink" Target="https://github.com/bingykang/Fewshot_Detection" TargetMode="External" Id="rId16"/><Relationship Type="http://schemas.openxmlformats.org/officeDocument/2006/relationships/hyperlink" Target="https://arxiv.org/abs/2402.10433" TargetMode="External" Id="rId17"/><Relationship Type="http://schemas.openxmlformats.org/officeDocument/2006/relationships/hyperlink" Target="https://github.com/han-tianyu/FM-FSOD" TargetMode="External" Id="rId18"/><Relationship Type="http://schemas.openxmlformats.org/officeDocument/2006/relationships/hyperlink" Target="https://www.sciencedirect.com/science/article/abs/pii/S1566253525007900" TargetMode="External" Id="rId19"/><Relationship Type="http://schemas.openxmlformats.org/officeDocument/2006/relationships/hyperlink" Target="https://github.com/" TargetMode="External" Id="rId20"/><Relationship Type="http://schemas.openxmlformats.org/officeDocument/2006/relationships/hyperlink" Target="https://arxiv.org/abs/2404.00700" TargetMode="External" Id="rId21"/><Relationship Type="http://schemas.openxmlformats.org/officeDocument/2006/relationships/hyperlink" Target="https://github.com/" TargetMode="External" Id="rId22"/></Relationships>
</file>

<file path=xl/worksheets/_rels/sheet34.xml.rels><Relationships xmlns="http://schemas.openxmlformats.org/package/2006/relationships"><Relationship Type="http://schemas.openxmlformats.org/officeDocument/2006/relationships/hyperlink" Target="https://github.com/facebookresearch/Detic"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github.com/IDEA-Research/GroundingDINO" TargetMode="External" Id="rId3"/><Relationship Type="http://schemas.openxmlformats.org/officeDocument/2006/relationships/hyperlink" Target="https://arxiv.org/abs/2411.14347" TargetMode="External" Id="rId4"/><Relationship Type="http://schemas.openxmlformats.org/officeDocument/2006/relationships/hyperlink" Target="https://github.com/microsoft/GLIP" TargetMode="External" Id="rId5"/><Relationship Type="http://schemas.openxmlformats.org/officeDocument/2006/relationships/hyperlink" Target="https://arxiv.org/abs/2405.10300" TargetMode="External" Id="rId6"/><Relationship Type="http://schemas.openxmlformats.org/officeDocument/2006/relationships/hyperlink" Target="https://github.com/google-research/scenic/tree/main/scenic/projects/owl_vit" TargetMode="External" Id="rId7"/><Relationship Type="http://schemas.openxmlformats.org/officeDocument/2006/relationships/hyperlink" Target="https://arxiv.org/abs/2303.11331" TargetMode="External" Id="rId8"/><Relationship Type="http://schemas.openxmlformats.org/officeDocument/2006/relationships/hyperlink" Target="https://github.com/IDEA-Research/DINO-X-API" TargetMode="External" Id="rId9"/><Relationship Type="http://schemas.openxmlformats.org/officeDocument/2006/relationships/hyperlink" Target="https://arxiv.org/abs/2306.09683" TargetMode="External" Id="rId10"/><Relationship Type="http://schemas.openxmlformats.org/officeDocument/2006/relationships/hyperlink" Target="https://github.com/AILab-CVC/YOLO-World" TargetMode="External" Id="rId11"/><Relationship Type="http://schemas.openxmlformats.org/officeDocument/2006/relationships/hyperlink" Target="https://github.com/microsoft/RegionCLIP" TargetMode="External" Id="rId12"/><Relationship Type="http://schemas.openxmlformats.org/officeDocument/2006/relationships/hyperlink" Target="https://arxiv.org/abs/2201.02605" TargetMode="External" Id="rId13"/><Relationship Type="http://schemas.openxmlformats.org/officeDocument/2006/relationships/hyperlink" Target="https://github.com/zhenyuw16/UniDetector"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401.17270" TargetMode="External" Id="rId17"/><Relationship Type="http://schemas.openxmlformats.org/officeDocument/2006/relationships/hyperlink" Target="https://github.com/baaivision/EVA" TargetMode="External" Id="rId18"/><Relationship Type="http://schemas.openxmlformats.org/officeDocument/2006/relationships/hyperlink" Target="https://arxiv.org/abs/2303.05499" TargetMode="External" Id="rId19"/><Relationship Type="http://schemas.openxmlformats.org/officeDocument/2006/relationships/hyperlink" Target="https://arxiv.org/abs/2112.09106" TargetMode="External" Id="rId20"/><Relationship Type="http://schemas.openxmlformats.org/officeDocument/2006/relationships/hyperlink" Target="https://arxiv.org/abs/2112.03857" TargetMode="External" Id="rId21"/><Relationship Type="http://schemas.openxmlformats.org/officeDocument/2006/relationships/hyperlink" Target="https://arxiv.org/abs/2303.11749" TargetMode="External" Id="rId22"/></Relationships>
</file>

<file path=xl/worksheets/_rels/sheet35.xml.rels><Relationships xmlns="http://schemas.openxmlformats.org/package/2006/relationships"><Relationship Type="http://schemas.openxmlformats.org/officeDocument/2006/relationships/hyperlink" Target="https://arxiv.org/abs/2201.02605" TargetMode="External" Id="rId1"/><Relationship Type="http://schemas.openxmlformats.org/officeDocument/2006/relationships/hyperlink" Target="https://github.com/facebookresearch/Detic" TargetMode="External" Id="rId2"/><Relationship Type="http://schemas.openxmlformats.org/officeDocument/2006/relationships/hyperlink" Target="https://arxiv.org/abs/2405.10300" TargetMode="External" Id="rId3"/><Relationship Type="http://schemas.openxmlformats.org/officeDocument/2006/relationships/hyperlink" Target="https://github.com/IDEA-Research/Grounding-DINO-1.5-API" TargetMode="External" Id="rId4"/><Relationship Type="http://schemas.openxmlformats.org/officeDocument/2006/relationships/hyperlink" Target="https://arxiv.org/abs/2303.05499" TargetMode="External" Id="rId5"/><Relationship Type="http://schemas.openxmlformats.org/officeDocument/2006/relationships/hyperlink" Target="https://github.com/IDEA-Research/GroundingDINO"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11.14347" TargetMode="External" Id="rId11"/><Relationship Type="http://schemas.openxmlformats.org/officeDocument/2006/relationships/hyperlink" Target="https://github.com/IDEA-Research/DINO-X-API" TargetMode="External" Id="rId12"/><Relationship Type="http://schemas.openxmlformats.org/officeDocument/2006/relationships/hyperlink" Target="https://arxiv.org/abs/2401.17270" TargetMode="External" Id="rId13"/><Relationship Type="http://schemas.openxmlformats.org/officeDocument/2006/relationships/hyperlink" Target="https://github.com/AILab-CVC/YOLO-World" TargetMode="External" Id="rId14"/><Relationship Type="http://schemas.openxmlformats.org/officeDocument/2006/relationships/hyperlink" Target="https://arxiv.org/abs/2112.09106" TargetMode="External" Id="rId15"/><Relationship Type="http://schemas.openxmlformats.org/officeDocument/2006/relationships/hyperlink" Target="https://github.com/microsoft/RegionCLIP"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201.02605" TargetMode="External" Id="rId19"/><Relationship Type="http://schemas.openxmlformats.org/officeDocument/2006/relationships/hyperlink" Target="https://github.com/facebookresearch/Detic" TargetMode="External" Id="rId20"/><Relationship Type="http://schemas.openxmlformats.org/officeDocument/2006/relationships/hyperlink" Target="https://arxiv.org/abs/2303.11331" TargetMode="External" Id="rId21"/><Relationship Type="http://schemas.openxmlformats.org/officeDocument/2006/relationships/hyperlink" Target="https://github.com/baaivision/EVA" TargetMode="External" Id="rId22"/></Relationships>
</file>

<file path=xl/worksheets/_rels/sheet36.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411.14347" TargetMode="External" Id="rId5"/><Relationship Type="http://schemas.openxmlformats.org/officeDocument/2006/relationships/hyperlink" Target="https://github.com/IDEA-Research/DINO-X-API" TargetMode="External" Id="rId6"/><Relationship Type="http://schemas.openxmlformats.org/officeDocument/2006/relationships/hyperlink" Target="https://arxiv.org/abs/2112.03857" TargetMode="External" Id="rId7"/><Relationship Type="http://schemas.openxmlformats.org/officeDocument/2006/relationships/hyperlink" Target="https://github.com/microsoft/GLIP" TargetMode="External" Id="rId8"/><Relationship Type="http://schemas.openxmlformats.org/officeDocument/2006/relationships/hyperlink" Target="https://arxiv.org/abs/2206.05836" TargetMode="External" Id="rId9"/><Relationship Type="http://schemas.openxmlformats.org/officeDocument/2006/relationships/hyperlink" Target="https://github.com/microsoft/GLIP" TargetMode="External" Id="rId10"/><Relationship Type="http://schemas.openxmlformats.org/officeDocument/2006/relationships/hyperlink" Target="https://arxiv.org/abs/2205.06230" TargetMode="External" Id="rId11"/><Relationship Type="http://schemas.openxmlformats.org/officeDocument/2006/relationships/hyperlink" Target="https://github.com/google-research/scenic/tree/main/scenic/projects/owl_vit" TargetMode="External" Id="rId12"/><Relationship Type="http://schemas.openxmlformats.org/officeDocument/2006/relationships/hyperlink" Target="https://arxiv.org/abs/2306.09683" TargetMode="External" Id="rId13"/><Relationship Type="http://schemas.openxmlformats.org/officeDocument/2006/relationships/hyperlink" Target="https://github.com/google-research/scenic/tree/main/scenic/projects/owl_vit" TargetMode="External" Id="rId14"/><Relationship Type="http://schemas.openxmlformats.org/officeDocument/2006/relationships/hyperlink" Target="https://arxiv.org/abs/2201.02605" TargetMode="External" Id="rId15"/><Relationship Type="http://schemas.openxmlformats.org/officeDocument/2006/relationships/hyperlink" Target="https://github.com/facebookresearch/Detic" TargetMode="External" Id="rId16"/><Relationship Type="http://schemas.openxmlformats.org/officeDocument/2006/relationships/hyperlink" Target="https://arxiv.org/abs/2112.09106" TargetMode="External" Id="rId17"/><Relationship Type="http://schemas.openxmlformats.org/officeDocument/2006/relationships/hyperlink" Target="https://github.com/microsoft/RegionCLIP" TargetMode="External" Id="rId18"/><Relationship Type="http://schemas.openxmlformats.org/officeDocument/2006/relationships/hyperlink" Target="https://arxiv.org/abs/2303.11749" TargetMode="External" Id="rId19"/><Relationship Type="http://schemas.openxmlformats.org/officeDocument/2006/relationships/hyperlink" Target="https://github.com/zhenyuw16/UniDetector" TargetMode="External" Id="rId20"/><Relationship Type="http://schemas.openxmlformats.org/officeDocument/2006/relationships/hyperlink" Target="https://arxiv.org/abs/2401.17270" TargetMode="External" Id="rId21"/><Relationship Type="http://schemas.openxmlformats.org/officeDocument/2006/relationships/hyperlink" Target="https://github.com/AILab-CVC/YOLO-World" TargetMode="External" Id="rId22"/></Relationships>
</file>

<file path=xl/worksheets/_rels/sheet37.xml.rels><Relationships xmlns="http://schemas.openxmlformats.org/package/2006/relationships"><Relationship Type="http://schemas.openxmlformats.org/officeDocument/2006/relationships/hyperlink" Target="https://arxiv.org/abs/2405.10300" TargetMode="External" Id="rId1"/><Relationship Type="http://schemas.openxmlformats.org/officeDocument/2006/relationships/hyperlink" Target="https://github.com/IDEA-Research/Grounding-DINO-1.5-API" TargetMode="External" Id="rId2"/><Relationship Type="http://schemas.openxmlformats.org/officeDocument/2006/relationships/hyperlink" Target="https://arxiv.org/abs/2303.05499" TargetMode="External" Id="rId3"/><Relationship Type="http://schemas.openxmlformats.org/officeDocument/2006/relationships/hyperlink" Target="https://github.com/IDEA-Research/GroundingDINO" TargetMode="External" Id="rId4"/><Relationship Type="http://schemas.openxmlformats.org/officeDocument/2006/relationships/hyperlink" Target="https://arxiv.org/abs/2112.03857" TargetMode="External" Id="rId5"/><Relationship Type="http://schemas.openxmlformats.org/officeDocument/2006/relationships/hyperlink" Target="https://github.com/microsoft/GLIP" TargetMode="External" Id="rId6"/><Relationship Type="http://schemas.openxmlformats.org/officeDocument/2006/relationships/hyperlink" Target="https://arxiv.org/abs/2411.14347" TargetMode="External" Id="rId7"/><Relationship Type="http://schemas.openxmlformats.org/officeDocument/2006/relationships/hyperlink" Target="https://github.com/IDEA-Research/DINO-X-API" TargetMode="External" Id="rId8"/><Relationship Type="http://schemas.openxmlformats.org/officeDocument/2006/relationships/hyperlink" Target="https://arxiv.org/abs/2306.09683" TargetMode="External" Id="rId9"/><Relationship Type="http://schemas.openxmlformats.org/officeDocument/2006/relationships/hyperlink" Target="https://github.com/google-research/scenic/tree/main/scenic/projects/owl_vit" TargetMode="External" Id="rId10"/><Relationship Type="http://schemas.openxmlformats.org/officeDocument/2006/relationships/hyperlink" Target="https://arxiv.org/abs/2401.17270" TargetMode="External" Id="rId11"/><Relationship Type="http://schemas.openxmlformats.org/officeDocument/2006/relationships/hyperlink" Target="https://github.com/AILab-CVC/YOLO-World" TargetMode="External" Id="rId12"/><Relationship Type="http://schemas.openxmlformats.org/officeDocument/2006/relationships/hyperlink" Target="https://arxiv.org/abs/2201.02605" TargetMode="External" Id="rId13"/><Relationship Type="http://schemas.openxmlformats.org/officeDocument/2006/relationships/hyperlink" Target="https://github.com/facebookresearch/Detic" TargetMode="External" Id="rId14"/><Relationship Type="http://schemas.openxmlformats.org/officeDocument/2006/relationships/hyperlink" Target="https://arxiv.org/abs/2205.06230" TargetMode="External" Id="rId15"/><Relationship Type="http://schemas.openxmlformats.org/officeDocument/2006/relationships/hyperlink" Target="https://github.com/google-research/scenic/tree/main/scenic/projects/owl_vit" TargetMode="External" Id="rId16"/><Relationship Type="http://schemas.openxmlformats.org/officeDocument/2006/relationships/hyperlink" Target="https://arxiv.org/abs/2303.11749" TargetMode="External" Id="rId17"/><Relationship Type="http://schemas.openxmlformats.org/officeDocument/2006/relationships/hyperlink" Target="https://github.com/zhenyuw16/UniDetector" TargetMode="External" Id="rId18"/><Relationship Type="http://schemas.openxmlformats.org/officeDocument/2006/relationships/hyperlink" Target="https://arxiv.org/abs/2112.09106" TargetMode="External" Id="rId19"/><Relationship Type="http://schemas.openxmlformats.org/officeDocument/2006/relationships/hyperlink" Target="https://github.com/microsoft/RegionCLIP" TargetMode="External" Id="rId20"/><Relationship Type="http://schemas.openxmlformats.org/officeDocument/2006/relationships/hyperlink" Target="https://arxiv.org/abs/2404.00000" TargetMode="External" Id="rId21"/><Relationship Type="http://schemas.openxmlformats.org/officeDocument/2006/relationships/hyperlink" Target="https://github.com/open-mmlab/mmdetection" TargetMode="External" Id="rId22"/></Relationships>
</file>

<file path=xl/worksheets/_rels/sheet38.xml.rels><Relationships xmlns="http://schemas.openxmlformats.org/package/2006/relationships"><Relationship Type="http://schemas.openxmlformats.org/officeDocument/2006/relationships/hyperlink" Target="https://openaccess.thecvf.com/content/CVPR2025/html/Xi_OW-OVD_Unified_Open_World_and_Open_Vocabulary_Object_Detection_CVPR_2025_paper.html" TargetMode="External" Id="rId1"/><Relationship Type="http://schemas.openxmlformats.org/officeDocument/2006/relationships/hyperlink" Target="https://arxiv.org/abs/2503.20061" TargetMode="External" Id="rId2"/><Relationship Type="http://schemas.openxmlformats.org/officeDocument/2006/relationships/hyperlink" Target="https://openaccess.thecvf.com/content/WACV2025/html/Inoue_Decoupled_PROB_Decoupled_Query_Initialization_Tasks_and_Objectness-Class_Learning_for_WACV_2025_paper.html" TargetMode="External" Id="rId3"/></Relationships>
</file>

<file path=xl/worksheets/sheet1.xml><?xml version="1.0" encoding="utf-8"?>
<worksheet xmlns="http://schemas.openxmlformats.org/spreadsheetml/2006/main">
  <sheetPr>
    <outlinePr summaryBelow="1" summaryRight="1"/>
    <pageSetUpPr/>
  </sheetPr>
  <dimension ref="A1:H304"/>
  <sheetViews>
    <sheetView workbookViewId="0">
      <pane ySplit="1" topLeftCell="A2" activePane="bottomLeft" state="frozen"/>
      <selection pane="bottomLeft" activeCell="F2" sqref="F2"/>
    </sheetView>
  </sheetViews>
  <sheetFormatPr baseColWidth="8" defaultRowHeight="15.75"/>
  <cols>
    <col width="22" customWidth="1" min="1" max="1"/>
    <col width="30" customWidth="1" min="2" max="2"/>
    <col width="32" customWidth="1" min="3" max="3"/>
    <col width="18" customWidth="1" min="4" max="4"/>
    <col width="12" customWidth="1" min="5" max="5"/>
    <col width="70" customWidth="1" min="6" max="6"/>
    <col width="50" customWidth="1" min="7" max="8"/>
  </cols>
  <sheetData>
    <row r="1" ht="32.1" customHeight="1">
      <c r="A1" s="1" t="inlineStr">
        <is>
          <t>類別</t>
        </is>
      </c>
      <c r="B1" s="1" t="inlineStr">
        <is>
          <t>方法</t>
        </is>
      </c>
      <c r="C1" s="1" t="inlineStr">
        <is>
          <t>作者</t>
        </is>
      </c>
      <c r="D1" s="1" t="inlineStr">
        <is>
          <t>發表</t>
        </is>
      </c>
      <c r="E1" s="1" t="inlineStr">
        <is>
          <t>年月</t>
        </is>
      </c>
      <c r="F1" s="1" t="inlineStr">
        <is>
          <t>備註(特色/based)</t>
        </is>
      </c>
      <c r="G1" s="1" t="inlineStr">
        <is>
          <t>連結</t>
        </is>
      </c>
      <c r="H1" s="1" t="inlineStr">
        <is>
          <t>GitHub</t>
        </is>
      </c>
    </row>
    <row r="2" ht="48" customHeight="1">
      <c r="A2" s="3" t="inlineStr">
        <is>
          <t>Real-Time OD</t>
        </is>
      </c>
      <c r="B2" s="3" t="inlineStr">
        <is>
          <t>RF-DETR (Large)</t>
        </is>
      </c>
      <c r="C2" s="3" t="inlineStr">
        <is>
          <t>Roboflow</t>
        </is>
      </c>
      <c r="D2" s="3" t="inlineStr">
        <is>
          <t>ICLR</t>
        </is>
      </c>
      <c r="E2" s="3" t="inlineStr">
        <is>
          <t>2026-04</t>
        </is>
      </c>
      <c r="F2" s="3" t="inlineStr">
        <is>
          <t>First RT model &gt;60 AP on COCO; DINOv2 backbone; ICLR 2026</t>
        </is>
      </c>
      <c r="G2" s="6" t="inlineStr">
        <is>
          <t>https://arxiv.org/abs/2511.09554</t>
        </is>
      </c>
      <c r="H2" s="6" t="inlineStr">
        <is>
          <t>https://github.com/roboflow/rf-detr</t>
        </is>
      </c>
    </row>
    <row r="3" ht="48" customHeight="1">
      <c r="A3" s="3" t="inlineStr">
        <is>
          <t>Real-Time OD</t>
        </is>
      </c>
      <c r="B3" s="3" t="inlineStr">
        <is>
          <t>RF-DETR (Nano)</t>
        </is>
      </c>
      <c r="C3" s="3" t="inlineStr">
        <is>
          <t>Roboflow</t>
        </is>
      </c>
      <c r="D3" s="3" t="inlineStr">
        <is>
          <t>ICLR</t>
        </is>
      </c>
      <c r="E3" s="3" t="inlineStr">
        <is>
          <t>2026-04</t>
        </is>
      </c>
      <c r="F3" s="3" t="inlineStr">
        <is>
          <t>Nano variant; ICLR 2026</t>
        </is>
      </c>
      <c r="G3" s="6" t="inlineStr">
        <is>
          <t>https://arxiv.org/abs/2511.09554</t>
        </is>
      </c>
      <c r="H3" s="6" t="inlineStr">
        <is>
          <t>https://github.com/roboflow/rf-detr</t>
        </is>
      </c>
    </row>
    <row r="4" ht="48" customHeight="1">
      <c r="A4" s="3" t="inlineStr">
        <is>
          <t>Real-Time OD</t>
        </is>
      </c>
      <c r="B4" s="3" t="inlineStr">
        <is>
          <t>YOLO26 (l)</t>
        </is>
      </c>
      <c r="C4" s="3" t="inlineStr">
        <is>
          <t>Ultralytics</t>
        </is>
      </c>
      <c r="D4" s="3" t="inlineStr">
        <is>
          <t>Official Docs</t>
        </is>
      </c>
      <c r="E4" s="3" t="inlineStr">
        <is>
          <t>2026-01</t>
        </is>
      </c>
      <c r="F4" s="3" t="inlineStr">
        <is>
          <t>NMS-free; ProgLoss + STAL; MuSGD optimizer; Released 2026-01-14</t>
        </is>
      </c>
      <c r="G4" s="6" t="inlineStr">
        <is>
          <t>https://docs.ultralytics.com/models/yolo26/</t>
        </is>
      </c>
      <c r="H4" s="6" t="inlineStr">
        <is>
          <t>https://github.com/ultralytics/ultralytics</t>
        </is>
      </c>
    </row>
    <row r="5" ht="48" customHeight="1">
      <c r="A5" s="3" t="inlineStr">
        <is>
          <t>Real-Time OD</t>
        </is>
      </c>
      <c r="B5" s="3" t="inlineStr">
        <is>
          <t>YOLO26 (n)</t>
        </is>
      </c>
      <c r="C5" s="3" t="inlineStr">
        <is>
          <t>Ultralytics</t>
        </is>
      </c>
      <c r="D5" s="3" t="inlineStr">
        <is>
          <t>Official Docs</t>
        </is>
      </c>
      <c r="E5" s="3" t="inlineStr">
        <is>
          <t>2026-01</t>
        </is>
      </c>
      <c r="F5" s="3" t="inlineStr">
        <is>
          <t>Nano variant; CPU-friendly</t>
        </is>
      </c>
      <c r="G5" s="6" t="inlineStr">
        <is>
          <t>https://docs.ultralytics.com/models/yolo26/</t>
        </is>
      </c>
      <c r="H5" s="6" t="inlineStr">
        <is>
          <t>https://github.com/ultralytics/ultralytics</t>
        </is>
      </c>
    </row>
    <row r="6" ht="48" customHeight="1">
      <c r="A6" s="3" t="inlineStr">
        <is>
          <t>Real-Time OD</t>
        </is>
      </c>
      <c r="B6" s="3" t="inlineStr">
        <is>
          <t>RT-DETRv4 (X)</t>
        </is>
      </c>
      <c r="C6" s="3" t="inlineStr">
        <is>
          <t>RT-DETRs</t>
        </is>
      </c>
      <c r="D6" s="3" t="inlineStr">
        <is>
          <t>arXiv</t>
        </is>
      </c>
      <c r="E6" s="3" t="inlineStr">
        <is>
          <t>2025-10</t>
        </is>
      </c>
      <c r="F6" s="3" t="inlineStr">
        <is>
          <t>Vision Foundation Models distillation (DSI+GAM)</t>
        </is>
      </c>
      <c r="G6" s="6" t="inlineStr">
        <is>
          <t>https://arxiv.org/abs/2510.25257</t>
        </is>
      </c>
      <c r="H6" s="6" t="inlineStr">
        <is>
          <t>https://github.com/RT-DETRs/RT-DETRv4</t>
        </is>
      </c>
    </row>
    <row r="7" ht="48" customHeight="1">
      <c r="A7" s="4" t="inlineStr">
        <is>
          <t>RGB Salient OD</t>
        </is>
      </c>
      <c r="B7" s="4" t="inlineStr">
        <is>
          <t>S3OD (synthetic)</t>
        </is>
      </c>
      <c r="C7" s="4" t="inlineStr">
        <is>
          <t>Various</t>
        </is>
      </c>
      <c r="D7" s="4" t="inlineStr">
        <is>
          <t>arXiv</t>
        </is>
      </c>
      <c r="E7" s="4" t="inlineStr">
        <is>
          <t>2025-10</t>
        </is>
      </c>
      <c r="F7" s="4" t="inlineStr">
        <is>
          <t>Generalizable SOD with synthetic data</t>
        </is>
      </c>
      <c r="G7" s="7" t="inlineStr">
        <is>
          <t>https://arxiv.org/abs/2510.21605</t>
        </is>
      </c>
      <c r="H7" s="7" t="inlineStr">
        <is>
          <t>https://github.com/</t>
        </is>
      </c>
    </row>
    <row r="8" ht="48" customHeight="1">
      <c r="A8" s="3" t="inlineStr">
        <is>
          <t>Real-Time OD</t>
        </is>
      </c>
      <c r="B8" s="3" t="inlineStr">
        <is>
          <t>DEIMv2 (DINOv3)</t>
        </is>
      </c>
      <c r="C8" s="3" t="inlineStr">
        <is>
          <t>Huang et al.</t>
        </is>
      </c>
      <c r="D8" s="3" t="inlineStr">
        <is>
          <t>arXiv</t>
        </is>
      </c>
      <c r="E8" s="3" t="inlineStr">
        <is>
          <t>2025-09</t>
        </is>
      </c>
      <c r="F8" s="3" t="inlineStr">
        <is>
          <t>Real-time meets DINOv3; latest 2025 update</t>
        </is>
      </c>
      <c r="G8" s="6" t="inlineStr">
        <is>
          <t>https://arxiv.org/abs/2509.20787</t>
        </is>
      </c>
      <c r="H8" s="6" t="inlineStr">
        <is>
          <t>https://github.com/Intellindust-AI-Lab/DEIMv2</t>
        </is>
      </c>
    </row>
    <row r="9" ht="48" customHeight="1">
      <c r="A9" s="3" t="inlineStr">
        <is>
          <t>Real-Time OD</t>
        </is>
      </c>
      <c r="B9" s="3" t="inlineStr">
        <is>
          <t>YOLO-Master</t>
        </is>
      </c>
      <c r="C9" s="3" t="inlineStr">
        <is>
          <t>Various</t>
        </is>
      </c>
      <c r="D9" s="3" t="inlineStr">
        <is>
          <t>GitHub</t>
        </is>
      </c>
      <c r="E9" s="3" t="inlineStr">
        <is>
          <t>2025-09</t>
        </is>
      </c>
      <c r="F9" s="3" t="inlineStr">
        <is>
          <t>2025 community alias; To verify (multiple repos use this name)</t>
        </is>
      </c>
      <c r="G9" s="6" t="inlineStr">
        <is>
          <t>https://github.com/topics/yolo-master</t>
        </is>
      </c>
      <c r="H9" s="6" t="inlineStr">
        <is>
          <t>https://github.com/topics/yolo-master</t>
        </is>
      </c>
    </row>
    <row r="10" ht="48" customHeight="1">
      <c r="A10" s="3" t="inlineStr">
        <is>
          <t>Real-Time OD</t>
        </is>
      </c>
      <c r="B10" s="3" t="inlineStr">
        <is>
          <t>DEIM-D-FINE-X</t>
        </is>
      </c>
      <c r="C10" s="3" t="inlineStr">
        <is>
          <t>Huang et al.</t>
        </is>
      </c>
      <c r="D10" s="3" t="inlineStr">
        <is>
          <t>CVPR</t>
        </is>
      </c>
      <c r="E10" s="3" t="inlineStr">
        <is>
          <t>2025-06</t>
        </is>
      </c>
      <c r="F10" s="3" t="inlineStr">
        <is>
          <t>Improved matching for fast convergence</t>
        </is>
      </c>
      <c r="G10" s="6" t="inlineStr">
        <is>
          <t>https://arxiv.org/abs/2412.04234</t>
        </is>
      </c>
      <c r="H10" s="6" t="inlineStr">
        <is>
          <t>https://github.com/Intellindust-AI-Lab/DEIM</t>
        </is>
      </c>
    </row>
    <row r="11" ht="48" customHeight="1">
      <c r="A11" s="3" t="inlineStr">
        <is>
          <t>Real-Time OD</t>
        </is>
      </c>
      <c r="B11" s="3" t="inlineStr">
        <is>
          <t>YOLOv13-X</t>
        </is>
      </c>
      <c r="C11" s="3" t="inlineStr">
        <is>
          <t>iMoonLab</t>
        </is>
      </c>
      <c r="D11" s="3" t="inlineStr">
        <is>
          <t>arXiv</t>
        </is>
      </c>
      <c r="E11" s="3" t="inlineStr">
        <is>
          <t>2025-06</t>
        </is>
      </c>
      <c r="F11" s="3" t="inlineStr">
        <is>
          <t>Hypergraph adaptive correlation enhancement (HyperACE)</t>
        </is>
      </c>
      <c r="G11" s="6" t="inlineStr">
        <is>
          <t>https://arxiv.org/abs/2506.17733</t>
        </is>
      </c>
      <c r="H11" s="6" t="inlineStr">
        <is>
          <t>https://github.com/iMoonLab/yolov13</t>
        </is>
      </c>
    </row>
    <row r="12" ht="48" customHeight="1">
      <c r="A12" s="3" t="inlineStr">
        <is>
          <t>Real-Time OD</t>
        </is>
      </c>
      <c r="B12" s="3" t="inlineStr">
        <is>
          <t>DEIM-D-FINE-L</t>
        </is>
      </c>
      <c r="C12" s="3" t="inlineStr">
        <is>
          <t>Huang et al.</t>
        </is>
      </c>
      <c r="D12" s="3" t="inlineStr">
        <is>
          <t>CVPR</t>
        </is>
      </c>
      <c r="E12" s="3" t="inlineStr">
        <is>
          <t>2025-06</t>
        </is>
      </c>
      <c r="F12" s="3" t="inlineStr">
        <is>
          <t>Dense O2O + MAL</t>
        </is>
      </c>
      <c r="G12" s="6" t="inlineStr">
        <is>
          <t>https://arxiv.org/abs/2412.04234</t>
        </is>
      </c>
      <c r="H12" s="6" t="inlineStr">
        <is>
          <t>https://github.com/Intellindust-AI-Lab/DEIM</t>
        </is>
      </c>
    </row>
    <row r="13" ht="48" customHeight="1">
      <c r="A13" s="5" t="inlineStr">
        <is>
          <t>Few-Shot OD</t>
        </is>
      </c>
      <c r="B13" s="5" t="inlineStr">
        <is>
          <t>NTIRE 2025 CD-FSOD top method</t>
        </is>
      </c>
      <c r="C13" s="5" t="inlineStr">
        <is>
          <t>Various teams</t>
        </is>
      </c>
      <c r="D13" s="5" t="inlineStr">
        <is>
          <t>CVPR Workshop</t>
        </is>
      </c>
      <c r="E13" s="5" t="inlineStr">
        <is>
          <t>2025-06</t>
        </is>
      </c>
      <c r="F13" s="5" t="inlineStr">
        <is>
          <t>NTIRE 2025 challenge</t>
        </is>
      </c>
      <c r="G13" s="8" t="inlineStr">
        <is>
          <t>https://arxiv.org/abs/2504.10685</t>
        </is>
      </c>
      <c r="H13" s="8" t="inlineStr">
        <is>
          <t>https://github.com/lovelyqian/NTIRE2025_CDFSOD</t>
        </is>
      </c>
    </row>
    <row r="14" ht="48" customHeight="1">
      <c r="A14" s="3" t="inlineStr">
        <is>
          <t>Real-Time OD</t>
        </is>
      </c>
      <c r="B14" s="3" t="inlineStr">
        <is>
          <t>D-FINE-X</t>
        </is>
      </c>
      <c r="C14" s="3" t="inlineStr">
        <is>
          <t>Peng et al.</t>
        </is>
      </c>
      <c r="D14" s="3" t="inlineStr">
        <is>
          <t>ICLR</t>
        </is>
      </c>
      <c r="E14" s="3" t="inlineStr">
        <is>
          <t>2025-04</t>
        </is>
      </c>
      <c r="F14" s="3" t="inlineStr">
        <is>
          <t>Fine-grained distribution refinement; ICLR 2025 Spotlight</t>
        </is>
      </c>
      <c r="G14" s="6" t="inlineStr">
        <is>
          <t>https://arxiv.org/abs/2410.13842</t>
        </is>
      </c>
      <c r="H14" s="6" t="inlineStr">
        <is>
          <t>https://github.com/Peterande/D-FINE</t>
        </is>
      </c>
    </row>
    <row r="15" ht="48" customHeight="1">
      <c r="A15" s="3" t="inlineStr">
        <is>
          <t>Real-Time OD</t>
        </is>
      </c>
      <c r="B15" s="3" t="inlineStr">
        <is>
          <t>D-FINE-L</t>
        </is>
      </c>
      <c r="C15" s="3" t="inlineStr">
        <is>
          <t>Peng et al.</t>
        </is>
      </c>
      <c r="D15" s="3" t="inlineStr">
        <is>
          <t>ICLR</t>
        </is>
      </c>
      <c r="E15" s="3" t="inlineStr">
        <is>
          <t>2025-04</t>
        </is>
      </c>
      <c r="F15" s="3" t="inlineStr">
        <is>
          <t>Fine-grained distribution refinement</t>
        </is>
      </c>
      <c r="G15" s="6" t="inlineStr">
        <is>
          <t>https://arxiv.org/abs/2410.13842</t>
        </is>
      </c>
      <c r="H15" s="6" t="inlineStr">
        <is>
          <t>https://github.com/Peterande/D-FINE</t>
        </is>
      </c>
    </row>
    <row r="16" ht="48" customHeight="1">
      <c r="A16" s="3" t="inlineStr">
        <is>
          <t>Real-Time OD</t>
        </is>
      </c>
      <c r="B16" s="3" t="inlineStr">
        <is>
          <t>YOLOv12-X</t>
        </is>
      </c>
      <c r="C16" s="3" t="inlineStr">
        <is>
          <t>Tian et al.</t>
        </is>
      </c>
      <c r="D16" s="3" t="inlineStr">
        <is>
          <t>NeurIPS</t>
        </is>
      </c>
      <c r="E16" s="3" t="inlineStr">
        <is>
          <t>2025-02</t>
        </is>
      </c>
      <c r="F16" s="3" t="inlineStr">
        <is>
          <t>Attention-centric; area attention</t>
        </is>
      </c>
      <c r="G16" s="6" t="inlineStr">
        <is>
          <t>https://arxiv.org/abs/2502.12524</t>
        </is>
      </c>
      <c r="H16" s="6" t="inlineStr">
        <is>
          <t>https://github.com/sunsmarterjie/yolov12</t>
        </is>
      </c>
    </row>
    <row r="17" ht="48" customHeight="1">
      <c r="A17" s="3" t="inlineStr">
        <is>
          <t>Real-Time OD</t>
        </is>
      </c>
      <c r="B17" s="3" t="inlineStr">
        <is>
          <t>RT-DETRv3-R101</t>
        </is>
      </c>
      <c r="C17" s="3" t="inlineStr">
        <is>
          <t>Wang et al.</t>
        </is>
      </c>
      <c r="D17" s="3" t="inlineStr">
        <is>
          <t>WACV</t>
        </is>
      </c>
      <c r="E17" s="3" t="inlineStr">
        <is>
          <t>2025-02</t>
        </is>
      </c>
      <c r="F17" s="3" t="inlineStr">
        <is>
          <t>Hierarchical dense positive supervision; WACV 2025 Oral</t>
        </is>
      </c>
      <c r="G17" s="6" t="inlineStr">
        <is>
          <t>https://arxiv.org/abs/2409.08475</t>
        </is>
      </c>
      <c r="H17" s="6" t="inlineStr">
        <is>
          <t>https://github.com/clxia12/RT-DETRv3</t>
        </is>
      </c>
    </row>
    <row r="18" ht="48" customHeight="1">
      <c r="A18" s="4" t="inlineStr">
        <is>
          <t>RGB Salient OD</t>
        </is>
      </c>
      <c r="B18" s="4" t="inlineStr">
        <is>
          <t>UGRAN</t>
        </is>
      </c>
      <c r="C18" s="4" t="inlineStr">
        <is>
          <t>Various</t>
        </is>
      </c>
      <c r="D18" s="4" t="inlineStr">
        <is>
          <t>TIP</t>
        </is>
      </c>
      <c r="E18" s="4" t="inlineStr">
        <is>
          <t>2025-02</t>
        </is>
      </c>
      <c r="F18" s="4" t="inlineStr">
        <is>
          <t>Uncertainty-guided refinement; TIP 2025; To verify</t>
        </is>
      </c>
      <c r="G18" s="7" t="inlineStr">
        <is>
          <t>https://github.com/I2-Multimedia-Lab/UGRAN</t>
        </is>
      </c>
      <c r="H18" s="7" t="inlineStr">
        <is>
          <t>https://github.com/I2-Multimedia-Lab/UGRAN</t>
        </is>
      </c>
    </row>
    <row r="19" ht="48" customHeight="1">
      <c r="A19" s="5" t="inlineStr">
        <is>
          <t>Few-Shot OD</t>
        </is>
      </c>
      <c r="B19" s="5" t="inlineStr">
        <is>
          <t>FII-DETR</t>
        </is>
      </c>
      <c r="C19" s="5" t="inlineStr">
        <is>
          <t>Various</t>
        </is>
      </c>
      <c r="D19" s="5" t="inlineStr">
        <is>
          <t>Information Fusion</t>
        </is>
      </c>
      <c r="E19" s="5" t="inlineStr">
        <is>
          <t>2025-01</t>
        </is>
      </c>
      <c r="F19" s="5" t="inlineStr">
        <is>
          <t>Fully information interaction DETR</t>
        </is>
      </c>
      <c r="G19" s="8" t="inlineStr">
        <is>
          <t>https://www.sciencedirect.com/science/article/abs/pii/S1566253525007900</t>
        </is>
      </c>
      <c r="H19" s="8" t="inlineStr">
        <is>
          <t>https://github.com/</t>
        </is>
      </c>
    </row>
    <row r="20" ht="48" customHeight="1">
      <c r="A20" s="3" t="inlineStr">
        <is>
          <t>Real-Time OD</t>
        </is>
      </c>
      <c r="B20" s="3" t="inlineStr">
        <is>
          <t>YOLOv10-X</t>
        </is>
      </c>
      <c r="C20" s="3" t="inlineStr">
        <is>
          <t>Wang et al.</t>
        </is>
      </c>
      <c r="D20" s="3" t="inlineStr">
        <is>
          <t>NeurIPS</t>
        </is>
      </c>
      <c r="E20" s="3" t="inlineStr">
        <is>
          <t>2024-12</t>
        </is>
      </c>
      <c r="F20" s="3" t="inlineStr">
        <is>
          <t>NMS-free; consistent dual assignment</t>
        </is>
      </c>
      <c r="G20" s="6" t="inlineStr">
        <is>
          <t>https://arxiv.org/abs/2405.14458</t>
        </is>
      </c>
      <c r="H20" s="6" t="inlineStr">
        <is>
          <t>https://github.com/THU-MIG/yolov10</t>
        </is>
      </c>
    </row>
    <row r="21" ht="48" customHeight="1">
      <c r="A21" s="2" t="inlineStr">
        <is>
          <t>General OD</t>
        </is>
      </c>
      <c r="B21" s="2" t="inlineStr">
        <is>
          <t>DINO-X</t>
        </is>
      </c>
      <c r="C21" s="2" t="inlineStr">
        <is>
          <t>IDEA Research</t>
        </is>
      </c>
      <c r="D21" s="2" t="inlineStr">
        <is>
          <t>arXiv</t>
        </is>
      </c>
      <c r="E21" s="2" t="inlineStr">
        <is>
          <t>2024-11</t>
        </is>
      </c>
      <c r="F21" s="2" t="inlineStr">
        <is>
          <t>Successor to Grounding DINO 1.5; To verify on COCO test-dev</t>
        </is>
      </c>
      <c r="G21" s="9" t="inlineStr">
        <is>
          <t>https://arxiv.org/abs/2411.14347</t>
        </is>
      </c>
      <c r="H21" s="9" t="inlineStr">
        <is>
          <t>https://github.com/IDEA-Research/DINO-X-API</t>
        </is>
      </c>
    </row>
    <row r="22" ht="48" customHeight="1">
      <c r="A22" s="5" t="inlineStr">
        <is>
          <t>Few-Shot OD</t>
        </is>
      </c>
      <c r="B22" s="5" t="inlineStr">
        <is>
          <t>Grounding DINO</t>
        </is>
      </c>
      <c r="C22" s="5" t="inlineStr">
        <is>
          <t>Liu et al.</t>
        </is>
      </c>
      <c r="D22" s="5" t="inlineStr">
        <is>
          <t>ECCV</t>
        </is>
      </c>
      <c r="E22" s="5" t="inlineStr">
        <is>
          <t>2024-10</t>
        </is>
      </c>
      <c r="F22" s="5" t="inlineStr">
        <is>
          <t>Open-set zero-shot; ECCV 2024</t>
        </is>
      </c>
      <c r="G22" s="8" t="inlineStr">
        <is>
          <t>https://arxiv.org/abs/2303.05499</t>
        </is>
      </c>
      <c r="H22" s="8" t="inlineStr">
        <is>
          <t>https://github.com/IDEA-Research/GroundingDINO</t>
        </is>
      </c>
    </row>
    <row r="23" ht="48" customHeight="1">
      <c r="A23" s="5" t="inlineStr">
        <is>
          <t>Few-Shot OD</t>
        </is>
      </c>
      <c r="B23" s="5" t="inlineStr">
        <is>
          <t>CD-ViTO</t>
        </is>
      </c>
      <c r="C23" s="5" t="inlineStr">
        <is>
          <t>Fu et al.</t>
        </is>
      </c>
      <c r="D23" s="5" t="inlineStr">
        <is>
          <t>ECCV</t>
        </is>
      </c>
      <c r="E23" s="5" t="inlineStr">
        <is>
          <t>2024-10</t>
        </is>
      </c>
      <c r="F23" s="5" t="inlineStr">
        <is>
          <t>Cross-domain FSOD; learnable instance + domain prompter</t>
        </is>
      </c>
      <c r="G23" s="8" t="inlineStr">
        <is>
          <t>https://arxiv.org/abs/2402.03094</t>
        </is>
      </c>
      <c r="H23" s="8" t="inlineStr">
        <is>
          <t>https://github.com/lovelyqian/CDFSOD-benchmark</t>
        </is>
      </c>
    </row>
    <row r="24" ht="48" customHeight="1">
      <c r="A24" s="2" t="inlineStr">
        <is>
          <t>General OD</t>
        </is>
      </c>
      <c r="B24" s="2" t="inlineStr">
        <is>
          <t>Relation-DETR (FocalNet-L)</t>
        </is>
      </c>
      <c r="C24" s="2" t="inlineStr">
        <is>
          <t>Hou et al.</t>
        </is>
      </c>
      <c r="D24" s="2" t="inlineStr">
        <is>
          <t>ECCV</t>
        </is>
      </c>
      <c r="E24" s="2" t="inlineStr">
        <is>
          <t>2024-09</t>
        </is>
      </c>
      <c r="F24" s="2" t="inlineStr">
        <is>
          <t>Explicit position relation prior; ECCV 2024 Oral</t>
        </is>
      </c>
      <c r="G24" s="9" t="inlineStr">
        <is>
          <t>https://arxiv.org/abs/2407.11699</t>
        </is>
      </c>
      <c r="H24" s="9" t="inlineStr">
        <is>
          <t>https://github.com/xiuqhou/Relation-DETR</t>
        </is>
      </c>
    </row>
    <row r="25" ht="48" customHeight="1">
      <c r="A25" s="3" t="inlineStr">
        <is>
          <t>Real-Time OD</t>
        </is>
      </c>
      <c r="B25" s="3" t="inlineStr">
        <is>
          <t>YOLOv9-E</t>
        </is>
      </c>
      <c r="C25" s="3" t="inlineStr">
        <is>
          <t>Wang et al.</t>
        </is>
      </c>
      <c r="D25" s="3" t="inlineStr">
        <is>
          <t>ECCV</t>
        </is>
      </c>
      <c r="E25" s="3" t="inlineStr">
        <is>
          <t>2024-09</t>
        </is>
      </c>
      <c r="F25" s="3" t="inlineStr">
        <is>
          <t>PGI + GELAN</t>
        </is>
      </c>
      <c r="G25" s="6" t="inlineStr">
        <is>
          <t>https://arxiv.org/abs/2402.13616</t>
        </is>
      </c>
      <c r="H25" s="6" t="inlineStr">
        <is>
          <t>https://github.com/WongKinYiu/yolov9</t>
        </is>
      </c>
    </row>
    <row r="26" ht="48" customHeight="1">
      <c r="A26" s="3" t="inlineStr">
        <is>
          <t>Real-Time OD</t>
        </is>
      </c>
      <c r="B26" s="3" t="inlineStr">
        <is>
          <t>YOLO11x</t>
        </is>
      </c>
      <c r="C26" s="3" t="inlineStr">
        <is>
          <t>Ultralytics</t>
        </is>
      </c>
      <c r="D26" s="3" t="inlineStr">
        <is>
          <t>Official Docs</t>
        </is>
      </c>
      <c r="E26" s="3" t="inlineStr">
        <is>
          <t>2024-09</t>
        </is>
      </c>
      <c r="F26" s="3" t="inlineStr">
        <is>
          <t>C3K2 + C2PSA</t>
        </is>
      </c>
      <c r="G26" s="6" t="inlineStr">
        <is>
          <t>https://docs.ultralytics.com/models/yolo11/</t>
        </is>
      </c>
      <c r="H26" s="6" t="inlineStr">
        <is>
          <t>https://github.com/ultralytics/ultralytics</t>
        </is>
      </c>
    </row>
    <row r="27" ht="48" customHeight="1">
      <c r="A27" s="3" t="inlineStr">
        <is>
          <t>Real-Time OD</t>
        </is>
      </c>
      <c r="B27" s="3" t="inlineStr">
        <is>
          <t>RT-DETRv2-R101</t>
        </is>
      </c>
      <c r="C27" s="3" t="inlineStr">
        <is>
          <t>Lv et al.</t>
        </is>
      </c>
      <c r="D27" s="3" t="inlineStr">
        <is>
          <t>arXiv</t>
        </is>
      </c>
      <c r="E27" s="3" t="inlineStr">
        <is>
          <t>2024-07</t>
        </is>
      </c>
      <c r="F27" s="3" t="inlineStr">
        <is>
          <t>Bag of freebies tweaks</t>
        </is>
      </c>
      <c r="G27" s="6" t="inlineStr">
        <is>
          <t>https://arxiv.org/abs/2407.17140</t>
        </is>
      </c>
      <c r="H27" s="6" t="inlineStr">
        <is>
          <t>https://github.com/lyuwenyu/RT-DETR</t>
        </is>
      </c>
    </row>
    <row r="28" ht="48" customHeight="1">
      <c r="A28" s="3" t="inlineStr">
        <is>
          <t>Real-Time OD</t>
        </is>
      </c>
      <c r="B28" s="3" t="inlineStr">
        <is>
          <t>RT-DETR-R101</t>
        </is>
      </c>
      <c r="C28" s="3" t="inlineStr">
        <is>
          <t>Zhao et al.</t>
        </is>
      </c>
      <c r="D28" s="3" t="inlineStr">
        <is>
          <t>CVPR</t>
        </is>
      </c>
      <c r="E28" s="3" t="inlineStr">
        <is>
          <t>2024-06</t>
        </is>
      </c>
      <c r="F28" s="3" t="inlineStr">
        <is>
          <t>First real-time DETR</t>
        </is>
      </c>
      <c r="G28" s="6" t="inlineStr">
        <is>
          <t>https://arxiv.org/abs/2304.08069</t>
        </is>
      </c>
      <c r="H28" s="6" t="inlineStr">
        <is>
          <t>https://github.com/lyuwenyu/RT-DETR</t>
        </is>
      </c>
    </row>
    <row r="29" ht="48" customHeight="1">
      <c r="A29" s="4" t="inlineStr">
        <is>
          <t>RGB Salient OD</t>
        </is>
      </c>
      <c r="B29" s="4" t="inlineStr">
        <is>
          <t>MVANet</t>
        </is>
      </c>
      <c r="C29" s="4" t="inlineStr">
        <is>
          <t>Yu et al.</t>
        </is>
      </c>
      <c r="D29" s="4" t="inlineStr">
        <is>
          <t>CVPR</t>
        </is>
      </c>
      <c r="E29" s="4" t="inlineStr">
        <is>
          <t>2024-06</t>
        </is>
      </c>
      <c r="F29" s="4" t="inlineStr">
        <is>
          <t>Multi-view aggregation; SOTA-tier 2024</t>
        </is>
      </c>
      <c r="G29" s="7" t="inlineStr">
        <is>
          <t>https://arxiv.org/abs/2404.07445</t>
        </is>
      </c>
      <c r="H29" s="7" t="inlineStr">
        <is>
          <t>https://github.com/qianyu-dlut/MVANet</t>
        </is>
      </c>
    </row>
    <row r="30" ht="48" customHeight="1">
      <c r="A30" s="4" t="inlineStr">
        <is>
          <t>RGB Salient OD</t>
        </is>
      </c>
      <c r="B30" s="4" t="inlineStr">
        <is>
          <t>VSCode</t>
        </is>
      </c>
      <c r="C30" s="4" t="inlineStr">
        <is>
          <t>Luo et al.</t>
        </is>
      </c>
      <c r="D30" s="4" t="inlineStr">
        <is>
          <t>CVPR</t>
        </is>
      </c>
      <c r="E30" s="4" t="inlineStr">
        <is>
          <t>2024-06</t>
        </is>
      </c>
      <c r="F30" s="4" t="inlineStr">
        <is>
          <t>2D prompt joint salient/camouflaged</t>
        </is>
      </c>
      <c r="G30" s="7" t="inlineStr">
        <is>
          <t>https://arxiv.org/abs/2311.15011</t>
        </is>
      </c>
      <c r="H30" s="7" t="inlineStr">
        <is>
          <t>https://github.com/Sssssuperior/VSCode</t>
        </is>
      </c>
    </row>
    <row r="31" ht="48" customHeight="1">
      <c r="A31" s="5" t="inlineStr">
        <is>
          <t>Few-Shot OD</t>
        </is>
      </c>
      <c r="B31" s="5" t="inlineStr">
        <is>
          <t>FM-FSOD</t>
        </is>
      </c>
      <c r="C31" s="5" t="inlineStr">
        <is>
          <t>Han et al.</t>
        </is>
      </c>
      <c r="D31" s="5" t="inlineStr">
        <is>
          <t>CVPR</t>
        </is>
      </c>
      <c r="E31" s="5" t="inlineStr">
        <is>
          <t>2024-06</t>
        </is>
      </c>
      <c r="F31" s="5" t="inlineStr">
        <is>
          <t>Foundation-model FSOD</t>
        </is>
      </c>
      <c r="G31" s="8" t="inlineStr">
        <is>
          <t>https://arxiv.org/abs/2402.10433</t>
        </is>
      </c>
      <c r="H31" s="8" t="inlineStr">
        <is>
          <t>https://github.com/han-tianyu/FM-FSOD</t>
        </is>
      </c>
    </row>
    <row r="32" ht="48" customHeight="1">
      <c r="A32" s="2" t="inlineStr">
        <is>
          <t>General OD</t>
        </is>
      </c>
      <c r="B32" s="2" t="inlineStr">
        <is>
          <t>Grounding DINO 1.5 Pro</t>
        </is>
      </c>
      <c r="C32" s="2" t="inlineStr">
        <is>
          <t>Ren et al.</t>
        </is>
      </c>
      <c r="D32" s="2" t="inlineStr">
        <is>
          <t>arXiv</t>
        </is>
      </c>
      <c r="E32" s="2" t="inlineStr">
        <is>
          <t>2024-05</t>
        </is>
      </c>
      <c r="F32" s="2" t="inlineStr">
        <is>
          <t>Open-set; SOTA on COCO zero-shot, LVIS, ODinW</t>
        </is>
      </c>
      <c r="G32" s="9" t="inlineStr">
        <is>
          <t>https://arxiv.org/abs/2405.10300</t>
        </is>
      </c>
      <c r="H32" s="9" t="inlineStr">
        <is>
          <t>https://github.com/IDEA-Research/Grounding-DINO-1.5-API</t>
        </is>
      </c>
    </row>
    <row r="33" ht="48" customHeight="1">
      <c r="A33" s="5" t="inlineStr">
        <is>
          <t>Few-Shot OD</t>
        </is>
      </c>
      <c r="B33" s="5" t="inlineStr">
        <is>
          <t>Grounding DINO 1.5 Pro</t>
        </is>
      </c>
      <c r="C33" s="5" t="inlineStr">
        <is>
          <t>Ren et al.</t>
        </is>
      </c>
      <c r="D33" s="5" t="inlineStr">
        <is>
          <t>arXiv</t>
        </is>
      </c>
      <c r="E33" s="5" t="inlineStr">
        <is>
          <t>2024-05</t>
        </is>
      </c>
      <c r="F33" s="5" t="inlineStr">
        <is>
          <t>Strong open-set; SOTA on ODinW</t>
        </is>
      </c>
      <c r="G33" s="8" t="inlineStr">
        <is>
          <t>https://arxiv.org/abs/2405.10300</t>
        </is>
      </c>
      <c r="H33" s="8" t="inlineStr">
        <is>
          <t>https://github.com/IDEA-Research/Grounding-DINO-1.5-API</t>
        </is>
      </c>
    </row>
    <row r="34" ht="48" customHeight="1">
      <c r="A34" s="4" t="inlineStr">
        <is>
          <t>RGB Salient OD</t>
        </is>
      </c>
      <c r="B34" s="4" t="inlineStr">
        <is>
          <t>BiRefNet</t>
        </is>
      </c>
      <c r="C34" s="4" t="inlineStr">
        <is>
          <t>Zheng et al.</t>
        </is>
      </c>
      <c r="D34" s="4" t="inlineStr">
        <is>
          <t>CAAI AIR</t>
        </is>
      </c>
      <c r="E34" s="4" t="inlineStr">
        <is>
          <t>2024-04</t>
        </is>
      </c>
      <c r="F34" s="4" t="inlineStr">
        <is>
          <t>Bilateral reference; SOTA HR SOD</t>
        </is>
      </c>
      <c r="G34" s="7" t="inlineStr">
        <is>
          <t>https://arxiv.org/abs/2401.03407</t>
        </is>
      </c>
      <c r="H34" s="7" t="inlineStr">
        <is>
          <t>https://github.com/ZhengPeng7/BiRefNet</t>
        </is>
      </c>
    </row>
    <row r="35" ht="48" customHeight="1">
      <c r="A35" s="5" t="inlineStr">
        <is>
          <t>Few-Shot OD</t>
        </is>
      </c>
      <c r="B35" s="5" t="inlineStr">
        <is>
          <t>hANMCL</t>
        </is>
      </c>
      <c r="C35" s="5" t="inlineStr">
        <is>
          <t>Various</t>
        </is>
      </c>
      <c r="D35" s="5" t="inlineStr">
        <is>
          <t>arXiv</t>
        </is>
      </c>
      <c r="E35" s="5" t="inlineStr">
        <is>
          <t>2024-04</t>
        </is>
      </c>
      <c r="F35" s="5" t="inlineStr">
        <is>
          <t>Hierarchical attention + multi-correlation</t>
        </is>
      </c>
      <c r="G35" s="8" t="inlineStr">
        <is>
          <t>https://arxiv.org/abs/2404.00700</t>
        </is>
      </c>
      <c r="H35" s="8" t="inlineStr">
        <is>
          <t>https://github.com/</t>
        </is>
      </c>
    </row>
    <row r="36" ht="48" customHeight="1">
      <c r="A36" s="2" t="inlineStr">
        <is>
          <t>General OD</t>
        </is>
      </c>
      <c r="B36" s="2" t="inlineStr">
        <is>
          <t>Co-DETR (ViT-L)</t>
        </is>
      </c>
      <c r="C36" s="2" t="inlineStr">
        <is>
          <t>Zong et al.</t>
        </is>
      </c>
      <c r="D36" s="2" t="inlineStr">
        <is>
          <t>ICCV</t>
        </is>
      </c>
      <c r="E36" s="2" t="inlineStr">
        <is>
          <t>2023-10</t>
        </is>
      </c>
      <c r="F36" s="2" t="inlineStr">
        <is>
          <t>First ≥66 AP on COCO test-dev; collaborative hybrid assignments</t>
        </is>
      </c>
      <c r="G36" s="9" t="inlineStr">
        <is>
          <t>https://arxiv.org/abs/2211.12860</t>
        </is>
      </c>
      <c r="H36" s="9" t="inlineStr">
        <is>
          <t>https://github.com/Sense-X/Co-DETR</t>
        </is>
      </c>
    </row>
    <row r="37" ht="48" customHeight="1">
      <c r="A37" s="2" t="inlineStr">
        <is>
          <t>General OD</t>
        </is>
      </c>
      <c r="B37" s="2" t="inlineStr">
        <is>
          <t>EVA-02 (Det)</t>
        </is>
      </c>
      <c r="C37" s="2" t="inlineStr">
        <is>
          <t>Fang et al.</t>
        </is>
      </c>
      <c r="D37" s="2" t="inlineStr">
        <is>
          <t>arXiv→IVC</t>
        </is>
      </c>
      <c r="E37" s="2" t="inlineStr">
        <is>
          <t>2023-10</t>
        </is>
      </c>
      <c r="F37" s="2" t="inlineStr">
        <is>
          <t>ViT-L visual rep; SOTA-tier</t>
        </is>
      </c>
      <c r="G37" s="9" t="inlineStr">
        <is>
          <t>https://arxiv.org/abs/2303.11331</t>
        </is>
      </c>
      <c r="H37" s="9" t="inlineStr">
        <is>
          <t>https://github.com/baaivision/EVA</t>
        </is>
      </c>
    </row>
    <row r="38" ht="48" customHeight="1">
      <c r="A38" s="4" t="inlineStr">
        <is>
          <t>RGB Salient OD</t>
        </is>
      </c>
      <c r="B38" s="4" t="inlineStr">
        <is>
          <t>M3Net</t>
        </is>
      </c>
      <c r="C38" s="4" t="inlineStr">
        <is>
          <t>Yuan et al.</t>
        </is>
      </c>
      <c r="D38" s="4" t="inlineStr">
        <is>
          <t>ICCV</t>
        </is>
      </c>
      <c r="E38" s="4" t="inlineStr">
        <is>
          <t>2023-10</t>
        </is>
      </c>
      <c r="F38" s="4" t="inlineStr">
        <is>
          <t>Multi-level mixed-attention</t>
        </is>
      </c>
      <c r="G38" s="7" t="inlineStr">
        <is>
          <t>https://arxiv.org/abs/2309.08365</t>
        </is>
      </c>
      <c r="H38" s="7" t="inlineStr">
        <is>
          <t>https://github.com/I2-Multimedia-Lab/M3Net</t>
        </is>
      </c>
    </row>
    <row r="39" ht="48" customHeight="1">
      <c r="A39" s="2" t="inlineStr">
        <is>
          <t>General OD</t>
        </is>
      </c>
      <c r="B39" s="2" t="inlineStr">
        <is>
          <t>InternImage-H</t>
        </is>
      </c>
      <c r="C39" s="2" t="inlineStr">
        <is>
          <t>Wang et al.</t>
        </is>
      </c>
      <c r="D39" s="2" t="inlineStr">
        <is>
          <t>CVPR</t>
        </is>
      </c>
      <c r="E39" s="2" t="inlineStr">
        <is>
          <t>2023-06</t>
        </is>
      </c>
      <c r="F39" s="2" t="inlineStr">
        <is>
          <t>Large-scale deformable conv; first ≥65 AP</t>
        </is>
      </c>
      <c r="G39" s="9" t="inlineStr">
        <is>
          <t>https://arxiv.org/abs/2211.05778</t>
        </is>
      </c>
      <c r="H39" s="9" t="inlineStr">
        <is>
          <t>https://github.com/OpenGVLab/InternImage</t>
        </is>
      </c>
    </row>
    <row r="40" ht="48" customHeight="1">
      <c r="A40" s="3" t="inlineStr">
        <is>
          <t>Real-Time OD</t>
        </is>
      </c>
      <c r="B40" s="3" t="inlineStr">
        <is>
          <t>YOLOv7-X</t>
        </is>
      </c>
      <c r="C40" s="3" t="inlineStr">
        <is>
          <t>Wang et al.</t>
        </is>
      </c>
      <c r="D40" s="3" t="inlineStr">
        <is>
          <t>CVPR</t>
        </is>
      </c>
      <c r="E40" s="3" t="inlineStr">
        <is>
          <t>2023-06</t>
        </is>
      </c>
      <c r="F40" s="3" t="inlineStr">
        <is>
          <t>E-ELAN backbone</t>
        </is>
      </c>
      <c r="G40" s="6" t="inlineStr">
        <is>
          <t>https://arxiv.org/abs/2207.02696</t>
        </is>
      </c>
      <c r="H40" s="6" t="inlineStr">
        <is>
          <t>https://github.com/WongKinYiu/yolov7</t>
        </is>
      </c>
    </row>
    <row r="41" ht="48" customHeight="1">
      <c r="A41" s="5" t="inlineStr">
        <is>
          <t>Few-Shot OD</t>
        </is>
      </c>
      <c r="B41" s="5" t="inlineStr">
        <is>
          <t>UniFS (UniDetector)</t>
        </is>
      </c>
      <c r="C41" s="5" t="inlineStr">
        <is>
          <t>Wang et al.</t>
        </is>
      </c>
      <c r="D41" s="5" t="inlineStr">
        <is>
          <t>CVPR</t>
        </is>
      </c>
      <c r="E41" s="5" t="inlineStr">
        <is>
          <t>2023-06</t>
        </is>
      </c>
      <c r="F41" s="5" t="inlineStr">
        <is>
          <t>Universal open-vocab detector</t>
        </is>
      </c>
      <c r="G41" s="8" t="inlineStr">
        <is>
          <t>https://arxiv.org/abs/2303.11749</t>
        </is>
      </c>
      <c r="H41" s="8" t="inlineStr">
        <is>
          <t>https://github.com/zhenyuw16/UniDetector</t>
        </is>
      </c>
    </row>
    <row r="42" ht="48" customHeight="1">
      <c r="A42" s="3" t="inlineStr">
        <is>
          <t>Real-Time OD</t>
        </is>
      </c>
      <c r="B42" s="3" t="inlineStr">
        <is>
          <t>YOLO-NAS-L</t>
        </is>
      </c>
      <c r="C42" s="3" t="inlineStr">
        <is>
          <t>Deci</t>
        </is>
      </c>
      <c r="D42" s="3" t="inlineStr">
        <is>
          <t>GitHub</t>
        </is>
      </c>
      <c r="E42" s="3" t="inlineStr">
        <is>
          <t>2023-05</t>
        </is>
      </c>
      <c r="F42" s="3" t="inlineStr">
        <is>
          <t>Neural-arch search YOLO</t>
        </is>
      </c>
      <c r="G42" s="6" t="inlineStr">
        <is>
          <t>https://github.com/Deci-AI/super-gradients</t>
        </is>
      </c>
      <c r="H42" s="6" t="inlineStr">
        <is>
          <t>https://github.com/Deci-AI/super-gradients</t>
        </is>
      </c>
    </row>
    <row r="43" ht="48" customHeight="1">
      <c r="A43" s="2" t="inlineStr">
        <is>
          <t>General OD</t>
        </is>
      </c>
      <c r="B43" s="2" t="inlineStr">
        <is>
          <t>DINO (Swin-L)</t>
        </is>
      </c>
      <c r="C43" s="2" t="inlineStr">
        <is>
          <t>Zhang et al.</t>
        </is>
      </c>
      <c r="D43" s="2" t="inlineStr">
        <is>
          <t>ICLR</t>
        </is>
      </c>
      <c r="E43" s="2" t="inlineStr">
        <is>
          <t>2023-03</t>
        </is>
      </c>
      <c r="F43" s="2" t="inlineStr">
        <is>
          <t>SOTA query-based DETR family; Paper-reported result</t>
        </is>
      </c>
      <c r="G43" s="9" t="inlineStr">
        <is>
          <t>https://arxiv.org/abs/2203.03605</t>
        </is>
      </c>
      <c r="H43" s="9" t="inlineStr">
        <is>
          <t>https://github.com/IDEA-Research/DINO</t>
        </is>
      </c>
    </row>
    <row r="44" ht="48" customHeight="1">
      <c r="A44" s="4" t="inlineStr">
        <is>
          <t>RGB Salient OD</t>
        </is>
      </c>
      <c r="B44" s="4" t="inlineStr">
        <is>
          <t>ICON-S (Swin)</t>
        </is>
      </c>
      <c r="C44" s="4" t="inlineStr">
        <is>
          <t>Zhuge et al.</t>
        </is>
      </c>
      <c r="D44" s="4" t="inlineStr">
        <is>
          <t>TPAMI</t>
        </is>
      </c>
      <c r="E44" s="4" t="inlineStr">
        <is>
          <t>2023-03</t>
        </is>
      </c>
      <c r="F44" s="4" t="inlineStr">
        <is>
          <t>Integrity learning</t>
        </is>
      </c>
      <c r="G44" s="7" t="inlineStr">
        <is>
          <t>https://arxiv.org/abs/2111.13409</t>
        </is>
      </c>
      <c r="H44" s="7" t="inlineStr">
        <is>
          <t>https://github.com/mczhuge/ICON</t>
        </is>
      </c>
    </row>
    <row r="45" ht="48" customHeight="1">
      <c r="A45" s="3" t="inlineStr">
        <is>
          <t>Real-Time OD</t>
        </is>
      </c>
      <c r="B45" s="3" t="inlineStr">
        <is>
          <t>YOLOv8x</t>
        </is>
      </c>
      <c r="C45" s="3" t="inlineStr">
        <is>
          <t>Jocher et al.</t>
        </is>
      </c>
      <c r="D45" s="3" t="inlineStr">
        <is>
          <t>GitHub</t>
        </is>
      </c>
      <c r="E45" s="3" t="inlineStr">
        <is>
          <t>2023-01</t>
        </is>
      </c>
      <c r="F45" s="3" t="inlineStr">
        <is>
          <t>Anchor-free; Ultralytics</t>
        </is>
      </c>
      <c r="G45" s="6" t="inlineStr">
        <is>
          <t>https://docs.ultralytics.com/models/yolov8/</t>
        </is>
      </c>
      <c r="H45" s="6" t="inlineStr">
        <is>
          <t>https://github.com/ultralytics/ultralytics</t>
        </is>
      </c>
    </row>
    <row r="46" ht="48" customHeight="1">
      <c r="A46" s="3" t="inlineStr">
        <is>
          <t>Real-Time OD</t>
        </is>
      </c>
      <c r="B46" s="3" t="inlineStr">
        <is>
          <t>RTMDet-X</t>
        </is>
      </c>
      <c r="C46" s="3" t="inlineStr">
        <is>
          <t>Lyu et al.</t>
        </is>
      </c>
      <c r="D46" s="3" t="inlineStr">
        <is>
          <t>arXiv</t>
        </is>
      </c>
      <c r="E46" s="3" t="inlineStr">
        <is>
          <t>2022-12</t>
        </is>
      </c>
      <c r="F46" s="3" t="inlineStr">
        <is>
          <t>OpenMMLab RT detector</t>
        </is>
      </c>
      <c r="G46" s="6" t="inlineStr">
        <is>
          <t>https://arxiv.org/abs/2212.07784</t>
        </is>
      </c>
      <c r="H46" s="6" t="inlineStr">
        <is>
          <t>https://github.com/open-mmlab/mmdetection</t>
        </is>
      </c>
    </row>
    <row r="47" ht="48" customHeight="1">
      <c r="A47" s="3" t="inlineStr">
        <is>
          <t>Real-Time OD</t>
        </is>
      </c>
      <c r="B47" s="3" t="inlineStr">
        <is>
          <t>DAMO-YOLO-l</t>
        </is>
      </c>
      <c r="C47" s="3" t="inlineStr">
        <is>
          <t>Xu et al.</t>
        </is>
      </c>
      <c r="D47" s="3" t="inlineStr">
        <is>
          <t>arXiv</t>
        </is>
      </c>
      <c r="E47" s="3" t="inlineStr">
        <is>
          <t>2022-12</t>
        </is>
      </c>
      <c r="F47" s="3" t="inlineStr">
        <is>
          <t>NAS backbone</t>
        </is>
      </c>
      <c r="G47" s="6" t="inlineStr">
        <is>
          <t>https://arxiv.org/abs/2211.15444</t>
        </is>
      </c>
      <c r="H47" s="6" t="inlineStr">
        <is>
          <t>https://github.com/tinyvision/damo-yolo</t>
        </is>
      </c>
    </row>
    <row r="48" ht="48" customHeight="1">
      <c r="A48" s="4" t="inlineStr">
        <is>
          <t>RGB Salient OD</t>
        </is>
      </c>
      <c r="B48" s="4" t="inlineStr">
        <is>
          <t>InSPyReNet</t>
        </is>
      </c>
      <c r="C48" s="4" t="inlineStr">
        <is>
          <t>Kim et al.</t>
        </is>
      </c>
      <c r="D48" s="4" t="inlineStr">
        <is>
          <t>ACCV</t>
        </is>
      </c>
      <c r="E48" s="4" t="inlineStr">
        <is>
          <t>2022-12</t>
        </is>
      </c>
      <c r="F48" s="4" t="inlineStr">
        <is>
          <t>Image pyramid; high-res</t>
        </is>
      </c>
      <c r="G48" s="7" t="inlineStr">
        <is>
          <t>https://arxiv.org/abs/2209.09475</t>
        </is>
      </c>
      <c r="H48" s="7" t="inlineStr">
        <is>
          <t>https://github.com/plemeri/InSPyReNet</t>
        </is>
      </c>
    </row>
    <row r="49" ht="48" customHeight="1">
      <c r="A49" s="2" t="inlineStr">
        <is>
          <t>General OD</t>
        </is>
      </c>
      <c r="B49" s="2" t="inlineStr">
        <is>
          <t>ViTDet (ViT-H, MAE)</t>
        </is>
      </c>
      <c r="C49" s="2" t="inlineStr">
        <is>
          <t>Li et al.</t>
        </is>
      </c>
      <c r="D49" s="2" t="inlineStr">
        <is>
          <t>ECCV</t>
        </is>
      </c>
      <c r="E49" s="2" t="inlineStr">
        <is>
          <t>2022-09</t>
        </is>
      </c>
      <c r="F49" s="2" t="inlineStr">
        <is>
          <t>Plain ViT backbone for detection</t>
        </is>
      </c>
      <c r="G49" s="9" t="inlineStr">
        <is>
          <t>https://arxiv.org/abs/2203.16527</t>
        </is>
      </c>
      <c r="H49" s="9" t="inlineStr">
        <is>
          <t>https://github.com/facebookresearch/detectron2</t>
        </is>
      </c>
    </row>
    <row r="50" ht="48" customHeight="1">
      <c r="A50" s="2" t="inlineStr">
        <is>
          <t>General OD</t>
        </is>
      </c>
      <c r="B50" s="2" t="inlineStr">
        <is>
          <t>MaxViT-XL Cascade</t>
        </is>
      </c>
      <c r="C50" s="2" t="inlineStr">
        <is>
          <t>Tu et al.</t>
        </is>
      </c>
      <c r="D50" s="2" t="inlineStr">
        <is>
          <t>ECCV</t>
        </is>
      </c>
      <c r="E50" s="2" t="inlineStr">
        <is>
          <t>2022-09</t>
        </is>
      </c>
      <c r="F50" s="2" t="inlineStr">
        <is>
          <t>Multi-axis attention</t>
        </is>
      </c>
      <c r="G50" s="9" t="inlineStr">
        <is>
          <t>https://arxiv.org/abs/2204.01697</t>
        </is>
      </c>
      <c r="H50" s="9" t="inlineStr">
        <is>
          <t>https://github.com/google-research/maxvit</t>
        </is>
      </c>
    </row>
    <row r="51" ht="48" customHeight="1">
      <c r="A51" s="3" t="inlineStr">
        <is>
          <t>Real-Time OD</t>
        </is>
      </c>
      <c r="B51" s="3" t="inlineStr">
        <is>
          <t>YOLOv6-L</t>
        </is>
      </c>
      <c r="C51" s="3" t="inlineStr">
        <is>
          <t>Li et al.</t>
        </is>
      </c>
      <c r="D51" s="3" t="inlineStr">
        <is>
          <t>arXiv</t>
        </is>
      </c>
      <c r="E51" s="3" t="inlineStr">
        <is>
          <t>2022-09</t>
        </is>
      </c>
      <c r="F51" s="3" t="inlineStr">
        <is>
          <t>Industry-grade RT detector</t>
        </is>
      </c>
      <c r="G51" s="6" t="inlineStr">
        <is>
          <t>https://arxiv.org/abs/2209.02976</t>
        </is>
      </c>
      <c r="H51" s="6" t="inlineStr">
        <is>
          <t>https://github.com/meituan/YOLOv6</t>
        </is>
      </c>
    </row>
    <row r="52" ht="48" customHeight="1">
      <c r="A52" s="4" t="inlineStr">
        <is>
          <t>RGB Salient OD</t>
        </is>
      </c>
      <c r="B52" s="4" t="inlineStr">
        <is>
          <t>EDN</t>
        </is>
      </c>
      <c r="C52" s="4" t="inlineStr">
        <is>
          <t>Wu et al.</t>
        </is>
      </c>
      <c r="D52" s="4" t="inlineStr">
        <is>
          <t>TIP</t>
        </is>
      </c>
      <c r="E52" s="4" t="inlineStr">
        <is>
          <t>2022-08</t>
        </is>
      </c>
      <c r="F52" s="4" t="inlineStr">
        <is>
          <t>Extremely-downsampled net</t>
        </is>
      </c>
      <c r="G52" s="7" t="inlineStr">
        <is>
          <t>https://arxiv.org/abs/2012.13093</t>
        </is>
      </c>
      <c r="H52" s="7" t="inlineStr">
        <is>
          <t>https://github.com/yuhuan-wu/EDN</t>
        </is>
      </c>
    </row>
    <row r="53" ht="48" customHeight="1">
      <c r="A53" s="5" t="inlineStr">
        <is>
          <t>Few-Shot OD</t>
        </is>
      </c>
      <c r="B53" s="5" t="inlineStr">
        <is>
          <t>Meta-DETR</t>
        </is>
      </c>
      <c r="C53" s="5" t="inlineStr">
        <is>
          <t>Zhang et al.</t>
        </is>
      </c>
      <c r="D53" s="5" t="inlineStr">
        <is>
          <t>TPAMI</t>
        </is>
      </c>
      <c r="E53" s="5" t="inlineStr">
        <is>
          <t>2022-08</t>
        </is>
      </c>
      <c r="F53" s="5" t="inlineStr">
        <is>
          <t>Inter-class correlational meta-learning</t>
        </is>
      </c>
      <c r="G53" s="8" t="inlineStr">
        <is>
          <t>https://arxiv.org/abs/2208.00219</t>
        </is>
      </c>
      <c r="H53" s="8" t="inlineStr">
        <is>
          <t>https://github.com/ZhangGongjie/Meta-DETR</t>
        </is>
      </c>
    </row>
    <row r="54" ht="48" customHeight="1">
      <c r="A54" s="3" t="inlineStr">
        <is>
          <t>Real-Time OD</t>
        </is>
      </c>
      <c r="B54" s="3" t="inlineStr">
        <is>
          <t>PP-YOLOE+ (X)</t>
        </is>
      </c>
      <c r="C54" s="3" t="inlineStr">
        <is>
          <t>Xu et al.</t>
        </is>
      </c>
      <c r="D54" s="3" t="inlineStr">
        <is>
          <t>arXiv</t>
        </is>
      </c>
      <c r="E54" s="3" t="inlineStr">
        <is>
          <t>2022-07</t>
        </is>
      </c>
      <c r="F54" s="3" t="inlineStr">
        <is>
          <t>Baidu PaddleDetection</t>
        </is>
      </c>
      <c r="G54" s="6" t="inlineStr">
        <is>
          <t>https://arxiv.org/abs/2203.16250</t>
        </is>
      </c>
      <c r="H54" s="6" t="inlineStr">
        <is>
          <t>https://github.com/PaddlePaddle/PaddleDetection</t>
        </is>
      </c>
    </row>
    <row r="55" ht="48" customHeight="1">
      <c r="A55" s="5" t="inlineStr">
        <is>
          <t>Few-Shot OD</t>
        </is>
      </c>
      <c r="B55" s="5" t="inlineStr">
        <is>
          <t>DETReg</t>
        </is>
      </c>
      <c r="C55" s="5" t="inlineStr">
        <is>
          <t>Bar et al.</t>
        </is>
      </c>
      <c r="D55" s="5" t="inlineStr">
        <is>
          <t>CVPR</t>
        </is>
      </c>
      <c r="E55" s="5" t="inlineStr">
        <is>
          <t>2022-06</t>
        </is>
      </c>
      <c r="F55" s="5" t="inlineStr">
        <is>
          <t>Self-supervised pre-training</t>
        </is>
      </c>
      <c r="G55" s="8" t="inlineStr">
        <is>
          <t>https://arxiv.org/abs/2106.04550</t>
        </is>
      </c>
      <c r="H55" s="8" t="inlineStr">
        <is>
          <t>https://github.com/amirbar/DETReg</t>
        </is>
      </c>
    </row>
    <row r="56" ht="48" customHeight="1">
      <c r="A56" s="2" t="inlineStr">
        <is>
          <t>General OD</t>
        </is>
      </c>
      <c r="B56" s="2" t="inlineStr">
        <is>
          <t>ConvNeXt-XL Cascade</t>
        </is>
      </c>
      <c r="C56" s="2" t="inlineStr">
        <is>
          <t>Liu et al.</t>
        </is>
      </c>
      <c r="D56" s="2" t="inlineStr">
        <is>
          <t>CVPR</t>
        </is>
      </c>
      <c r="E56" s="2" t="inlineStr">
        <is>
          <t>2022-03</t>
        </is>
      </c>
      <c r="F56" s="2" t="inlineStr">
        <is>
          <t>Pure ConvNet baseline</t>
        </is>
      </c>
      <c r="G56" s="9" t="inlineStr">
        <is>
          <t>https://arxiv.org/abs/2201.03545</t>
        </is>
      </c>
      <c r="H56" s="9" t="inlineStr">
        <is>
          <t>https://github.com/facebookresearch/ConvNeXt</t>
        </is>
      </c>
    </row>
    <row r="57" ht="48" customHeight="1">
      <c r="A57" s="2" t="inlineStr">
        <is>
          <t>General OD</t>
        </is>
      </c>
      <c r="B57" s="2" t="inlineStr">
        <is>
          <t>DN-DETR</t>
        </is>
      </c>
      <c r="C57" s="2" t="inlineStr">
        <is>
          <t>Li et al.</t>
        </is>
      </c>
      <c r="D57" s="2" t="inlineStr">
        <is>
          <t>CVPR</t>
        </is>
      </c>
      <c r="E57" s="2" t="inlineStr">
        <is>
          <t>2022-03</t>
        </is>
      </c>
      <c r="F57" s="2" t="inlineStr">
        <is>
          <t>Denoising training; Paper-reported result</t>
        </is>
      </c>
      <c r="G57" s="9" t="inlineStr">
        <is>
          <t>https://arxiv.org/abs/2203.01305</t>
        </is>
      </c>
      <c r="H57" s="9" t="inlineStr">
        <is>
          <t>https://github.com/IDEA-Research/DN-DETR</t>
        </is>
      </c>
    </row>
    <row r="58" ht="48" customHeight="1">
      <c r="A58" s="2" t="inlineStr">
        <is>
          <t>General OD</t>
        </is>
      </c>
      <c r="B58" s="2" t="inlineStr">
        <is>
          <t>DAB-DETR</t>
        </is>
      </c>
      <c r="C58" s="2" t="inlineStr">
        <is>
          <t>Liu et al.</t>
        </is>
      </c>
      <c r="D58" s="2" t="inlineStr">
        <is>
          <t>ICLR</t>
        </is>
      </c>
      <c r="E58" s="2" t="inlineStr">
        <is>
          <t>2022-03</t>
        </is>
      </c>
      <c r="F58" s="2" t="inlineStr">
        <is>
          <t>Anchor box query; Paper-reported result</t>
        </is>
      </c>
      <c r="G58" s="9" t="inlineStr">
        <is>
          <t>https://arxiv.org/abs/2201.12329</t>
        </is>
      </c>
      <c r="H58" s="9" t="inlineStr">
        <is>
          <t>https://github.com/IDEA-Research/DAB-DETR</t>
        </is>
      </c>
    </row>
    <row r="59" ht="48" customHeight="1">
      <c r="A59" s="3" t="inlineStr">
        <is>
          <t>Real-Time OD</t>
        </is>
      </c>
      <c r="B59" s="3" t="inlineStr">
        <is>
          <t>NanoDet-Plus-m</t>
        </is>
      </c>
      <c r="C59" s="3" t="inlineStr">
        <is>
          <t>RangiLyu</t>
        </is>
      </c>
      <c r="D59" s="3" t="inlineStr">
        <is>
          <t>GitHub</t>
        </is>
      </c>
      <c r="E59" s="3" t="inlineStr">
        <is>
          <t>2021-12</t>
        </is>
      </c>
      <c r="F59" s="3" t="inlineStr">
        <is>
          <t>Mobile/edge tiny detector</t>
        </is>
      </c>
      <c r="G59" s="6" t="inlineStr">
        <is>
          <t>https://github.com/RangiLyu/nanodet</t>
        </is>
      </c>
      <c r="H59" s="6" t="inlineStr">
        <is>
          <t>https://github.com/RangiLyu/nanodet</t>
        </is>
      </c>
    </row>
    <row r="60" ht="48" customHeight="1">
      <c r="A60" s="4" t="inlineStr">
        <is>
          <t>RGB Salient OD</t>
        </is>
      </c>
      <c r="B60" s="4" t="inlineStr">
        <is>
          <t>VST</t>
        </is>
      </c>
      <c r="C60" s="4" t="inlineStr">
        <is>
          <t>Liu et al.</t>
        </is>
      </c>
      <c r="D60" s="4" t="inlineStr">
        <is>
          <t>ICCV</t>
        </is>
      </c>
      <c r="E60" s="4" t="inlineStr">
        <is>
          <t>2021-10</t>
        </is>
      </c>
      <c r="F60" s="4" t="inlineStr">
        <is>
          <t>Visual saliency transformer</t>
        </is>
      </c>
      <c r="G60" s="7" t="inlineStr">
        <is>
          <t>https://arxiv.org/abs/2104.12099</t>
        </is>
      </c>
      <c r="H60" s="7" t="inlineStr">
        <is>
          <t>https://github.com/nnizhang/VST</t>
        </is>
      </c>
    </row>
    <row r="61" ht="48" customHeight="1">
      <c r="A61" s="5" t="inlineStr">
        <is>
          <t>Few-Shot OD</t>
        </is>
      </c>
      <c r="B61" s="5" t="inlineStr">
        <is>
          <t>DeFRCN</t>
        </is>
      </c>
      <c r="C61" s="5" t="inlineStr">
        <is>
          <t>Qiao et al.</t>
        </is>
      </c>
      <c r="D61" s="5" t="inlineStr">
        <is>
          <t>ICCV</t>
        </is>
      </c>
      <c r="E61" s="5" t="inlineStr">
        <is>
          <t>2021-10</t>
        </is>
      </c>
      <c r="F61" s="5" t="inlineStr">
        <is>
          <t>Decoupled Faster R-CNN; strong baseline</t>
        </is>
      </c>
      <c r="G61" s="8" t="inlineStr">
        <is>
          <t>https://arxiv.org/abs/2108.09017</t>
        </is>
      </c>
      <c r="H61" s="8" t="inlineStr">
        <is>
          <t>https://github.com/er-muyue/DeFRCN</t>
        </is>
      </c>
    </row>
    <row r="62" ht="48" customHeight="1">
      <c r="A62" s="2" t="inlineStr">
        <is>
          <t>General OD</t>
        </is>
      </c>
      <c r="B62" s="2" t="inlineStr">
        <is>
          <t>Swin-L Cascade Mask R-CNN</t>
        </is>
      </c>
      <c r="C62" s="2" t="inlineStr">
        <is>
          <t>Liu et al.</t>
        </is>
      </c>
      <c r="D62" s="2" t="inlineStr">
        <is>
          <t>ICCV</t>
        </is>
      </c>
      <c r="E62" s="2" t="inlineStr">
        <is>
          <t>2021-08</t>
        </is>
      </c>
      <c r="F62" s="2" t="inlineStr">
        <is>
          <t>Swin transformer backbone</t>
        </is>
      </c>
      <c r="G62" s="9" t="inlineStr">
        <is>
          <t>https://arxiv.org/abs/2103.14030</t>
        </is>
      </c>
      <c r="H62" s="9" t="inlineStr">
        <is>
          <t>https://github.com/microsoft/Swin-Transformer</t>
        </is>
      </c>
    </row>
    <row r="63" ht="48" customHeight="1">
      <c r="A63" s="3" t="inlineStr">
        <is>
          <t>Real-Time OD</t>
        </is>
      </c>
      <c r="B63" s="3" t="inlineStr">
        <is>
          <t>YOLOX-X</t>
        </is>
      </c>
      <c r="C63" s="3" t="inlineStr">
        <is>
          <t>Ge et al.</t>
        </is>
      </c>
      <c r="D63" s="3" t="inlineStr">
        <is>
          <t>arXiv</t>
        </is>
      </c>
      <c r="E63" s="3" t="inlineStr">
        <is>
          <t>2021-08</t>
        </is>
      </c>
      <c r="F63" s="3" t="inlineStr">
        <is>
          <t>Anchor-free YOLO baseline</t>
        </is>
      </c>
      <c r="G63" s="6" t="inlineStr">
        <is>
          <t>https://arxiv.org/abs/2107.08430</t>
        </is>
      </c>
      <c r="H63" s="6" t="inlineStr">
        <is>
          <t>https://github.com/Megvii-BaseDetection/YOLOX</t>
        </is>
      </c>
    </row>
    <row r="64" ht="48" customHeight="1">
      <c r="A64" s="5" t="inlineStr">
        <is>
          <t>Few-Shot OD</t>
        </is>
      </c>
      <c r="B64" s="5" t="inlineStr">
        <is>
          <t>FSCE</t>
        </is>
      </c>
      <c r="C64" s="5" t="inlineStr">
        <is>
          <t>Sun et al.</t>
        </is>
      </c>
      <c r="D64" s="5" t="inlineStr">
        <is>
          <t>CVPR</t>
        </is>
      </c>
      <c r="E64" s="5" t="inlineStr">
        <is>
          <t>2021-06</t>
        </is>
      </c>
      <c r="F64" s="5" t="inlineStr">
        <is>
          <t>Contrastive proposal encoding</t>
        </is>
      </c>
      <c r="G64" s="8" t="inlineStr">
        <is>
          <t>https://arxiv.org/abs/2103.05950</t>
        </is>
      </c>
      <c r="H64" s="8" t="inlineStr">
        <is>
          <t>https://github.com/megvii-research/FSCE</t>
        </is>
      </c>
    </row>
    <row r="65" ht="48" customHeight="1">
      <c r="A65" s="2" t="inlineStr">
        <is>
          <t>General OD</t>
        </is>
      </c>
      <c r="B65" s="2" t="inlineStr">
        <is>
          <t>Deformable DETR (R50)</t>
        </is>
      </c>
      <c r="C65" s="2" t="inlineStr">
        <is>
          <t>Zhu et al.</t>
        </is>
      </c>
      <c r="D65" s="2" t="inlineStr">
        <is>
          <t>ICLR</t>
        </is>
      </c>
      <c r="E65" s="2" t="inlineStr">
        <is>
          <t>2021-05</t>
        </is>
      </c>
      <c r="F65" s="2" t="inlineStr">
        <is>
          <t>Sparse attention; faster convergence; Paper-reported result</t>
        </is>
      </c>
      <c r="G65" s="9" t="inlineStr">
        <is>
          <t>https://arxiv.org/abs/2010.04159</t>
        </is>
      </c>
      <c r="H65" s="9" t="inlineStr">
        <is>
          <t>https://github.com/fundamentalvision/Deformable-DETR</t>
        </is>
      </c>
    </row>
    <row r="66" ht="48" customHeight="1">
      <c r="A66" s="4" t="inlineStr">
        <is>
          <t>RGB Salient OD</t>
        </is>
      </c>
      <c r="B66" s="4" t="inlineStr">
        <is>
          <t>PoolNet+</t>
        </is>
      </c>
      <c r="C66" s="4" t="inlineStr">
        <is>
          <t>Liu et al.</t>
        </is>
      </c>
      <c r="D66" s="4" t="inlineStr">
        <is>
          <t>TPAMI</t>
        </is>
      </c>
      <c r="E66" s="4" t="inlineStr">
        <is>
          <t>2021-04</t>
        </is>
      </c>
      <c r="F66" s="4" t="inlineStr">
        <is>
          <t>Pool-based aggregation</t>
        </is>
      </c>
      <c r="G66" s="7" t="inlineStr">
        <is>
          <t>https://arxiv.org/abs/1904.09569</t>
        </is>
      </c>
      <c r="H66" s="7" t="inlineStr">
        <is>
          <t>https://github.com/backseason/PoolNet</t>
        </is>
      </c>
    </row>
    <row r="67" ht="48" customHeight="1">
      <c r="A67" s="2" t="inlineStr">
        <is>
          <t>General OD</t>
        </is>
      </c>
      <c r="B67" s="2" t="inlineStr">
        <is>
          <t>Sparse R-CNN (R101)</t>
        </is>
      </c>
      <c r="C67" s="2" t="inlineStr">
        <is>
          <t>Sun et al.</t>
        </is>
      </c>
      <c r="D67" s="2" t="inlineStr">
        <is>
          <t>CVPR</t>
        </is>
      </c>
      <c r="E67" s="2" t="inlineStr">
        <is>
          <t>2021-01</t>
        </is>
      </c>
      <c r="F67" s="2" t="inlineStr">
        <is>
          <t>End-to-end set prediction; Paper-reported result</t>
        </is>
      </c>
      <c r="G67" s="9" t="inlineStr">
        <is>
          <t>https://arxiv.org/abs/2011.12450</t>
        </is>
      </c>
      <c r="H67" s="9" t="inlineStr">
        <is>
          <t>https://github.com/PeizeSun/SparseR-CNN</t>
        </is>
      </c>
    </row>
    <row r="68" ht="48" customHeight="1">
      <c r="A68" s="2" t="inlineStr">
        <is>
          <t>General OD</t>
        </is>
      </c>
      <c r="B68" s="2" t="inlineStr">
        <is>
          <t>DETR (R101)</t>
        </is>
      </c>
      <c r="C68" s="2" t="inlineStr">
        <is>
          <t>Carion et al.</t>
        </is>
      </c>
      <c r="D68" s="2" t="inlineStr">
        <is>
          <t>ECCV</t>
        </is>
      </c>
      <c r="E68" s="2" t="inlineStr">
        <is>
          <t>2020-09</t>
        </is>
      </c>
      <c r="F68" s="2" t="inlineStr">
        <is>
          <t>First end-to-end transformer detector; Paper-reported result</t>
        </is>
      </c>
      <c r="G68" s="9" t="inlineStr">
        <is>
          <t>https://arxiv.org/abs/2005.12872</t>
        </is>
      </c>
      <c r="H68" s="9" t="inlineStr">
        <is>
          <t>https://github.com/facebookresearch/detr</t>
        </is>
      </c>
    </row>
    <row r="69" ht="48" customHeight="1">
      <c r="A69" s="5" t="inlineStr">
        <is>
          <t>Few-Shot OD</t>
        </is>
      </c>
      <c r="B69" s="5" t="inlineStr">
        <is>
          <t>MPSR</t>
        </is>
      </c>
      <c r="C69" s="5" t="inlineStr">
        <is>
          <t>Wu et al.</t>
        </is>
      </c>
      <c r="D69" s="5" t="inlineStr">
        <is>
          <t>ECCV</t>
        </is>
      </c>
      <c r="E69" s="5" t="inlineStr">
        <is>
          <t>2020-08</t>
        </is>
      </c>
      <c r="F69" s="5" t="inlineStr">
        <is>
          <t>Multi-scale positive samples</t>
        </is>
      </c>
      <c r="G69" s="8" t="inlineStr">
        <is>
          <t>https://arxiv.org/abs/2007.09384</t>
        </is>
      </c>
      <c r="H69" s="8" t="inlineStr">
        <is>
          <t>https://github.com/jiaxi-wu/MPSR</t>
        </is>
      </c>
    </row>
    <row r="70" ht="48" customHeight="1">
      <c r="A70" s="5" t="inlineStr">
        <is>
          <t>Few-Shot OD</t>
        </is>
      </c>
      <c r="B70" s="5" t="inlineStr">
        <is>
          <t>TFA w/cos</t>
        </is>
      </c>
      <c r="C70" s="5" t="inlineStr">
        <is>
          <t>Wang et al.</t>
        </is>
      </c>
      <c r="D70" s="5" t="inlineStr">
        <is>
          <t>ICML</t>
        </is>
      </c>
      <c r="E70" s="5" t="inlineStr">
        <is>
          <t>2020-07</t>
        </is>
      </c>
      <c r="F70" s="5" t="inlineStr">
        <is>
          <t>Two-stage fine-tuning baseline</t>
        </is>
      </c>
      <c r="G70" s="8" t="inlineStr">
        <is>
          <t>https://arxiv.org/abs/2003.06957</t>
        </is>
      </c>
      <c r="H70" s="8" t="inlineStr">
        <is>
          <t>https://github.com/ucbdrive/few-shot-object-detection</t>
        </is>
      </c>
    </row>
    <row r="71" ht="48" customHeight="1">
      <c r="A71" s="3" t="inlineStr">
        <is>
          <t>Real-Time OD</t>
        </is>
      </c>
      <c r="B71" s="3" t="inlineStr">
        <is>
          <t>EfficientDet-D7</t>
        </is>
      </c>
      <c r="C71" s="3" t="inlineStr">
        <is>
          <t>Tan et al.</t>
        </is>
      </c>
      <c r="D71" s="3" t="inlineStr">
        <is>
          <t>CVPR</t>
        </is>
      </c>
      <c r="E71" s="3" t="inlineStr">
        <is>
          <t>2020-06</t>
        </is>
      </c>
      <c r="F71" s="3" t="inlineStr">
        <is>
          <t>BiFPN compound scaling</t>
        </is>
      </c>
      <c r="G71" s="6" t="inlineStr">
        <is>
          <t>https://arxiv.org/abs/1911.09070</t>
        </is>
      </c>
      <c r="H71" s="6" t="inlineStr">
        <is>
          <t>https://github.com/google/automl/tree/master/efficientdet</t>
        </is>
      </c>
    </row>
    <row r="72" ht="48" customHeight="1">
      <c r="A72" s="3" t="inlineStr">
        <is>
          <t>Real-Time OD</t>
        </is>
      </c>
      <c r="B72" s="3" t="inlineStr">
        <is>
          <t>YOLOv5-x</t>
        </is>
      </c>
      <c r="C72" s="3" t="inlineStr">
        <is>
          <t>Jocher et al.</t>
        </is>
      </c>
      <c r="D72" s="3" t="inlineStr">
        <is>
          <t>GitHub</t>
        </is>
      </c>
      <c r="E72" s="3" t="inlineStr">
        <is>
          <t>2020-06</t>
        </is>
      </c>
      <c r="F72" s="3" t="inlineStr">
        <is>
          <t>Anchor-based YOLO; widely used baseline</t>
        </is>
      </c>
      <c r="G72" s="6" t="inlineStr">
        <is>
          <t>https://github.com/ultralytics/yolov5</t>
        </is>
      </c>
      <c r="H72" s="6" t="inlineStr">
        <is>
          <t>https://github.com/ultralytics/yolov5</t>
        </is>
      </c>
    </row>
    <row r="73" ht="48" customHeight="1">
      <c r="A73" s="4" t="inlineStr">
        <is>
          <t>RGB Salient OD</t>
        </is>
      </c>
      <c r="B73" s="4" t="inlineStr">
        <is>
          <t>MINet</t>
        </is>
      </c>
      <c r="C73" s="4" t="inlineStr">
        <is>
          <t>Pang et al.</t>
        </is>
      </c>
      <c r="D73" s="4" t="inlineStr">
        <is>
          <t>CVPR</t>
        </is>
      </c>
      <c r="E73" s="4" t="inlineStr">
        <is>
          <t>2020-06</t>
        </is>
      </c>
      <c r="F73" s="4" t="inlineStr">
        <is>
          <t>Multi-scale interactive</t>
        </is>
      </c>
      <c r="G73" s="7" t="inlineStr">
        <is>
          <t>https://arxiv.org/abs/2007.09062</t>
        </is>
      </c>
      <c r="H73" s="7" t="inlineStr">
        <is>
          <t>https://github.com/lartpang/MINet</t>
        </is>
      </c>
    </row>
    <row r="74" ht="48" customHeight="1">
      <c r="A74" s="4" t="inlineStr">
        <is>
          <t>RGB Salient OD</t>
        </is>
      </c>
      <c r="B74" s="4" t="inlineStr">
        <is>
          <t>U^2-Net</t>
        </is>
      </c>
      <c r="C74" s="4" t="inlineStr">
        <is>
          <t>Qin et al.</t>
        </is>
      </c>
      <c r="D74" s="4" t="inlineStr">
        <is>
          <t>PR</t>
        </is>
      </c>
      <c r="E74" s="4" t="inlineStr">
        <is>
          <t>2020-05</t>
        </is>
      </c>
      <c r="F74" s="4" t="inlineStr">
        <is>
          <t>Nested U-blocks</t>
        </is>
      </c>
      <c r="G74" s="7" t="inlineStr">
        <is>
          <t>https://arxiv.org/abs/2005.09007</t>
        </is>
      </c>
      <c r="H74" s="7" t="inlineStr">
        <is>
          <t>https://github.com/xuebinqin/U-2-Net</t>
        </is>
      </c>
    </row>
    <row r="75" ht="48" customHeight="1">
      <c r="A75" s="5" t="inlineStr">
        <is>
          <t>Few-Shot OD</t>
        </is>
      </c>
      <c r="B75" s="5" t="inlineStr">
        <is>
          <t>Meta R-CNN</t>
        </is>
      </c>
      <c r="C75" s="5" t="inlineStr">
        <is>
          <t>Yan et al.</t>
        </is>
      </c>
      <c r="D75" s="5" t="inlineStr">
        <is>
          <t>ICCV</t>
        </is>
      </c>
      <c r="E75" s="5" t="inlineStr">
        <is>
          <t>2019-10</t>
        </is>
      </c>
      <c r="F75" s="5" t="inlineStr">
        <is>
          <t>Class-agnostic meta-learning</t>
        </is>
      </c>
      <c r="G75" s="8" t="inlineStr">
        <is>
          <t>https://arxiv.org/abs/1909.13032</t>
        </is>
      </c>
      <c r="H75" s="8" t="inlineStr">
        <is>
          <t>https://github.com/yanxp/MetaR-CNN</t>
        </is>
      </c>
    </row>
    <row r="76" ht="48" customHeight="1">
      <c r="A76" s="5" t="inlineStr">
        <is>
          <t>Few-Shot OD</t>
        </is>
      </c>
      <c r="B76" s="5" t="inlineStr">
        <is>
          <t>FSRW</t>
        </is>
      </c>
      <c r="C76" s="5" t="inlineStr">
        <is>
          <t>Kang et al.</t>
        </is>
      </c>
      <c r="D76" s="5" t="inlineStr">
        <is>
          <t>ICCV</t>
        </is>
      </c>
      <c r="E76" s="5" t="inlineStr">
        <is>
          <t>2019-10</t>
        </is>
      </c>
      <c r="F76" s="5" t="inlineStr">
        <is>
          <t>Reweighting features</t>
        </is>
      </c>
      <c r="G76" s="8" t="inlineStr">
        <is>
          <t>https://arxiv.org/abs/1812.01866</t>
        </is>
      </c>
      <c r="H76" s="8" t="inlineStr">
        <is>
          <t>https://github.com/bingykang/Fewshot_Detection</t>
        </is>
      </c>
    </row>
    <row r="77" ht="48" customHeight="1">
      <c r="A77" s="4" t="inlineStr">
        <is>
          <t>RGB Salient OD</t>
        </is>
      </c>
      <c r="B77" s="4" t="inlineStr">
        <is>
          <t>BASNet</t>
        </is>
      </c>
      <c r="C77" s="4" t="inlineStr">
        <is>
          <t>Qin et al.</t>
        </is>
      </c>
      <c r="D77" s="4" t="inlineStr">
        <is>
          <t>CVPR</t>
        </is>
      </c>
      <c r="E77" s="4" t="inlineStr">
        <is>
          <t>2019-06</t>
        </is>
      </c>
      <c r="F77" s="4" t="inlineStr">
        <is>
          <t>Boundary-aware. RGB SOD uses S/E/F/MAE not COCO mAP.</t>
        </is>
      </c>
      <c r="G77" s="7" t="inlineStr">
        <is>
          <t>https://arxiv.org/abs/1904.07857</t>
        </is>
      </c>
      <c r="H77" s="7" t="inlineStr">
        <is>
          <t>https://github.com/xuebinqin/BASNet</t>
        </is>
      </c>
    </row>
    <row r="78" ht="48" customHeight="1">
      <c r="A78" s="4" t="inlineStr">
        <is>
          <t>RGB Salient OD</t>
        </is>
      </c>
      <c r="B78" s="4" t="inlineStr">
        <is>
          <t>CPD-R</t>
        </is>
      </c>
      <c r="C78" s="4" t="inlineStr">
        <is>
          <t>Wu et al.</t>
        </is>
      </c>
      <c r="D78" s="4" t="inlineStr">
        <is>
          <t>CVPR</t>
        </is>
      </c>
      <c r="E78" s="4" t="inlineStr">
        <is>
          <t>2019-06</t>
        </is>
      </c>
      <c r="F78" s="4" t="inlineStr">
        <is>
          <t>Cascaded partial decoder</t>
        </is>
      </c>
      <c r="G78" s="7" t="inlineStr">
        <is>
          <t>https://arxiv.org/abs/1904.08739</t>
        </is>
      </c>
      <c r="H78" s="7" t="inlineStr">
        <is>
          <t>https://github.com/wuzhe71/CPD</t>
        </is>
      </c>
    </row>
    <row r="79" ht="48" customHeight="1">
      <c r="A79" s="2" t="inlineStr">
        <is>
          <t>General OD</t>
        </is>
      </c>
      <c r="B79" s="2" t="inlineStr">
        <is>
          <t>CenterNet</t>
        </is>
      </c>
      <c r="C79" s="2" t="inlineStr">
        <is>
          <t>Zhou et al.</t>
        </is>
      </c>
      <c r="D79" s="2" t="inlineStr">
        <is>
          <t>arXiv</t>
        </is>
      </c>
      <c r="E79" s="2" t="inlineStr">
        <is>
          <t>2019-04</t>
        </is>
      </c>
      <c r="F79" s="2" t="inlineStr">
        <is>
          <t>Keypoint-based anchor-free; Paper-reported result</t>
        </is>
      </c>
      <c r="G79" s="9" t="inlineStr">
        <is>
          <t>https://arxiv.org/abs/1904.07850</t>
        </is>
      </c>
      <c r="H79" s="9" t="inlineStr">
        <is>
          <t>https://github.com/xingyizhou/CenterNet</t>
        </is>
      </c>
    </row>
    <row r="80" ht="48" customHeight="1">
      <c r="A80" s="2" t="inlineStr">
        <is>
          <t>General OD</t>
        </is>
      </c>
      <c r="B80" s="2" t="inlineStr">
        <is>
          <t>FCOS (R101)</t>
        </is>
      </c>
      <c r="C80" s="2" t="inlineStr">
        <is>
          <t>Tian et al.</t>
        </is>
      </c>
      <c r="D80" s="2" t="inlineStr">
        <is>
          <t>ICCV</t>
        </is>
      </c>
      <c r="E80" s="2" t="inlineStr">
        <is>
          <t>2019-04</t>
        </is>
      </c>
      <c r="F80" s="2" t="inlineStr">
        <is>
          <t>Anchor-free one-stage; Paper-reported result</t>
        </is>
      </c>
      <c r="G80" s="9" t="inlineStr">
        <is>
          <t>https://arxiv.org/abs/1904.01355</t>
        </is>
      </c>
      <c r="H80" s="9" t="inlineStr">
        <is>
          <t>https://github.com/tianzhi0549/FCOS</t>
        </is>
      </c>
    </row>
    <row r="81" ht="48" customHeight="1">
      <c r="A81" s="2" t="inlineStr">
        <is>
          <t>General OD</t>
        </is>
      </c>
      <c r="B81" s="2" t="inlineStr">
        <is>
          <t>Cascade R-CNN (R101-FPN)</t>
        </is>
      </c>
      <c r="C81" s="2" t="inlineStr">
        <is>
          <t>Cai &amp; Vasconcelos</t>
        </is>
      </c>
      <c r="D81" s="2" t="inlineStr">
        <is>
          <t>CVPR</t>
        </is>
      </c>
      <c r="E81" s="2" t="inlineStr">
        <is>
          <t>2018-06</t>
        </is>
      </c>
      <c r="F81" s="2" t="inlineStr">
        <is>
          <t>Multi-stage IoU; Paper-reported result</t>
        </is>
      </c>
      <c r="G81" s="9" t="inlineStr">
        <is>
          <t>https://arxiv.org/abs/1712.00726</t>
        </is>
      </c>
      <c r="H81" s="9" t="inlineStr">
        <is>
          <t>https://github.com/zhaoweicai/cascade-rcnn</t>
        </is>
      </c>
    </row>
    <row r="82" ht="48" customHeight="1">
      <c r="A82" s="2" t="inlineStr">
        <is>
          <t>General OD</t>
        </is>
      </c>
      <c r="B82" s="2" t="inlineStr">
        <is>
          <t>RetinaNet (R101)</t>
        </is>
      </c>
      <c r="C82" s="2" t="inlineStr">
        <is>
          <t>Lin et al.</t>
        </is>
      </c>
      <c r="D82" s="2" t="inlineStr">
        <is>
          <t>ICCV</t>
        </is>
      </c>
      <c r="E82" s="2" t="inlineStr">
        <is>
          <t>2017-10</t>
        </is>
      </c>
      <c r="F82" s="2" t="inlineStr">
        <is>
          <t>One-stage anchor-based; focal loss; Paper-reported result</t>
        </is>
      </c>
      <c r="G82" s="9" t="inlineStr">
        <is>
          <t>https://arxiv.org/abs/1708.02002</t>
        </is>
      </c>
      <c r="H82" s="9" t="inlineStr">
        <is>
          <t>https://github.com/facebookresearch/Detectron</t>
        </is>
      </c>
    </row>
    <row r="83" ht="48" customHeight="1">
      <c r="A83" s="2" t="inlineStr">
        <is>
          <t>General OD</t>
        </is>
      </c>
      <c r="B83" s="2" t="inlineStr">
        <is>
          <t>Mask R-CNN (R50-FPN)</t>
        </is>
      </c>
      <c r="C83" s="2" t="inlineStr">
        <is>
          <t>He et al.</t>
        </is>
      </c>
      <c r="D83" s="2" t="inlineStr">
        <is>
          <t>ICCV</t>
        </is>
      </c>
      <c r="E83" s="2" t="inlineStr">
        <is>
          <t>2017-10</t>
        </is>
      </c>
      <c r="F83" s="2" t="inlineStr">
        <is>
          <t>Two-stage; box+mask head; baseline; Paper-reported result</t>
        </is>
      </c>
      <c r="G83" s="9" t="inlineStr">
        <is>
          <t>https://arxiv.org/abs/1703.06870</t>
        </is>
      </c>
      <c r="H83" s="9" t="inlineStr">
        <is>
          <t>https://github.com/facebookresearch/maskrcnn-benchmark</t>
        </is>
      </c>
    </row>
    <row r="84" ht="48" customHeight="1">
      <c r="A84" s="2" t="inlineStr">
        <is>
          <t>General OD</t>
        </is>
      </c>
      <c r="B84" s="2" t="inlineStr">
        <is>
          <t>Faster R-CNN (R50-FPN)</t>
        </is>
      </c>
      <c r="C84" s="2" t="inlineStr">
        <is>
          <t>Ren et al.</t>
        </is>
      </c>
      <c r="D84" s="2" t="inlineStr">
        <is>
          <t>NeurIPS</t>
        </is>
      </c>
      <c r="E84" s="2" t="inlineStr">
        <is>
          <t>2015-06</t>
        </is>
      </c>
      <c r="F84" s="2" t="inlineStr">
        <is>
          <t>Two-stage anchor-based; baseline still widely cited; Paper-reported result</t>
        </is>
      </c>
      <c r="G84" s="9" t="inlineStr">
        <is>
          <t>https://arxiv.org/abs/1506.01497</t>
        </is>
      </c>
      <c r="H84" s="9" t="inlineStr">
        <is>
          <t>https://github.com/rbgirshick/py-faster-rcnn</t>
        </is>
      </c>
    </row>
    <row r="85">
      <c r="A85" s="2" t="inlineStr">
        <is>
          <t>Few-Shot OD</t>
        </is>
      </c>
      <c r="B85" s="2" t="inlineStr">
        <is>
          <t>Exploring Hierarchical Consistency and Unbiased Objectness for Open-Vocabulary Object Dete</t>
        </is>
      </c>
      <c r="C85" s="2" t="inlineStr">
        <is>
          <t>Sanghoon Lee, Geon Lee, Hyekang Park, Bumsub Ham</t>
        </is>
      </c>
      <c r="D85" s="2" t="inlineStr">
        <is>
          <t>arXiv</t>
        </is>
      </c>
      <c r="E85" s="2" t="inlineStr">
        <is>
          <t>2026-04</t>
        </is>
      </c>
      <c r="F85" s="2" t="inlineStr">
        <is>
          <t>Auto-fetched from arXiv; metrics To verify</t>
        </is>
      </c>
      <c r="G85" s="9" t="inlineStr">
        <is>
          <t>https://arxiv.org/abs/2604.23344</t>
        </is>
      </c>
      <c r="H85" s="9" t="n"/>
    </row>
    <row r="86">
      <c r="A86" s="2" t="inlineStr">
        <is>
          <t>General OD</t>
        </is>
      </c>
      <c r="B86" s="2" t="inlineStr">
        <is>
          <t>VFM$^{4}$SDG: Unveiling the Power of VFMs for Single-Domain Generalized Object Detection</t>
        </is>
      </c>
      <c r="C86" s="2" t="inlineStr">
        <is>
          <t>Yupeng Zhang, Ruize Han, Ningnan Guo, Wei Feng, Song Wang, Liang Wan</t>
        </is>
      </c>
      <c r="D86" s="2" t="inlineStr">
        <is>
          <t>arXiv</t>
        </is>
      </c>
      <c r="E86" s="2" t="inlineStr">
        <is>
          <t>2026-04</t>
        </is>
      </c>
      <c r="F86" s="2" t="inlineStr">
        <is>
          <t>Auto-fetched from arXiv; metrics To verify</t>
        </is>
      </c>
      <c r="G86" s="9" t="inlineStr">
        <is>
          <t>https://arxiv.org/abs/2604.21502</t>
        </is>
      </c>
      <c r="H86" s="9" t="n"/>
    </row>
    <row r="87">
      <c r="A87" s="2" t="inlineStr">
        <is>
          <t>General OD</t>
        </is>
      </c>
      <c r="B87" s="2" t="inlineStr">
        <is>
          <t>UHR-DETR: Efficient End-to-End Small Object Detection for Ultra-High-Resolution Remote Sen</t>
        </is>
      </c>
      <c r="C87" s="2" t="inlineStr">
        <is>
          <t>Jingfang Li, Haoran Zhu, Wen Yang, Jinrui Zhang, Fang Xu, Haijian Zhang, Gui-Song Xia</t>
        </is>
      </c>
      <c r="D87" s="2" t="inlineStr">
        <is>
          <t>arXiv</t>
        </is>
      </c>
      <c r="E87" s="2" t="inlineStr">
        <is>
          <t>2026-04</t>
        </is>
      </c>
      <c r="F87" s="2" t="inlineStr">
        <is>
          <t>Auto-fetched from arXiv; metrics To verify</t>
        </is>
      </c>
      <c r="G87" s="9" t="inlineStr">
        <is>
          <t>https://arxiv.org/abs/2604.21435</t>
        </is>
      </c>
      <c r="H87" s="9" t="n"/>
    </row>
    <row r="88">
      <c r="A88" s="2" t="inlineStr">
        <is>
          <t>General OD</t>
        </is>
      </c>
      <c r="B88" s="2" t="inlineStr">
        <is>
          <t>PointSR</t>
        </is>
      </c>
      <c r="C88" s="2" t="inlineStr">
        <is>
          <t>—</t>
        </is>
      </c>
      <c r="D88" s="2" t="inlineStr">
        <is>
          <t>CVPR 2025</t>
        </is>
      </c>
      <c r="E88" s="2" t="inlineStr">
        <is>
          <t>2025-06</t>
        </is>
      </c>
      <c r="F88" s="2" t="inlineStr">
        <is>
          <t>CVF Open Access 自動收錄；指標待人工驗證。PointSR: Self-Regularized Point Supervision for Drone-View Object Detection</t>
        </is>
      </c>
      <c r="G88" s="9" t="inlineStr">
        <is>
          <t>https://openaccess.thecvf.com/content/CVPR2025/html/Li_PointSR_Self-Regularized_Point_Supervision_for_Drone-View_Object_Detection_CVPR_2025_paper.html</t>
        </is>
      </c>
      <c r="H88" s="9" t="inlineStr">
        <is>
          <t>N/A</t>
        </is>
      </c>
    </row>
    <row r="89">
      <c r="A89" s="2" t="inlineStr">
        <is>
          <t>General OD</t>
        </is>
      </c>
      <c r="B89" s="2" t="inlineStr">
        <is>
          <t xml:space="preserve">Brain-Inspired Spiking Neural Networks for Energy-Efficient </t>
        </is>
      </c>
      <c r="C89" s="2" t="inlineStr">
        <is>
          <t>—</t>
        </is>
      </c>
      <c r="D89" s="2" t="inlineStr">
        <is>
          <t>CVPR 2025</t>
        </is>
      </c>
      <c r="E89" s="2" t="inlineStr">
        <is>
          <t>2025-06</t>
        </is>
      </c>
      <c r="F89" s="2" t="inlineStr">
        <is>
          <t>CVF Open Access 自動收錄；指標待人工驗證。Brain-Inspired Spiking Neural Networks for Energy-Efficient Object Detection</t>
        </is>
      </c>
      <c r="G89" s="9" t="inlineStr">
        <is>
          <t>https://openaccess.thecvf.com/content/CVPR2025/html/Li_Brain-Inspired_Spiking_Neural_Networks_for_Energy-Efficient_Object_Detection_CVPR_2025_paper.html</t>
        </is>
      </c>
      <c r="H89" s="9" t="inlineStr">
        <is>
          <t>N/A</t>
        </is>
      </c>
    </row>
    <row r="90">
      <c r="A90" s="2" t="inlineStr">
        <is>
          <t>General OD</t>
        </is>
      </c>
      <c r="B90" s="2" t="inlineStr">
        <is>
          <t>ViKIENet</t>
        </is>
      </c>
      <c r="C90" s="2" t="inlineStr">
        <is>
          <t>—</t>
        </is>
      </c>
      <c r="D90" s="2" t="inlineStr">
        <is>
          <t>CVPR 2025</t>
        </is>
      </c>
      <c r="E90" s="2" t="inlineStr">
        <is>
          <t>2025-06</t>
        </is>
      </c>
      <c r="F90" s="2" t="inlineStr">
        <is>
          <t>CVF Open Access 自動收錄；指標待人工驗證。ViKIENet: Towards Efficient 3D Object Detection with Virtual Key Instance Enhanced Network</t>
        </is>
      </c>
      <c r="G90" s="9" t="inlineStr">
        <is>
          <t>https://openaccess.thecvf.com/content/CVPR2025/html/Yu_ViKIENet_Towards_Efficient_3D_Object_Detection_with_Virtual_Key_Instance_CVPR_2025_paper.html</t>
        </is>
      </c>
      <c r="H90" s="9" t="inlineStr">
        <is>
          <t>N/A</t>
        </is>
      </c>
    </row>
    <row r="91">
      <c r="A91" s="2" t="inlineStr">
        <is>
          <t>General OD</t>
        </is>
      </c>
      <c r="B91" s="2" t="inlineStr">
        <is>
          <t>Believing is Seeing</t>
        </is>
      </c>
      <c r="C91" s="2" t="inlineStr">
        <is>
          <t>—</t>
        </is>
      </c>
      <c r="D91" s="2" t="inlineStr">
        <is>
          <t>CVPR 2025</t>
        </is>
      </c>
      <c r="E91" s="2" t="inlineStr">
        <is>
          <t>2025-06</t>
        </is>
      </c>
      <c r="F91" s="2" t="inlineStr">
        <is>
          <t>CVF Open Access 自動收錄；指標待人工驗證。Believing is Seeing: Unobserved Object Detection using Generative Models</t>
        </is>
      </c>
      <c r="G91" s="9" t="inlineStr">
        <is>
          <t>https://openaccess.thecvf.com/content/CVPR2025/html/Bhattacharjee_Believing_is_Seeing_Unobserved_Object_Detection_using_Generative_Models_CVPR_2025_paper.html</t>
        </is>
      </c>
      <c r="H91" s="9" t="inlineStr">
        <is>
          <t>N/A</t>
        </is>
      </c>
    </row>
    <row r="92">
      <c r="A92" s="2" t="inlineStr">
        <is>
          <t>General OD</t>
        </is>
      </c>
      <c r="B92" s="2" t="inlineStr">
        <is>
          <t>OW-OVD</t>
        </is>
      </c>
      <c r="C92" s="2" t="inlineStr">
        <is>
          <t>—</t>
        </is>
      </c>
      <c r="D92" s="2" t="inlineStr">
        <is>
          <t>CVPR 2025</t>
        </is>
      </c>
      <c r="E92" s="2" t="inlineStr">
        <is>
          <t>2025-06</t>
        </is>
      </c>
      <c r="F92" s="2" t="inlineStr">
        <is>
          <t>CVF Open Access 自動收錄；指標待人工驗證。OW-OVD: Unified Open World and Open Vocabulary Object Detection</t>
        </is>
      </c>
      <c r="G92" s="9" t="inlineStr">
        <is>
          <t>https://openaccess.thecvf.com/content/CVPR2025/html/Xi_OW-OVD_Unified_Open_World_and_Open_Vocabulary_Object_Detection_CVPR_2025_paper.html</t>
        </is>
      </c>
      <c r="H92" s="9" t="inlineStr">
        <is>
          <t>N/A</t>
        </is>
      </c>
    </row>
    <row r="93">
      <c r="A93" s="2" t="inlineStr">
        <is>
          <t>General OD</t>
        </is>
      </c>
      <c r="B93" s="2" t="inlineStr">
        <is>
          <t>SEEN-DA</t>
        </is>
      </c>
      <c r="C93" s="2" t="inlineStr">
        <is>
          <t>—</t>
        </is>
      </c>
      <c r="D93" s="2" t="inlineStr">
        <is>
          <t>CVPR 2025</t>
        </is>
      </c>
      <c r="E93" s="2" t="inlineStr">
        <is>
          <t>2025-06</t>
        </is>
      </c>
      <c r="F93" s="2" t="inlineStr">
        <is>
          <t>CVF Open Access 自動收錄；指標待人工驗證。SEEN-DA: SEmantic ENtropy guided Domain-aware Attention for Domain Adaptive Object Detection</t>
        </is>
      </c>
      <c r="G93" s="9" t="inlineStr">
        <is>
          <t>https://openaccess.thecvf.com/content/CVPR2025/html/Li_SEEN-DA_SEmantic_ENtropy_guided_Domain-aware_Attention_for_Domain_Adaptive_Object_CVPR_2025_paper.html</t>
        </is>
      </c>
      <c r="H93" s="9" t="inlineStr">
        <is>
          <t>N/A</t>
        </is>
      </c>
    </row>
    <row r="94">
      <c r="A94" s="2" t="inlineStr">
        <is>
          <t>General OD</t>
        </is>
      </c>
      <c r="B94" s="2" t="inlineStr">
        <is>
          <t>Point2RBox-v2</t>
        </is>
      </c>
      <c r="C94" s="2" t="inlineStr">
        <is>
          <t>—</t>
        </is>
      </c>
      <c r="D94" s="2" t="inlineStr">
        <is>
          <t>CVPR 2025</t>
        </is>
      </c>
      <c r="E94" s="2" t="inlineStr">
        <is>
          <t>2025-06</t>
        </is>
      </c>
      <c r="F94" s="2" t="inlineStr">
        <is>
          <t>CVF Open Access 自動收錄；指標待人工驗證。Point2RBox-v2: Rethinking Point-supervised Oriented Object Detection with Spatial Layout Among Instances</t>
        </is>
      </c>
      <c r="G94" s="9" t="inlineStr">
        <is>
          <t>https://openaccess.thecvf.com/content/CVPR2025/html/Yu_Point2RBox-v2_Rethinking_Point-supervised_Oriented_Object_Detection_with_Spatial_Layout_Among_CVPR_2025_paper.html</t>
        </is>
      </c>
      <c r="H94" s="9" t="inlineStr">
        <is>
          <t>N/A</t>
        </is>
      </c>
    </row>
    <row r="95">
      <c r="A95" s="2" t="inlineStr">
        <is>
          <t>General OD</t>
        </is>
      </c>
      <c r="B95" s="2" t="inlineStr">
        <is>
          <t>SparseAlign</t>
        </is>
      </c>
      <c r="C95" s="2" t="inlineStr">
        <is>
          <t>—</t>
        </is>
      </c>
      <c r="D95" s="2" t="inlineStr">
        <is>
          <t>CVPR 2025</t>
        </is>
      </c>
      <c r="E95" s="2" t="inlineStr">
        <is>
          <t>2025-06</t>
        </is>
      </c>
      <c r="F95" s="2" t="inlineStr">
        <is>
          <t>CVF Open Access 自動收錄；指標待人工驗證。SparseAlign: a Fully Sparse Framework for Cooperative Object Detection</t>
        </is>
      </c>
      <c r="G95" s="9" t="inlineStr">
        <is>
          <t>https://openaccess.thecvf.com/content/CVPR2025/html/Yuan_SparseAlign_a_Fully_Sparse_Framework_for_Cooperative_Object_Detection_CVPR_2025_paper.html</t>
        </is>
      </c>
      <c r="H95" s="9" t="inlineStr">
        <is>
          <t>N/A</t>
        </is>
      </c>
    </row>
    <row r="96">
      <c r="A96" s="2" t="inlineStr">
        <is>
          <t>General OD</t>
        </is>
      </c>
      <c r="B96" s="2" t="inlineStr">
        <is>
          <t>Efficient Test-time Adaptive Object Detection via Sensitivit</t>
        </is>
      </c>
      <c r="C96" s="2" t="inlineStr">
        <is>
          <t>—</t>
        </is>
      </c>
      <c r="D96" s="2" t="inlineStr">
        <is>
          <t>CVPR 2025</t>
        </is>
      </c>
      <c r="E96" s="2" t="inlineStr">
        <is>
          <t>2025-06</t>
        </is>
      </c>
      <c r="F96" s="2" t="inlineStr">
        <is>
          <t>CVF Open Access 自動收錄；指標待人工驗證。Efficient Test-time Adaptive Object Detection via Sensitivity-Guided Pruning</t>
        </is>
      </c>
      <c r="G96" s="9" t="inlineStr">
        <is>
          <t>https://openaccess.thecvf.com/content/CVPR2025/html/Wang_Efficient_Test-time_Adaptive_Object_Detection_via_Sensitivity-Guided_Pruning_CVPR_2025_paper.html</t>
        </is>
      </c>
      <c r="H96" s="9" t="inlineStr">
        <is>
          <t>N/A</t>
        </is>
      </c>
    </row>
    <row r="97">
      <c r="A97" s="2" t="inlineStr">
        <is>
          <t>General OD</t>
        </is>
      </c>
      <c r="B97" s="2" t="inlineStr">
        <is>
          <t>GauCho</t>
        </is>
      </c>
      <c r="C97" s="2" t="inlineStr">
        <is>
          <t>—</t>
        </is>
      </c>
      <c r="D97" s="2" t="inlineStr">
        <is>
          <t>CVPR 2025</t>
        </is>
      </c>
      <c r="E97" s="2" t="inlineStr">
        <is>
          <t>2025-06</t>
        </is>
      </c>
      <c r="F97" s="2" t="inlineStr">
        <is>
          <t>CVF Open Access 自動收錄；指標待人工驗證。GauCho: Gaussian Distributions with Cholesky Decomposition for Oriented Object Detection</t>
        </is>
      </c>
      <c r="G97" s="9" t="inlineStr">
        <is>
          <t>https://openaccess.thecvf.com/content/CVPR2025/html/Marques_GauCho_Gaussian_Distributions_with_Cholesky_Decomposition_for_Oriented_Object_Detection_CVPR_2025_paper.html</t>
        </is>
      </c>
      <c r="H97" s="9" t="inlineStr">
        <is>
          <t>N/A</t>
        </is>
      </c>
    </row>
    <row r="98">
      <c r="A98" s="2" t="inlineStr">
        <is>
          <t>General OD</t>
        </is>
      </c>
      <c r="B98" s="2" t="inlineStr">
        <is>
          <t>Shift the Lens</t>
        </is>
      </c>
      <c r="C98" s="2" t="inlineStr">
        <is>
          <t>—</t>
        </is>
      </c>
      <c r="D98" s="2" t="inlineStr">
        <is>
          <t>CVPR 2025</t>
        </is>
      </c>
      <c r="E98" s="2" t="inlineStr">
        <is>
          <t>2025-06</t>
        </is>
      </c>
      <c r="F98" s="2" t="inlineStr">
        <is>
          <t>CVF Open Access 自動收錄；指標待人工驗證。Shift the Lens: Environment-Aware Unsupervised Camouflaged Object Detection</t>
        </is>
      </c>
      <c r="G98" s="9" t="inlineStr">
        <is>
          <t>https://openaccess.thecvf.com/content/CVPR2025/html/Du_Shift_the_Lens_Environment-Aware_Unsupervised_Camouflaged_Object_Detection_CVPR_2025_paper.html</t>
        </is>
      </c>
      <c r="H98" s="9" t="inlineStr">
        <is>
          <t>N/A</t>
        </is>
      </c>
    </row>
    <row r="99">
      <c r="A99" s="2" t="inlineStr">
        <is>
          <t>General OD</t>
        </is>
      </c>
      <c r="B99" s="2" t="inlineStr">
        <is>
          <t>Mr. DETR</t>
        </is>
      </c>
      <c r="C99" s="2" t="inlineStr">
        <is>
          <t>—</t>
        </is>
      </c>
      <c r="D99" s="2" t="inlineStr">
        <is>
          <t>CVPR 2025</t>
        </is>
      </c>
      <c r="E99" s="2" t="inlineStr">
        <is>
          <t>2025-06</t>
        </is>
      </c>
      <c r="F99" s="2" t="inlineStr">
        <is>
          <t>CVF Open Access 自動收錄；指標待人工驗證。Mr. DETR: Instructive Multi-Route Training for Detection Transformers</t>
        </is>
      </c>
      <c r="G99" s="9" t="inlineStr">
        <is>
          <t>https://openaccess.thecvf.com/content/CVPR2025/html/Zhang_Mr._DETR_Instructive_Multi-Route_Training_for_Detection_Transformers_CVPR_2025_paper.html</t>
        </is>
      </c>
      <c r="H99" s="9" t="inlineStr">
        <is>
          <t>N/A</t>
        </is>
      </c>
    </row>
    <row r="100">
      <c r="A100" s="2" t="inlineStr">
        <is>
          <t>General OD</t>
        </is>
      </c>
      <c r="B100" s="2" t="inlineStr">
        <is>
          <t>Large Self-Supervised Models Bridge the Gap in Domain Adapti</t>
        </is>
      </c>
      <c r="C100" s="2" t="inlineStr">
        <is>
          <t>—</t>
        </is>
      </c>
      <c r="D100" s="2" t="inlineStr">
        <is>
          <t>CVPR 2025</t>
        </is>
      </c>
      <c r="E100" s="2" t="inlineStr">
        <is>
          <t>2025-06</t>
        </is>
      </c>
      <c r="F100" s="2" t="inlineStr">
        <is>
          <t>CVF Open Access 自動收錄；指標待人工驗證。Large Self-Supervised Models Bridge the Gap in Domain Adaptive Object Detection</t>
        </is>
      </c>
      <c r="G100" s="9" t="inlineStr">
        <is>
          <t>https://openaccess.thecvf.com/content/CVPR2025/html/Lavoie_Large_Self-Supervised_Models_Bridge_the_Gap_in_Domain_Adaptive_Object_CVPR_2025_paper.html</t>
        </is>
      </c>
      <c r="H100" s="9" t="inlineStr">
        <is>
          <t>N/A</t>
        </is>
      </c>
    </row>
    <row r="101">
      <c r="A101" s="2" t="inlineStr">
        <is>
          <t>General OD</t>
        </is>
      </c>
      <c r="B101" s="2" t="inlineStr">
        <is>
          <t>Uncertainty Meets Diversity</t>
        </is>
      </c>
      <c r="C101" s="2" t="inlineStr">
        <is>
          <t>—</t>
        </is>
      </c>
      <c r="D101" s="2" t="inlineStr">
        <is>
          <t>CVPR 2025</t>
        </is>
      </c>
      <c r="E101" s="2" t="inlineStr">
        <is>
          <t>2025-06</t>
        </is>
      </c>
      <c r="F101" s="2" t="inlineStr">
        <is>
          <t>CVF Open Access 自動收錄；指標待人工驗證。Uncertainty Meets Diversity: A Comprehensive Active Learning Framework for Indoor 3D Object Detection</t>
        </is>
      </c>
      <c r="G101" s="9" t="inlineStr">
        <is>
          <t>https://openaccess.thecvf.com/content/CVPR2025/html/Wang_Uncertainty_Meets_Diversity_A_Comprehensive_Active_Learning_Framework_for_Indoor_CVPR_2025_paper.html</t>
        </is>
      </c>
      <c r="H101" s="9" t="inlineStr">
        <is>
          <t>N/A</t>
        </is>
      </c>
    </row>
    <row r="102">
      <c r="A102" s="2" t="inlineStr">
        <is>
          <t>RGB Salient OD</t>
        </is>
      </c>
      <c r="B102" s="2" t="inlineStr">
        <is>
          <t>Visual Consensus Prompting for Co-Salient Object Detection</t>
        </is>
      </c>
      <c r="C102" s="2" t="inlineStr">
        <is>
          <t>—</t>
        </is>
      </c>
      <c r="D102" s="2" t="inlineStr">
        <is>
          <t>CVPR 2025</t>
        </is>
      </c>
      <c r="E102" s="2" t="inlineStr">
        <is>
          <t>2025-06</t>
        </is>
      </c>
      <c r="F102" s="2" t="inlineStr">
        <is>
          <t>CVF Open Access 自動收錄；指標待人工驗證。Visual Consensus Prompting for Co-Salient Object Detection</t>
        </is>
      </c>
      <c r="G102" s="9" t="inlineStr">
        <is>
          <t>https://openaccess.thecvf.com/content/CVPR2025/html/Wang_Visual_Consensus_Prompting_for_Co-Salient_Object_Detection_CVPR_2025_paper.html</t>
        </is>
      </c>
      <c r="H102" s="9" t="inlineStr">
        <is>
          <t>N/A</t>
        </is>
      </c>
    </row>
    <row r="103">
      <c r="A103" s="2" t="inlineStr">
        <is>
          <t>General OD</t>
        </is>
      </c>
      <c r="B103" s="2" t="inlineStr">
        <is>
          <t>Language-Guided Salient Object Ranking</t>
        </is>
      </c>
      <c r="C103" s="2" t="inlineStr">
        <is>
          <t>—</t>
        </is>
      </c>
      <c r="D103" s="2" t="inlineStr">
        <is>
          <t>CVPR 2025</t>
        </is>
      </c>
      <c r="E103" s="2" t="inlineStr">
        <is>
          <t>2025-06</t>
        </is>
      </c>
      <c r="F103" s="2" t="inlineStr">
        <is>
          <t>CVF Open Access 自動收錄；指標待人工驗證。Language-Guided Salient Object Ranking</t>
        </is>
      </c>
      <c r="G103" s="9" t="inlineStr">
        <is>
          <t>https://openaccess.thecvf.com/content/CVPR2025/html/Liu_Language-Guided_Salient_Object_Ranking_CVPR_2025_paper.html</t>
        </is>
      </c>
      <c r="H103" s="9" t="inlineStr">
        <is>
          <t>N/A</t>
        </is>
      </c>
    </row>
    <row r="104">
      <c r="A104" s="2" t="inlineStr">
        <is>
          <t>General OD</t>
        </is>
      </c>
      <c r="B104" s="2" t="inlineStr">
        <is>
          <t>SP3D</t>
        </is>
      </c>
      <c r="C104" s="2" t="inlineStr">
        <is>
          <t>—</t>
        </is>
      </c>
      <c r="D104" s="2" t="inlineStr">
        <is>
          <t>CVPR 2025</t>
        </is>
      </c>
      <c r="E104" s="2" t="inlineStr">
        <is>
          <t>2025-06</t>
        </is>
      </c>
      <c r="F104" s="2" t="inlineStr">
        <is>
          <t>CVF Open Access 自動收錄；指標待人工驗證。SP3D: Boosting Sparsely-Supervised 3D Object Detection via Accurate Cross-Modal Semantic Prompts</t>
        </is>
      </c>
      <c r="G104" s="9" t="inlineStr">
        <is>
          <t>https://openaccess.thecvf.com/content/CVPR2025/html/Zhao_SP3D_Boosting_Sparsely-Supervised_3D_Object_Detection_via_Accurate_Cross-Modal_Semantic_CVPR_2025_paper.html</t>
        </is>
      </c>
      <c r="H104" s="9" t="inlineStr">
        <is>
          <t>N/A</t>
        </is>
      </c>
    </row>
    <row r="105">
      <c r="A105" s="2" t="inlineStr">
        <is>
          <t>General OD</t>
        </is>
      </c>
      <c r="B105" s="2" t="inlineStr">
        <is>
          <t>Test-Time Backdoor Detection for Object Detection Models</t>
        </is>
      </c>
      <c r="C105" s="2" t="inlineStr">
        <is>
          <t>—</t>
        </is>
      </c>
      <c r="D105" s="2" t="inlineStr">
        <is>
          <t>CVPR 2025</t>
        </is>
      </c>
      <c r="E105" s="2" t="inlineStr">
        <is>
          <t>2025-06</t>
        </is>
      </c>
      <c r="F105" s="2" t="inlineStr">
        <is>
          <t>CVF Open Access 自動收錄；指標待人工驗證。Test-Time Backdoor Detection for Object Detection Models</t>
        </is>
      </c>
      <c r="G105" s="9" t="inlineStr">
        <is>
          <t>https://openaccess.thecvf.com/content/CVPR2025/html/Zhang_Test-Time_Backdoor_Detection_for_Object_Detection_Models_CVPR_2025_paper.html</t>
        </is>
      </c>
      <c r="H105" s="9" t="inlineStr">
        <is>
          <t>N/A</t>
        </is>
      </c>
    </row>
    <row r="106">
      <c r="A106" s="2" t="inlineStr">
        <is>
          <t>General OD</t>
        </is>
      </c>
      <c r="B106" s="2" t="inlineStr">
        <is>
          <t>RaCFormer</t>
        </is>
      </c>
      <c r="C106" s="2" t="inlineStr">
        <is>
          <t>—</t>
        </is>
      </c>
      <c r="D106" s="2" t="inlineStr">
        <is>
          <t>CVPR 2025</t>
        </is>
      </c>
      <c r="E106" s="2" t="inlineStr">
        <is>
          <t>2025-06</t>
        </is>
      </c>
      <c r="F106" s="2" t="inlineStr">
        <is>
          <t>CVF Open Access 自動收錄；指標待人工驗證。RaCFormer: Towards High-Quality 3D Object Detection via Query-based Radar-Camera Fusion</t>
        </is>
      </c>
      <c r="G106" s="9" t="inlineStr">
        <is>
          <t>https://openaccess.thecvf.com/content/CVPR2025/html/Chu_RaCFormer_Towards_High-Quality_3D_Object_Detection_via_Query-based_Radar-Camera_Fusion_CVPR_2025_paper.html</t>
        </is>
      </c>
      <c r="H106" s="9" t="inlineStr">
        <is>
          <t>N/A</t>
        </is>
      </c>
    </row>
    <row r="107">
      <c r="A107" s="2" t="inlineStr">
        <is>
          <t>RGB Salient OD</t>
        </is>
      </c>
      <c r="B107" s="2" t="inlineStr">
        <is>
          <t>Samba</t>
        </is>
      </c>
      <c r="C107" s="2" t="inlineStr">
        <is>
          <t>—</t>
        </is>
      </c>
      <c r="D107" s="2" t="inlineStr">
        <is>
          <t>CVPR 2025</t>
        </is>
      </c>
      <c r="E107" s="2" t="inlineStr">
        <is>
          <t>2025-06</t>
        </is>
      </c>
      <c r="F107" s="2" t="inlineStr">
        <is>
          <t>CVF Open Access 自動收錄；指標待人工驗證。Samba: A Unified Mamba-based Framework for General Salient Object Detection</t>
        </is>
      </c>
      <c r="G107" s="9" t="inlineStr">
        <is>
          <t>https://openaccess.thecvf.com/content/CVPR2025/html/He_Samba_A_Unified_Mamba-based_Framework_for_General_Salient_Object_Detection_CVPR_2025_paper.html</t>
        </is>
      </c>
      <c r="H107" s="9" t="inlineStr">
        <is>
          <t>N/A</t>
        </is>
      </c>
    </row>
    <row r="108">
      <c r="A108" s="2" t="inlineStr">
        <is>
          <t>General OD</t>
        </is>
      </c>
      <c r="B108" s="2" t="inlineStr">
        <is>
          <t>Search and Detect</t>
        </is>
      </c>
      <c r="C108" s="2" t="inlineStr">
        <is>
          <t>—</t>
        </is>
      </c>
      <c r="D108" s="2" t="inlineStr">
        <is>
          <t>CVPR 2025</t>
        </is>
      </c>
      <c r="E108" s="2" t="inlineStr">
        <is>
          <t>2025-06</t>
        </is>
      </c>
      <c r="F108" s="2" t="inlineStr">
        <is>
          <t>CVF Open Access 自動收錄；指標待人工驗證。Search and Detect: Training-Free Long Tail Object Detection via Web-Image Retrieval</t>
        </is>
      </c>
      <c r="G108" s="9" t="inlineStr">
        <is>
          <t>https://openaccess.thecvf.com/content/CVPR2025/html/Sidhu_Search_and_Detect_Training-Free_Long_Tail_Object_Detection_via_Web-Image_CVPR_2025_paper.html</t>
        </is>
      </c>
      <c r="H108" s="9" t="inlineStr">
        <is>
          <t>N/A</t>
        </is>
      </c>
    </row>
    <row r="109">
      <c r="A109" s="2" t="inlineStr">
        <is>
          <t>General OD</t>
        </is>
      </c>
      <c r="B109" s="2" t="inlineStr">
        <is>
          <t>ROD-MLLM</t>
        </is>
      </c>
      <c r="C109" s="2" t="inlineStr">
        <is>
          <t>—</t>
        </is>
      </c>
      <c r="D109" s="2" t="inlineStr">
        <is>
          <t>CVPR 2025</t>
        </is>
      </c>
      <c r="E109" s="2" t="inlineStr">
        <is>
          <t>2025-06</t>
        </is>
      </c>
      <c r="F109" s="2" t="inlineStr">
        <is>
          <t>CVF Open Access 自動收錄；指標待人工驗證。ROD-MLLM: Towards More Reliable Object Detection in Multimodal Large Language Models</t>
        </is>
      </c>
      <c r="G109" s="9" t="inlineStr">
        <is>
          <t>https://openaccess.thecvf.com/content/CVPR2025/html/Yin_ROD-MLLM_Towards_More_Reliable_Object_Detection_in_Multimodal_Large_Language_CVPR_2025_paper.html</t>
        </is>
      </c>
      <c r="H109" s="9" t="inlineStr">
        <is>
          <t>N/A</t>
        </is>
      </c>
    </row>
    <row r="110">
      <c r="A110" s="2" t="inlineStr">
        <is>
          <t>General OD</t>
        </is>
      </c>
      <c r="B110" s="2" t="inlineStr">
        <is>
          <t>SET</t>
        </is>
      </c>
      <c r="C110" s="2" t="inlineStr">
        <is>
          <t>—</t>
        </is>
      </c>
      <c r="D110" s="2" t="inlineStr">
        <is>
          <t>CVPR 2025</t>
        </is>
      </c>
      <c r="E110" s="2" t="inlineStr">
        <is>
          <t>2025-06</t>
        </is>
      </c>
      <c r="F110" s="2" t="inlineStr">
        <is>
          <t>CVF Open Access 自動收錄；指標待人工驗證。SET: Spectral Enhancement for Tiny Object Detection</t>
        </is>
      </c>
      <c r="G110" s="9" t="inlineStr">
        <is>
          <t>https://openaccess.thecvf.com/content/CVPR2025/html/Sun_SET_Spectral_Enhancement_for_Tiny_Object_Detection_CVPR_2025_paper.html</t>
        </is>
      </c>
      <c r="H110" s="9" t="inlineStr">
        <is>
          <t>N/A</t>
        </is>
      </c>
    </row>
    <row r="111">
      <c r="A111" s="2" t="inlineStr">
        <is>
          <t>General OD</t>
        </is>
      </c>
      <c r="B111" s="2" t="inlineStr">
        <is>
          <t>UCOD-DPL</t>
        </is>
      </c>
      <c r="C111" s="2" t="inlineStr">
        <is>
          <t>—</t>
        </is>
      </c>
      <c r="D111" s="2" t="inlineStr">
        <is>
          <t>CVPR 2025</t>
        </is>
      </c>
      <c r="E111" s="2" t="inlineStr">
        <is>
          <t>2025-06</t>
        </is>
      </c>
      <c r="F111" s="2" t="inlineStr">
        <is>
          <t>CVF Open Access 自動收錄；指標待人工驗證。UCOD-DPL: Unsupervised Camouflaged Object Detection via Dynamic Pseudo-label Learning</t>
        </is>
      </c>
      <c r="G111" s="9" t="inlineStr">
        <is>
          <t>https://openaccess.thecvf.com/content/CVPR2025/html/Yan_UCOD-DPL_Unsupervised_Camouflaged_Object_Detection_via_Dynamic_Pseudo-label_Learning_CVPR_2025_paper.html</t>
        </is>
      </c>
      <c r="H111" s="9" t="inlineStr">
        <is>
          <t>N/A</t>
        </is>
      </c>
    </row>
    <row r="112">
      <c r="A112" s="2" t="inlineStr">
        <is>
          <t>General OD</t>
        </is>
      </c>
      <c r="B112" s="2" t="inlineStr">
        <is>
          <t>Style Evolving along Chain-of-Thought for Unknown-Domain Obj</t>
        </is>
      </c>
      <c r="C112" s="2" t="inlineStr">
        <is>
          <t>—</t>
        </is>
      </c>
      <c r="D112" s="2" t="inlineStr">
        <is>
          <t>CVPR 2025</t>
        </is>
      </c>
      <c r="E112" s="2" t="inlineStr">
        <is>
          <t>2025-06</t>
        </is>
      </c>
      <c r="F112" s="2" t="inlineStr">
        <is>
          <t>CVF Open Access 自動收錄；指標待人工驗證。Style Evolving along Chain-of-Thought for Unknown-Domain Object Detection</t>
        </is>
      </c>
      <c r="G112" s="9" t="inlineStr">
        <is>
          <t>https://openaccess.thecvf.com/content/CVPR2025/html/Zhang_Style_Evolving_along_Chain-of-Thought_for_Unknown-Domain_Object_Detection_CVPR_2025_paper.html</t>
        </is>
      </c>
      <c r="H112" s="9" t="inlineStr">
        <is>
          <t>N/A</t>
        </is>
      </c>
    </row>
    <row r="113">
      <c r="A113" s="2" t="inlineStr">
        <is>
          <t>General OD</t>
        </is>
      </c>
      <c r="B113" s="2" t="inlineStr">
        <is>
          <t>FSHNet</t>
        </is>
      </c>
      <c r="C113" s="2" t="inlineStr">
        <is>
          <t>—</t>
        </is>
      </c>
      <c r="D113" s="2" t="inlineStr">
        <is>
          <t>CVPR 2025</t>
        </is>
      </c>
      <c r="E113" s="2" t="inlineStr">
        <is>
          <t>2025-06</t>
        </is>
      </c>
      <c r="F113" s="2" t="inlineStr">
        <is>
          <t>CVF Open Access 自動收錄；指標待人工驗證。FSHNet: Fully Sparse Hybrid Network for 3D Object Detection</t>
        </is>
      </c>
      <c r="G113" s="9" t="inlineStr">
        <is>
          <t>https://openaccess.thecvf.com/content/CVPR2025/html/Liu_FSHNet_Fully_Sparse_Hybrid_Network_for_3D_Object_Detection_CVPR_2025_paper.html</t>
        </is>
      </c>
      <c r="H113" s="9" t="inlineStr">
        <is>
          <t>N/A</t>
        </is>
      </c>
    </row>
    <row r="114">
      <c r="A114" s="2" t="inlineStr">
        <is>
          <t>General OD</t>
        </is>
      </c>
      <c r="B114" s="2" t="inlineStr">
        <is>
          <t>Object Detection using Event Camera</t>
        </is>
      </c>
      <c r="C114" s="2" t="inlineStr">
        <is>
          <t>—</t>
        </is>
      </c>
      <c r="D114" s="2" t="inlineStr">
        <is>
          <t>CVPR 2025</t>
        </is>
      </c>
      <c r="E114" s="2" t="inlineStr">
        <is>
          <t>2025-06</t>
        </is>
      </c>
      <c r="F114" s="2" t="inlineStr">
        <is>
          <t>CVF Open Access 自動收錄；指標待人工驗證。Object Detection using Event Camera: A MoE Heat Conduction based Detector and A New Benchmark Dataset</t>
        </is>
      </c>
      <c r="G114" s="9" t="inlineStr">
        <is>
          <t>https://openaccess.thecvf.com/content/CVPR2025/html/Wang_Object_Detection_using_Event_Camera_A_MoE_Heat_Conduction_based_CVPR_2025_paper.html</t>
        </is>
      </c>
      <c r="H114" s="9" t="inlineStr">
        <is>
          <t>N/A</t>
        </is>
      </c>
    </row>
    <row r="115">
      <c r="A115" s="2" t="inlineStr">
        <is>
          <t>General OD</t>
        </is>
      </c>
      <c r="B115" s="2" t="inlineStr">
        <is>
          <t>ReDiffDet</t>
        </is>
      </c>
      <c r="C115" s="2" t="inlineStr">
        <is>
          <t>—</t>
        </is>
      </c>
      <c r="D115" s="2" t="inlineStr">
        <is>
          <t>CVPR 2025</t>
        </is>
      </c>
      <c r="E115" s="2" t="inlineStr">
        <is>
          <t>2025-06</t>
        </is>
      </c>
      <c r="F115" s="2" t="inlineStr">
        <is>
          <t>CVF Open Access 自動收錄；指標待人工驗證。ReDiffDet: Rotation-equivariant Diffusion Model for Oriented Object Detection</t>
        </is>
      </c>
      <c r="G115" s="9" t="inlineStr">
        <is>
          <t>https://openaccess.thecvf.com/content/CVPR2025/html/Zhao_ReDiffDet_Rotation-equivariant_Diffusion_Model_for_Oriented_Object_Detection_CVPR_2025_paper.html</t>
        </is>
      </c>
      <c r="H115" s="9" t="inlineStr">
        <is>
          <t>N/A</t>
        </is>
      </c>
    </row>
    <row r="116">
      <c r="A116" s="2" t="inlineStr">
        <is>
          <t>General OD</t>
        </is>
      </c>
      <c r="B116" s="2" t="inlineStr">
        <is>
          <t>Towards RAW Object Detection in Diverse Conditions</t>
        </is>
      </c>
      <c r="C116" s="2" t="inlineStr">
        <is>
          <t>—</t>
        </is>
      </c>
      <c r="D116" s="2" t="inlineStr">
        <is>
          <t>CVPR 2025</t>
        </is>
      </c>
      <c r="E116" s="2" t="inlineStr">
        <is>
          <t>2025-06</t>
        </is>
      </c>
      <c r="F116" s="2" t="inlineStr">
        <is>
          <t>CVF Open Access 自動收錄；指標待人工驗證。Towards RAW Object Detection in Diverse Conditions</t>
        </is>
      </c>
      <c r="G116" s="9" t="inlineStr">
        <is>
          <t>https://openaccess.thecvf.com/content/CVPR2025/html/Li_Towards_RAW_Object_Detection_in_Diverse_Conditions_CVPR_2025_paper.html</t>
        </is>
      </c>
      <c r="H116" s="9" t="inlineStr">
        <is>
          <t>N/A</t>
        </is>
      </c>
    </row>
    <row r="117">
      <c r="A117" s="2" t="inlineStr">
        <is>
          <t>General OD</t>
        </is>
      </c>
      <c r="B117" s="2" t="inlineStr">
        <is>
          <t>Pseudo Visible Feature Fine-Grained Fusion for Thermal Objec</t>
        </is>
      </c>
      <c r="C117" s="2" t="inlineStr">
        <is>
          <t>—</t>
        </is>
      </c>
      <c r="D117" s="2" t="inlineStr">
        <is>
          <t>CVPR 2025</t>
        </is>
      </c>
      <c r="E117" s="2" t="inlineStr">
        <is>
          <t>2025-06</t>
        </is>
      </c>
      <c r="F117" s="2" t="inlineStr">
        <is>
          <t>CVF Open Access 自動收錄；指標待人工驗證。Pseudo Visible Feature Fine-Grained Fusion for Thermal Object Detection</t>
        </is>
      </c>
      <c r="G117" s="9" t="inlineStr">
        <is>
          <t>https://openaccess.thecvf.com/content/CVPR2025/html/Li_Pseudo_Visible_Feature_Fine-Grained_Fusion_for_Thermal_Object_Detection_CVPR_2025_paper.html</t>
        </is>
      </c>
      <c r="H117" s="9" t="inlineStr">
        <is>
          <t>N/A</t>
        </is>
      </c>
    </row>
    <row r="118">
      <c r="A118" s="2" t="inlineStr">
        <is>
          <t>General OD</t>
        </is>
      </c>
      <c r="B118" s="2" t="inlineStr">
        <is>
          <t>ReRAW</t>
        </is>
      </c>
      <c r="C118" s="2" t="inlineStr">
        <is>
          <t>—</t>
        </is>
      </c>
      <c r="D118" s="2" t="inlineStr">
        <is>
          <t>CVPR 2025</t>
        </is>
      </c>
      <c r="E118" s="2" t="inlineStr">
        <is>
          <t>2025-06</t>
        </is>
      </c>
      <c r="F118" s="2" t="inlineStr">
        <is>
          <t>CVF Open Access 自動收錄；指標待人工驗證。ReRAW: RGB-to-RAW Image Reconstruction via Stratified Sampling for Efficient Object Detection on the Edge</t>
        </is>
      </c>
      <c r="G118" s="9" t="inlineStr">
        <is>
          <t>https://openaccess.thecvf.com/content/CVPR2025/html/Berdan_ReRAW_RGB-to-RAW_Image_Reconstruction_via_Stratified_Sampling_for_Efficient_Object_CVPR_2025_paper.html</t>
        </is>
      </c>
      <c r="H118" s="9" t="inlineStr">
        <is>
          <t>N/A</t>
        </is>
      </c>
    </row>
    <row r="119">
      <c r="A119" s="2" t="inlineStr">
        <is>
          <t>General OD</t>
        </is>
      </c>
      <c r="B119" s="2" t="inlineStr">
        <is>
          <t>MonoDGP</t>
        </is>
      </c>
      <c r="C119" s="2" t="inlineStr">
        <is>
          <t>—</t>
        </is>
      </c>
      <c r="D119" s="2" t="inlineStr">
        <is>
          <t>CVPR 2025</t>
        </is>
      </c>
      <c r="E119" s="2" t="inlineStr">
        <is>
          <t>2025-06</t>
        </is>
      </c>
      <c r="F119" s="2" t="inlineStr">
        <is>
          <t>CVF Open Access 自動收錄；指標待人工驗證。MonoDGP: Monocular 3D Object Detection with Decoupled-Query and Geometry-Error Priors</t>
        </is>
      </c>
      <c r="G119" s="9" t="inlineStr">
        <is>
          <t>https://openaccess.thecvf.com/content/CVPR2025/html/Pu_MonoDGP_Monocular_3D_Object_Detection_with_Decoupled-Query_and_Geometry-Error_Priors_CVPR_2025_paper.html</t>
        </is>
      </c>
      <c r="H119" s="9" t="inlineStr">
        <is>
          <t>N/A</t>
        </is>
      </c>
    </row>
    <row r="120">
      <c r="A120" s="2" t="inlineStr">
        <is>
          <t>General OD</t>
        </is>
      </c>
      <c r="B120" s="2" t="inlineStr">
        <is>
          <t>DEIM</t>
        </is>
      </c>
      <c r="C120" s="2" t="inlineStr">
        <is>
          <t>—</t>
        </is>
      </c>
      <c r="D120" s="2" t="inlineStr">
        <is>
          <t>CVPR 2025</t>
        </is>
      </c>
      <c r="E120" s="2" t="inlineStr">
        <is>
          <t>2025-06</t>
        </is>
      </c>
      <c r="F120" s="2" t="inlineStr">
        <is>
          <t>CVF Open Access 自動收錄；指標待人工驗證。DEIM: DETR with Improved Matching for Fast Convergence</t>
        </is>
      </c>
      <c r="G120" s="9" t="inlineStr">
        <is>
          <t>https://openaccess.thecvf.com/content/CVPR2025/html/Huang_DEIM_DETR_with_Improved_Matching_for_Fast_Convergence_CVPR_2025_paper.html</t>
        </is>
      </c>
      <c r="H120" s="9" t="inlineStr">
        <is>
          <t>N/A</t>
        </is>
      </c>
    </row>
    <row r="121">
      <c r="A121" s="2" t="inlineStr">
        <is>
          <t>General OD</t>
        </is>
      </c>
      <c r="B121" s="2" t="inlineStr">
        <is>
          <t>CorrBEV</t>
        </is>
      </c>
      <c r="C121" s="2" t="inlineStr">
        <is>
          <t>—</t>
        </is>
      </c>
      <c r="D121" s="2" t="inlineStr">
        <is>
          <t>CVPR 2025</t>
        </is>
      </c>
      <c r="E121" s="2" t="inlineStr">
        <is>
          <t>2025-06</t>
        </is>
      </c>
      <c r="F121" s="2" t="inlineStr">
        <is>
          <t>CVF Open Access 自動收錄；指標待人工驗證。CorrBEV: Multi-View 3D Object Detection by Correlation Learning with Multi-modal Prototypes</t>
        </is>
      </c>
      <c r="G121" s="9" t="inlineStr">
        <is>
          <t>https://openaccess.thecvf.com/content/CVPR2025/html/Xue_CorrBEV_Multi-View_3D_Object_Detection_by_Correlation_Learning_with_Multi-modal_CVPR_2025_paper.html</t>
        </is>
      </c>
      <c r="H121" s="9" t="inlineStr">
        <is>
          <t>N/A</t>
        </is>
      </c>
    </row>
    <row r="122">
      <c r="A122" s="2" t="inlineStr">
        <is>
          <t>General OD</t>
        </is>
      </c>
      <c r="B122" s="2" t="inlineStr">
        <is>
          <t>Feature Information Driven Position Gaussian Distribution Es</t>
        </is>
      </c>
      <c r="C122" s="2" t="inlineStr">
        <is>
          <t>—</t>
        </is>
      </c>
      <c r="D122" s="2" t="inlineStr">
        <is>
          <t>CVPR 2025</t>
        </is>
      </c>
      <c r="E122" s="2" t="inlineStr">
        <is>
          <t>2025-06</t>
        </is>
      </c>
      <c r="F122" s="2" t="inlineStr">
        <is>
          <t>CVF Open Access 自動收錄；指標待人工驗證。Feature Information Driven Position Gaussian Distribution Estimation for Tiny Object Detection</t>
        </is>
      </c>
      <c r="G122" s="9" t="inlineStr">
        <is>
          <t>https://openaccess.thecvf.com/content/CVPR2025/html/Bian_Feature_Information_Driven_Position_Gaussian_Distribution_Estimation_for_Tiny_Object_CVPR_2025_paper.html</t>
        </is>
      </c>
      <c r="H122" s="9" t="inlineStr">
        <is>
          <t>N/A</t>
        </is>
      </c>
    </row>
    <row r="123">
      <c r="A123" s="2" t="inlineStr">
        <is>
          <t>General OD</t>
        </is>
      </c>
      <c r="B123" s="2" t="inlineStr">
        <is>
          <t>Revisiting Generative Replay for Class Incremental Object De</t>
        </is>
      </c>
      <c r="C123" s="2" t="inlineStr">
        <is>
          <t>—</t>
        </is>
      </c>
      <c r="D123" s="2" t="inlineStr">
        <is>
          <t>CVPR 2025</t>
        </is>
      </c>
      <c r="E123" s="2" t="inlineStr">
        <is>
          <t>2025-06</t>
        </is>
      </c>
      <c r="F123" s="2" t="inlineStr">
        <is>
          <t>CVF Open Access 自動收錄；指標待人工驗證。Revisiting Generative Replay for Class Incremental Object Detection</t>
        </is>
      </c>
      <c r="G123" s="9" t="inlineStr">
        <is>
          <t>https://openaccess.thecvf.com/content/CVPR2025/html/Zhang_Revisiting_Generative_Replay_for_Class_Incremental_Object_Detection_CVPR_2025_paper.html</t>
        </is>
      </c>
      <c r="H123" s="9" t="inlineStr">
        <is>
          <t>N/A</t>
        </is>
      </c>
    </row>
    <row r="124">
      <c r="A124" s="2" t="inlineStr">
        <is>
          <t>General OD</t>
        </is>
      </c>
      <c r="B124" s="2" t="inlineStr">
        <is>
          <t>MI-DETR</t>
        </is>
      </c>
      <c r="C124" s="2" t="inlineStr">
        <is>
          <t>—</t>
        </is>
      </c>
      <c r="D124" s="2" t="inlineStr">
        <is>
          <t>CVPR 2025</t>
        </is>
      </c>
      <c r="E124" s="2" t="inlineStr">
        <is>
          <t>2025-06</t>
        </is>
      </c>
      <c r="F124" s="2" t="inlineStr">
        <is>
          <t>CVF Open Access 自動收錄；指標待人工驗證。MI-DETR: An Object Detection Model with Multi-time Inquiries Mechanism</t>
        </is>
      </c>
      <c r="G124" s="9" t="inlineStr">
        <is>
          <t>https://openaccess.thecvf.com/content/CVPR2025/html/Nan_MI-DETR_An_Object_Detection_Model_with_Multi-time_Inquiries_Mechanism_CVPR_2025_paper.html</t>
        </is>
      </c>
      <c r="H124" s="9" t="inlineStr">
        <is>
          <t>N/A</t>
        </is>
      </c>
    </row>
    <row r="125">
      <c r="A125" s="2" t="inlineStr">
        <is>
          <t>General OD</t>
        </is>
      </c>
      <c r="B125" s="2" t="inlineStr">
        <is>
          <t>Fractal Calibration for Long-tailed Object Detection</t>
        </is>
      </c>
      <c r="C125" s="2" t="inlineStr">
        <is>
          <t>—</t>
        </is>
      </c>
      <c r="D125" s="2" t="inlineStr">
        <is>
          <t>CVPR 2025</t>
        </is>
      </c>
      <c r="E125" s="2" t="inlineStr">
        <is>
          <t>2025-06</t>
        </is>
      </c>
      <c r="F125" s="2" t="inlineStr">
        <is>
          <t>CVF Open Access 自動收錄；指標待人工驗證。Fractal Calibration for Long-tailed Object Detection</t>
        </is>
      </c>
      <c r="G125" s="9" t="inlineStr">
        <is>
          <t>https://openaccess.thecvf.com/content/CVPR2025/html/Alexandridis_Fractal_Calibration_for_Long-tailed_Object_Detection_CVPR_2025_paper.html</t>
        </is>
      </c>
      <c r="H125" s="9" t="inlineStr">
        <is>
          <t>N/A</t>
        </is>
      </c>
    </row>
    <row r="126">
      <c r="A126" s="2" t="inlineStr">
        <is>
          <t>General OD</t>
        </is>
      </c>
      <c r="B126" s="2" t="inlineStr">
        <is>
          <t>Open-World Objectness Modeling Unifies Novel Object Detectio</t>
        </is>
      </c>
      <c r="C126" s="2" t="inlineStr">
        <is>
          <t>—</t>
        </is>
      </c>
      <c r="D126" s="2" t="inlineStr">
        <is>
          <t>CVPR 2025</t>
        </is>
      </c>
      <c r="E126" s="2" t="inlineStr">
        <is>
          <t>2025-06</t>
        </is>
      </c>
      <c r="F126" s="2" t="inlineStr">
        <is>
          <t>CVF Open Access 自動收錄；指標待人工驗證。Open-World Objectness Modeling Unifies Novel Object Detection</t>
        </is>
      </c>
      <c r="G126" s="9" t="inlineStr">
        <is>
          <t>https://openaccess.thecvf.com/content/CVPR2025/html/Zhang_Open-World_Objectness_Modeling_Unifies_Novel_Object_Detection_CVPR_2025_paper.html</t>
        </is>
      </c>
      <c r="H126" s="9" t="inlineStr">
        <is>
          <t>N/A</t>
        </is>
      </c>
    </row>
    <row r="127">
      <c r="A127" s="2" t="inlineStr">
        <is>
          <t>General OD</t>
        </is>
      </c>
      <c r="B127" s="2" t="inlineStr">
        <is>
          <t>MonoTAKD</t>
        </is>
      </c>
      <c r="C127" s="2" t="inlineStr">
        <is>
          <t>—</t>
        </is>
      </c>
      <c r="D127" s="2" t="inlineStr">
        <is>
          <t>CVPR 2025</t>
        </is>
      </c>
      <c r="E127" s="2" t="inlineStr">
        <is>
          <t>2025-06</t>
        </is>
      </c>
      <c r="F127" s="2" t="inlineStr">
        <is>
          <t>CVF Open Access 自動收錄；指標待人工驗證。MonoTAKD: Teaching Assistant Knowledge Distillation for Monocular 3D Object Detection</t>
        </is>
      </c>
      <c r="G127" s="9" t="inlineStr">
        <is>
          <t>https://openaccess.thecvf.com/content/CVPR2025/html/Liu_MonoTAKD_Teaching_Assistant_Knowledge_Distillation_for_Monocular_3D_Object_Detection_CVPR_2025_paper.html</t>
        </is>
      </c>
      <c r="H127" s="9" t="inlineStr">
        <is>
          <t>N/A</t>
        </is>
      </c>
    </row>
    <row r="128">
      <c r="A128" s="2" t="inlineStr">
        <is>
          <t>General OD</t>
        </is>
      </c>
      <c r="B128" s="2" t="inlineStr">
        <is>
          <t>RICCARDO</t>
        </is>
      </c>
      <c r="C128" s="2" t="inlineStr">
        <is>
          <t>—</t>
        </is>
      </c>
      <c r="D128" s="2" t="inlineStr">
        <is>
          <t>CVPR 2025</t>
        </is>
      </c>
      <c r="E128" s="2" t="inlineStr">
        <is>
          <t>2025-06</t>
        </is>
      </c>
      <c r="F128" s="2" t="inlineStr">
        <is>
          <t>CVF Open Access 自動收錄；指標待人工驗證。RICCARDO: Radar Hit Prediction and Convolution for Camera-Radar 3D Object Detection</t>
        </is>
      </c>
      <c r="G128" s="9" t="inlineStr">
        <is>
          <t>https://openaccess.thecvf.com/content/CVPR2025/html/Long_RICCARDO_Radar_Hit_Prediction_and_Convolution_for_Camera-Radar_3D_Object_CVPR_2025_paper.html</t>
        </is>
      </c>
      <c r="H128" s="9" t="inlineStr">
        <is>
          <t>N/A</t>
        </is>
      </c>
    </row>
    <row r="129">
      <c r="A129" s="2" t="inlineStr">
        <is>
          <t>General OD</t>
        </is>
      </c>
      <c r="B129" s="2" t="inlineStr">
        <is>
          <t>Cubify Anything</t>
        </is>
      </c>
      <c r="C129" s="2" t="inlineStr">
        <is>
          <t>—</t>
        </is>
      </c>
      <c r="D129" s="2" t="inlineStr">
        <is>
          <t>CVPR 2025</t>
        </is>
      </c>
      <c r="E129" s="2" t="inlineStr">
        <is>
          <t>2025-06</t>
        </is>
      </c>
      <c r="F129" s="2" t="inlineStr">
        <is>
          <t>CVF Open Access 自動收錄；指標待人工驗證。Cubify Anything: Scaling Indoor 3D Object Detection</t>
        </is>
      </c>
      <c r="G129" s="9" t="inlineStr">
        <is>
          <t>https://openaccess.thecvf.com/content/CVPR2025/html/Lazarow_Cubify_Anything_Scaling_Indoor_3D_Object_Detection_CVPR_2025_paper.html</t>
        </is>
      </c>
      <c r="H129" s="9" t="inlineStr">
        <is>
          <t>N/A</t>
        </is>
      </c>
    </row>
    <row r="130">
      <c r="A130" s="2" t="inlineStr">
        <is>
          <t>General OD</t>
        </is>
      </c>
      <c r="B130" s="2" t="inlineStr">
        <is>
          <t>Learning Class Prototypes for Unified Sparse-Supervised 3D O</t>
        </is>
      </c>
      <c r="C130" s="2" t="inlineStr">
        <is>
          <t>—</t>
        </is>
      </c>
      <c r="D130" s="2" t="inlineStr">
        <is>
          <t>CVPR 2025</t>
        </is>
      </c>
      <c r="E130" s="2" t="inlineStr">
        <is>
          <t>2025-06</t>
        </is>
      </c>
      <c r="F130" s="2" t="inlineStr">
        <is>
          <t>CVF Open Access 自動收錄；指標待人工驗證。Learning Class Prototypes for Unified Sparse-Supervised 3D Object Detection</t>
        </is>
      </c>
      <c r="G130" s="9" t="inlineStr">
        <is>
          <t>https://openaccess.thecvf.com/content/CVPR2025/html/Zhu_Learning_Class_Prototypes_for_Unified_Sparse-Supervised_3D_Object_Detection_CVPR_2025_paper.html</t>
        </is>
      </c>
      <c r="H130" s="9" t="inlineStr">
        <is>
          <t>N/A</t>
        </is>
      </c>
    </row>
    <row r="131">
      <c r="A131" s="2" t="inlineStr">
        <is>
          <t>General OD</t>
        </is>
      </c>
      <c r="B131" s="2" t="inlineStr">
        <is>
          <t>Percept, Memory, and Imagine</t>
        </is>
      </c>
      <c r="C131" s="2" t="inlineStr">
        <is>
          <t>—</t>
        </is>
      </c>
      <c r="D131" s="2" t="inlineStr">
        <is>
          <t>CVPR 2025</t>
        </is>
      </c>
      <c r="E131" s="2" t="inlineStr">
        <is>
          <t>2025-06</t>
        </is>
      </c>
      <c r="F131" s="2" t="inlineStr">
        <is>
          <t>CVF Open Access 自動收錄；指標待人工驗證。Percept, Memory, and Imagine: World Feature Simulating for Open-Domain Unknown Object Detection</t>
        </is>
      </c>
      <c r="G131" s="9" t="inlineStr">
        <is>
          <t>https://openaccess.thecvf.com/content/CVPR2025/html/Wu_Percept_Memory_and_Imagine_World_Feature_Simulating_for_Open-Domain_Unknown_CVPR_2025_paper.html</t>
        </is>
      </c>
      <c r="H131" s="9" t="inlineStr">
        <is>
          <t>N/A</t>
        </is>
      </c>
    </row>
    <row r="132">
      <c r="A132" s="2" t="inlineStr">
        <is>
          <t>General OD</t>
        </is>
      </c>
      <c r="B132" s="2" t="inlineStr">
        <is>
          <t>SimLTD</t>
        </is>
      </c>
      <c r="C132" s="2" t="inlineStr">
        <is>
          <t>—</t>
        </is>
      </c>
      <c r="D132" s="2" t="inlineStr">
        <is>
          <t>CVPR 2025</t>
        </is>
      </c>
      <c r="E132" s="2" t="inlineStr">
        <is>
          <t>2025-06</t>
        </is>
      </c>
      <c r="F132" s="2" t="inlineStr">
        <is>
          <t>CVF Open Access 自動收錄；指標待人工驗證。SimLTD: Simple Supervised and Semi-Supervised Long-Tailed Object Detection</t>
        </is>
      </c>
      <c r="G132" s="9" t="inlineStr">
        <is>
          <t>https://openaccess.thecvf.com/content/CVPR2025/html/Tran_SimLTD_Simple_Supervised_and_Semi-Supervised_Long-Tailed_Object_Detection_CVPR_2025_paper.html</t>
        </is>
      </c>
      <c r="H132" s="9" t="inlineStr">
        <is>
          <t>N/A</t>
        </is>
      </c>
    </row>
    <row r="133">
      <c r="A133" s="2" t="inlineStr">
        <is>
          <t>General OD</t>
        </is>
      </c>
      <c r="B133" s="2" t="inlineStr">
        <is>
          <t>Learning Endogenous Attention for Incremental Object Detecti</t>
        </is>
      </c>
      <c r="C133" s="2" t="inlineStr">
        <is>
          <t>—</t>
        </is>
      </c>
      <c r="D133" s="2" t="inlineStr">
        <is>
          <t>CVPR 2025</t>
        </is>
      </c>
      <c r="E133" s="2" t="inlineStr">
        <is>
          <t>2025-06</t>
        </is>
      </c>
      <c r="F133" s="2" t="inlineStr">
        <is>
          <t>CVF Open Access 自動收錄；指標待人工驗證。Learning Endogenous Attention for Incremental Object Detection</t>
        </is>
      </c>
      <c r="G133" s="9" t="inlineStr">
        <is>
          <t>https://openaccess.thecvf.com/content/CVPR2025/html/Song_Learning_Endogenous_Attention_for_Incremental_Object_Detection_CVPR_2025_paper.html</t>
        </is>
      </c>
      <c r="H133" s="9" t="inlineStr">
        <is>
          <t>N/A</t>
        </is>
      </c>
    </row>
    <row r="134">
      <c r="A134" s="2" t="inlineStr">
        <is>
          <t>General OD</t>
        </is>
      </c>
      <c r="B134" s="2" t="inlineStr">
        <is>
          <t>DiL</t>
        </is>
      </c>
      <c r="C134" s="2" t="inlineStr">
        <is>
          <t>—</t>
        </is>
      </c>
      <c r="D134" s="2" t="inlineStr">
        <is>
          <t>WACV 2025</t>
        </is>
      </c>
      <c r="E134" s="2" t="inlineStr">
        <is>
          <t>2025-01</t>
        </is>
      </c>
      <c r="F134" s="2" t="inlineStr">
        <is>
          <t>CVF Open Access 自動收錄；指標待人工驗證。DiL: An Explainable and Practical Metric for Abnormal Uncertainty in Object Detection</t>
        </is>
      </c>
      <c r="G134" s="9" t="inlineStr">
        <is>
          <t>https://openaccess.thecvf.com/content/WACV2025/html/Giloni_DiL_An_Explainable_and_Practical_Metric_for_Abnormal_Uncertainty_in_WACV_2025_paper.html</t>
        </is>
      </c>
      <c r="H134" s="9" t="inlineStr">
        <is>
          <t>N/A</t>
        </is>
      </c>
    </row>
    <row r="135">
      <c r="A135" s="2" t="inlineStr">
        <is>
          <t>General OD</t>
        </is>
      </c>
      <c r="B135" s="2" t="inlineStr">
        <is>
          <t>HDPNet</t>
        </is>
      </c>
      <c r="C135" s="2" t="inlineStr">
        <is>
          <t>—</t>
        </is>
      </c>
      <c r="D135" s="2" t="inlineStr">
        <is>
          <t>WACV 2025</t>
        </is>
      </c>
      <c r="E135" s="2" t="inlineStr">
        <is>
          <t>2025-01</t>
        </is>
      </c>
      <c r="F135" s="2" t="inlineStr">
        <is>
          <t>CVF Open Access 自動收錄；指標待人工驗證。HDPNet: Hourglass Vision Transformer with Dual-Path Feature Pyramid for Camouflaged Object Detection</t>
        </is>
      </c>
      <c r="G135" s="9" t="inlineStr">
        <is>
          <t>https://openaccess.thecvf.com/content/WACV2025/html/He_HDPNet_Hourglass_Vision_Transformer_with_Dual-Path_Feature_Pyramid_for_Camouflaged_WACV_2025_paper.html</t>
        </is>
      </c>
      <c r="H135" s="9" t="inlineStr">
        <is>
          <t>N/A</t>
        </is>
      </c>
    </row>
    <row r="136">
      <c r="A136" s="2" t="inlineStr">
        <is>
          <t>General OD</t>
        </is>
      </c>
      <c r="B136" s="2" t="inlineStr">
        <is>
          <t>Multispectral Object Detection Enhanced by Cross-Modal Infor</t>
        </is>
      </c>
      <c r="C136" s="2" t="inlineStr">
        <is>
          <t>—</t>
        </is>
      </c>
      <c r="D136" s="2" t="inlineStr">
        <is>
          <t>WACV 2025</t>
        </is>
      </c>
      <c r="E136" s="2" t="inlineStr">
        <is>
          <t>2025-01</t>
        </is>
      </c>
      <c r="F136" s="2" t="inlineStr">
        <is>
          <t>CVF Open Access 自動收錄；指標待人工驗證。Multispectral Object Detection Enhanced by Cross-Modal Information Complementary and Cosine Similarity Channel Resampling Modules</t>
        </is>
      </c>
      <c r="G136" s="9" t="inlineStr">
        <is>
          <t>https://openaccess.thecvf.com/content/WACV2025/html/Jang_Multispectral_Object_Detection_Enhanced_by_Cross-Modal_Information_Complementary_and_Cosine_WACV_2025_paper.html</t>
        </is>
      </c>
      <c r="H136" s="9" t="inlineStr">
        <is>
          <t>N/A</t>
        </is>
      </c>
    </row>
    <row r="137">
      <c r="A137" s="2" t="inlineStr">
        <is>
          <t>General OD</t>
        </is>
      </c>
      <c r="B137" s="2" t="inlineStr">
        <is>
          <t>Bit-Flip Induced Latency Attacks in Object Detection</t>
        </is>
      </c>
      <c r="C137" s="2" t="inlineStr">
        <is>
          <t>—</t>
        </is>
      </c>
      <c r="D137" s="2" t="inlineStr">
        <is>
          <t>WACV 2025</t>
        </is>
      </c>
      <c r="E137" s="2" t="inlineStr">
        <is>
          <t>2025-01</t>
        </is>
      </c>
      <c r="F137" s="2" t="inlineStr">
        <is>
          <t>CVF Open Access 自動收錄；指標待人工驗證。Bit-Flip Induced Latency Attacks in Object Detection</t>
        </is>
      </c>
      <c r="G137" s="9" t="inlineStr">
        <is>
          <t>https://openaccess.thecvf.com/content/WACV2025/html/Sistla_Bit-Flip_Induced_Latency_Attacks_in_Object_Detection_WACV_2025_paper.html</t>
        </is>
      </c>
      <c r="H137" s="9" t="inlineStr">
        <is>
          <t>N/A</t>
        </is>
      </c>
    </row>
    <row r="138">
      <c r="A138" s="2" t="inlineStr">
        <is>
          <t>General OD</t>
        </is>
      </c>
      <c r="B138" s="2" t="inlineStr">
        <is>
          <t>Enhancing Novel Object Detection via Cooperative Foundationa</t>
        </is>
      </c>
      <c r="C138" s="2" t="inlineStr">
        <is>
          <t>—</t>
        </is>
      </c>
      <c r="D138" s="2" t="inlineStr">
        <is>
          <t>WACV 2025</t>
        </is>
      </c>
      <c r="E138" s="2" t="inlineStr">
        <is>
          <t>2025-01</t>
        </is>
      </c>
      <c r="F138" s="2" t="inlineStr">
        <is>
          <t>CVF Open Access 自動收錄；指標待人工驗證。Enhancing Novel Object Detection via Cooperative Foundational Models</t>
        </is>
      </c>
      <c r="G138" s="9" t="inlineStr">
        <is>
          <t>https://openaccess.thecvf.com/content/WACV2025/html/Bharadwaj_Enhancing_Novel_Object_Detection_via_Cooperative_Foundational_Models_WACV_2025_paper.html</t>
        </is>
      </c>
      <c r="H138" s="9" t="inlineStr">
        <is>
          <t>N/A</t>
        </is>
      </c>
    </row>
    <row r="139">
      <c r="A139" s="2" t="inlineStr">
        <is>
          <t>General OD</t>
        </is>
      </c>
      <c r="B139" s="2" t="inlineStr">
        <is>
          <t>On the Importance of Dual-Space Augmentation for Domain Gene</t>
        </is>
      </c>
      <c r="C139" s="2" t="inlineStr">
        <is>
          <t>—</t>
        </is>
      </c>
      <c r="D139" s="2" t="inlineStr">
        <is>
          <t>WACV 2025</t>
        </is>
      </c>
      <c r="E139" s="2" t="inlineStr">
        <is>
          <t>2025-01</t>
        </is>
      </c>
      <c r="F139" s="2" t="inlineStr">
        <is>
          <t>CVF Open Access 自動收錄；指標待人工驗證。On the Importance of Dual-Space Augmentation for Domain Generalized Object Detection</t>
        </is>
      </c>
      <c r="G139" s="9" t="inlineStr">
        <is>
          <t>https://openaccess.thecvf.com/content/WACV2025/html/Park_On_the_Importance_of_Dual-Space_Augmentation_for_Domain_Generalized_Object_WACV_2025_paper.html</t>
        </is>
      </c>
      <c r="H139" s="9" t="inlineStr">
        <is>
          <t>N/A</t>
        </is>
      </c>
    </row>
    <row r="140">
      <c r="A140" s="2" t="inlineStr">
        <is>
          <t>General OD</t>
        </is>
      </c>
      <c r="B140" s="2" t="inlineStr">
        <is>
          <t>DSTR</t>
        </is>
      </c>
      <c r="C140" s="2" t="inlineStr">
        <is>
          <t>—</t>
        </is>
      </c>
      <c r="D140" s="2" t="inlineStr">
        <is>
          <t>WACV 2025</t>
        </is>
      </c>
      <c r="E140" s="2" t="inlineStr">
        <is>
          <t>2025-01</t>
        </is>
      </c>
      <c r="F140" s="2" t="inlineStr">
        <is>
          <t>CVF Open Access 自動收錄；指標待人工驗證。DSTR: Dual Scenes Transformer for Cross-Modal Fusion in 3D Object Detection</t>
        </is>
      </c>
      <c r="G140" s="9" t="inlineStr">
        <is>
          <t>https://openaccess.thecvf.com/content/WACV2025/html/Cai_DSTR_Dual_Scenes_Transformer_for_Cross-Modal_Fusion_in_3D_Object_WACV_2025_paper.html</t>
        </is>
      </c>
      <c r="H140" s="9" t="inlineStr">
        <is>
          <t>N/A</t>
        </is>
      </c>
    </row>
    <row r="141">
      <c r="A141" s="2" t="inlineStr">
        <is>
          <t>Few-Shot OD</t>
        </is>
      </c>
      <c r="B141" s="2" t="inlineStr">
        <is>
          <t>Elemental Composite Prototypical Network</t>
        </is>
      </c>
      <c r="C141" s="2" t="inlineStr">
        <is>
          <t>—</t>
        </is>
      </c>
      <c r="D141" s="2" t="inlineStr">
        <is>
          <t>WACV 2025</t>
        </is>
      </c>
      <c r="E141" s="2" t="inlineStr">
        <is>
          <t>2025-01</t>
        </is>
      </c>
      <c r="F141" s="2" t="inlineStr">
        <is>
          <t>CVF Open Access 自動收錄；指標待人工驗證。Elemental Composite Prototypical Network: Few-Shot Object Detection on Outdoor 3D Point Cloud Scenes</t>
        </is>
      </c>
      <c r="G141" s="9" t="inlineStr">
        <is>
          <t>https://openaccess.thecvf.com/content/WACV2025/html/De_Elemental_Composite_Prototypical_Network_Few-Shot_Object_Detection_on_Outdoor_3D_WACV_2025_paper.html</t>
        </is>
      </c>
      <c r="H141" s="9" t="inlineStr">
        <is>
          <t>N/A</t>
        </is>
      </c>
    </row>
    <row r="142">
      <c r="A142" s="2" t="inlineStr">
        <is>
          <t>General OD</t>
        </is>
      </c>
      <c r="B142" s="2" t="inlineStr">
        <is>
          <t>ALPI</t>
        </is>
      </c>
      <c r="C142" s="2" t="inlineStr">
        <is>
          <t>—</t>
        </is>
      </c>
      <c r="D142" s="2" t="inlineStr">
        <is>
          <t>WACV 2025</t>
        </is>
      </c>
      <c r="E142" s="2" t="inlineStr">
        <is>
          <t>2025-01</t>
        </is>
      </c>
      <c r="F142" s="2" t="inlineStr">
        <is>
          <t>CVF Open Access 自動收錄；指標待人工驗證。ALPI: Auto-Labeller with Proxy Injection for 3D Object Detection using 2D Labels Only</t>
        </is>
      </c>
      <c r="G142" s="9" t="inlineStr">
        <is>
          <t>https://openaccess.thecvf.com/content/WACV2025/html/Lahlali_ALPI_Auto-Labeller_with_Proxy_Injection_for_3D_Object_Detection_using_WACV_2025_paper.html</t>
        </is>
      </c>
      <c r="H142" s="9" t="inlineStr">
        <is>
          <t>N/A</t>
        </is>
      </c>
    </row>
    <row r="143">
      <c r="A143" s="2" t="inlineStr">
        <is>
          <t>General OD</t>
        </is>
      </c>
      <c r="B143" s="2" t="inlineStr">
        <is>
          <t>AIC3DOD</t>
        </is>
      </c>
      <c r="C143" s="2" t="inlineStr">
        <is>
          <t>—</t>
        </is>
      </c>
      <c r="D143" s="2" t="inlineStr">
        <is>
          <t>WACV 2025</t>
        </is>
      </c>
      <c r="E143" s="2" t="inlineStr">
        <is>
          <t>2025-01</t>
        </is>
      </c>
      <c r="F143" s="2" t="inlineStr">
        <is>
          <t>CVF Open Access 自動收錄；指標待人工驗證。AIC3DOD: Advancing Indoor Class-Incremental 3D Object Detection with Point Transformer Architecture and Room Layout Constraints</t>
        </is>
      </c>
      <c r="G143" s="9" t="inlineStr">
        <is>
          <t>https://openaccess.thecvf.com/content/WACV2025/html/Cheng_AIC3DOD_Advancing_Indoor_Class-Incremental_3D_Object_Detection_with_Point_Transformer_WACV_2025_paper.html</t>
        </is>
      </c>
      <c r="H143" s="9" t="inlineStr">
        <is>
          <t>N/A</t>
        </is>
      </c>
    </row>
    <row r="144">
      <c r="A144" s="2" t="inlineStr">
        <is>
          <t>General OD</t>
        </is>
      </c>
      <c r="B144" s="2" t="inlineStr">
        <is>
          <t>Reflective Teacher</t>
        </is>
      </c>
      <c r="C144" s="2" t="inlineStr">
        <is>
          <t>—</t>
        </is>
      </c>
      <c r="D144" s="2" t="inlineStr">
        <is>
          <t>WACV 2025</t>
        </is>
      </c>
      <c r="E144" s="2" t="inlineStr">
        <is>
          <t>2025-01</t>
        </is>
      </c>
      <c r="F144" s="2" t="inlineStr">
        <is>
          <t>CVF Open Access 自動收錄；指標待人工驗證。Reflective Teacher: Semi-Supervised Multimodal 3D Object Detection in Bird&amp;#x27;s-Eye-View via Uncertainty Measure</t>
        </is>
      </c>
      <c r="G144" s="9" t="inlineStr">
        <is>
          <t>https://openaccess.thecvf.com/content/WACV2025/html/Hazra_Reflective_Teacher_Semi-Supervised_Multimodal_3D_Object_Detection_in_Birds-Eye-View_via_WACV_2025_paper.html</t>
        </is>
      </c>
      <c r="H144" s="9" t="inlineStr">
        <is>
          <t>N/A</t>
        </is>
      </c>
    </row>
    <row r="145">
      <c r="A145" s="2" t="inlineStr">
        <is>
          <t>General OD</t>
        </is>
      </c>
      <c r="B145" s="2" t="inlineStr">
        <is>
          <t>MaskVD</t>
        </is>
      </c>
      <c r="C145" s="2" t="inlineStr">
        <is>
          <t>—</t>
        </is>
      </c>
      <c r="D145" s="2" t="inlineStr">
        <is>
          <t>WACV 2025</t>
        </is>
      </c>
      <c r="E145" s="2" t="inlineStr">
        <is>
          <t>2025-01</t>
        </is>
      </c>
      <c r="F145" s="2" t="inlineStr">
        <is>
          <t>CVF Open Access 自動收錄；指標待人工驗證。MaskVD: Region Masking for Efficient Video Object Detection</t>
        </is>
      </c>
      <c r="G145" s="9" t="inlineStr">
        <is>
          <t>https://openaccess.thecvf.com/content/WACV2025/html/Sarkar_MaskVD_Region_Masking_for_Efficient_Video_Object_Detection_WACV_2025_paper.html</t>
        </is>
      </c>
      <c r="H145" s="9" t="inlineStr">
        <is>
          <t>N/A</t>
        </is>
      </c>
    </row>
    <row r="146">
      <c r="A146" s="2" t="inlineStr">
        <is>
          <t>General OD</t>
        </is>
      </c>
      <c r="B146" s="2" t="inlineStr">
        <is>
          <t>Diffusion-Based Particle-DETR for BEV Perception</t>
        </is>
      </c>
      <c r="C146" s="2" t="inlineStr">
        <is>
          <t>—</t>
        </is>
      </c>
      <c r="D146" s="2" t="inlineStr">
        <is>
          <t>WACV 2025</t>
        </is>
      </c>
      <c r="E146" s="2" t="inlineStr">
        <is>
          <t>2025-01</t>
        </is>
      </c>
      <c r="F146" s="2" t="inlineStr">
        <is>
          <t>CVF Open Access 自動收錄；指標待人工驗證。Diffusion-Based Particle-DETR for BEV Perception</t>
        </is>
      </c>
      <c r="G146" s="9" t="inlineStr">
        <is>
          <t>https://openaccess.thecvf.com/content/WACV2025/html/Nachkov_Diffusion-Based_Particle-DETR_for_BEV_Perception_WACV_2025_paper.html</t>
        </is>
      </c>
      <c r="H146" s="9" t="inlineStr">
        <is>
          <t>N/A</t>
        </is>
      </c>
    </row>
    <row r="147">
      <c r="A147" s="2" t="inlineStr">
        <is>
          <t>Real-Time OD</t>
        </is>
      </c>
      <c r="B147" s="2" t="inlineStr">
        <is>
          <t>ERUP-YOLO</t>
        </is>
      </c>
      <c r="C147" s="2" t="inlineStr">
        <is>
          <t>—</t>
        </is>
      </c>
      <c r="D147" s="2" t="inlineStr">
        <is>
          <t>WACV 2025</t>
        </is>
      </c>
      <c r="E147" s="2" t="inlineStr">
        <is>
          <t>2025-01</t>
        </is>
      </c>
      <c r="F147" s="2" t="inlineStr">
        <is>
          <t>CVF Open Access 自動收錄；指標待人工驗證。ERUP-YOLO: Enhancing Object Detection Robustness for Adverse Weather Condition by Unified Image-Adaptive Processing</t>
        </is>
      </c>
      <c r="G147" s="9" t="inlineStr">
        <is>
          <t>https://openaccess.thecvf.com/content/WACV2025/html/Ogino_ERUP-YOLO_Enhancing_Object_Detection_Robustness_for_Adverse_Weather_Condition_by_WACV_2025_paper.html</t>
        </is>
      </c>
      <c r="H147" s="9" t="inlineStr">
        <is>
          <t>N/A</t>
        </is>
      </c>
    </row>
    <row r="148">
      <c r="A148" s="2" t="inlineStr">
        <is>
          <t>Real-Time OD</t>
        </is>
      </c>
      <c r="B148" s="2" t="inlineStr">
        <is>
          <t>PK-YOLO</t>
        </is>
      </c>
      <c r="C148" s="2" t="inlineStr">
        <is>
          <t>—</t>
        </is>
      </c>
      <c r="D148" s="2" t="inlineStr">
        <is>
          <t>WACV 2025</t>
        </is>
      </c>
      <c r="E148" s="2" t="inlineStr">
        <is>
          <t>2025-01</t>
        </is>
      </c>
      <c r="F148" s="2" t="inlineStr">
        <is>
          <t>CVF Open Access 自動收錄；指標待人工驗證。PK-YOLO: Pretrained Knowledge Guided YOLO for Brain Tumor Detection in Multiplanar MRI Slices</t>
        </is>
      </c>
      <c r="G148" s="9" t="inlineStr">
        <is>
          <t>https://openaccess.thecvf.com/content/WACV2025/html/Kang_PK-YOLO_Pretrained_Knowledge_Guided_YOLO_for_Brain_Tumor_Detection_in_WACV_2025_paper.html</t>
        </is>
      </c>
      <c r="H148" s="9" t="inlineStr">
        <is>
          <t>N/A</t>
        </is>
      </c>
    </row>
    <row r="149">
      <c r="A149" s="2" t="inlineStr">
        <is>
          <t>General OD</t>
        </is>
      </c>
      <c r="B149" s="2" t="inlineStr">
        <is>
          <t>Decoupled PROB</t>
        </is>
      </c>
      <c r="C149" s="2" t="inlineStr">
        <is>
          <t>—</t>
        </is>
      </c>
      <c r="D149" s="2" t="inlineStr">
        <is>
          <t>WACV 2025</t>
        </is>
      </c>
      <c r="E149" s="2" t="inlineStr">
        <is>
          <t>2025-01</t>
        </is>
      </c>
      <c r="F149" s="2" t="inlineStr">
        <is>
          <t>CVF Open Access 自動收錄；指標待人工驗證。Decoupled PROB: Decoupled Query Initialization Tasks and Objectness-Class Learning for Open World Object Detection</t>
        </is>
      </c>
      <c r="G149" s="9" t="inlineStr">
        <is>
          <t>https://openaccess.thecvf.com/content/WACV2025/html/Inoue_Decoupled_PROB_Decoupled_Query_Initialization_Tasks_and_Objectness-Class_Learning_for_WACV_2025_paper.html</t>
        </is>
      </c>
      <c r="H149" s="9" t="inlineStr">
        <is>
          <t>N/A</t>
        </is>
      </c>
    </row>
    <row r="150">
      <c r="A150" s="2" t="inlineStr">
        <is>
          <t>Real-Time OD</t>
        </is>
      </c>
      <c r="B150" s="2" t="inlineStr">
        <is>
          <t>RT-DETRv3</t>
        </is>
      </c>
      <c r="C150" s="2" t="inlineStr">
        <is>
          <t>—</t>
        </is>
      </c>
      <c r="D150" s="2" t="inlineStr">
        <is>
          <t>WACV 2025</t>
        </is>
      </c>
      <c r="E150" s="2" t="inlineStr">
        <is>
          <t>2025-01</t>
        </is>
      </c>
      <c r="F150" s="2" t="inlineStr">
        <is>
          <t>CVF Open Access 自動收錄；指標待人工驗證。RT-DETRv3: Real-Time End-to-End Object Detection with Hierarchical Dense Positive Supervision</t>
        </is>
      </c>
      <c r="G150" s="9" t="inlineStr">
        <is>
          <t>https://openaccess.thecvf.com/content/WACV2025/html/Wang_RT-DETRv3_Real-Time_End-to-End_Object_Detection_with_Hierarchical_Dense_Positive_Supervision_WACV_2025_paper.html</t>
        </is>
      </c>
      <c r="H150" s="9" t="inlineStr">
        <is>
          <t>N/A</t>
        </is>
      </c>
    </row>
    <row r="151">
      <c r="A151" s="2" t="inlineStr">
        <is>
          <t>General OD</t>
        </is>
      </c>
      <c r="B151" s="2" t="inlineStr">
        <is>
          <t>Mixed Patch Visible-Infrared Modality Agnostic Object Detect</t>
        </is>
      </c>
      <c r="C151" s="2" t="inlineStr">
        <is>
          <t>—</t>
        </is>
      </c>
      <c r="D151" s="2" t="inlineStr">
        <is>
          <t>WACV 2025</t>
        </is>
      </c>
      <c r="E151" s="2" t="inlineStr">
        <is>
          <t>2025-01</t>
        </is>
      </c>
      <c r="F151" s="2" t="inlineStr">
        <is>
          <t>CVF Open Access 自動收錄；指標待人工驗證。Mixed Patch Visible-Infrared Modality Agnostic Object Detection</t>
        </is>
      </c>
      <c r="G151" s="9" t="inlineStr">
        <is>
          <t>https://openaccess.thecvf.com/content/WACV2025/html/Medeiros_Mixed_Patch_Visible-Infrared_Modality_Agnostic_Object_Detection_WACV_2025_paper.html</t>
        </is>
      </c>
      <c r="H151" s="9" t="inlineStr">
        <is>
          <t>N/A</t>
        </is>
      </c>
    </row>
    <row r="152">
      <c r="A152" s="2" t="inlineStr">
        <is>
          <t>Real-Time OD</t>
        </is>
      </c>
      <c r="B152" s="2" t="inlineStr">
        <is>
          <t>Generalist YOLO</t>
        </is>
      </c>
      <c r="C152" s="2" t="inlineStr">
        <is>
          <t>—</t>
        </is>
      </c>
      <c r="D152" s="2" t="inlineStr">
        <is>
          <t>WACV 2025</t>
        </is>
      </c>
      <c r="E152" s="2" t="inlineStr">
        <is>
          <t>2025-01</t>
        </is>
      </c>
      <c r="F152" s="2" t="inlineStr">
        <is>
          <t>CVF Open Access 自動收錄；指標待人工驗證。Generalist YOLO: Towards Real-Time End-to-End Multi-Task Visual Language Models</t>
        </is>
      </c>
      <c r="G152" s="9" t="inlineStr">
        <is>
          <t>https://openaccess.thecvf.com/content/WACV2025/html/Chang_Generalist_YOLO_Towards_Real-Time_End-to-End_Multi-Task_Visual_Language_Models_WACV_2025_paper.html</t>
        </is>
      </c>
      <c r="H152" s="9" t="inlineStr">
        <is>
          <t>N/A</t>
        </is>
      </c>
    </row>
    <row r="153">
      <c r="A153" s="2" t="inlineStr">
        <is>
          <t>General OD</t>
        </is>
      </c>
      <c r="B153" s="2" t="inlineStr">
        <is>
          <t>Enhancing Embodied Object Detection with Spatial Feature Mem</t>
        </is>
      </c>
      <c r="C153" s="2" t="inlineStr">
        <is>
          <t>—</t>
        </is>
      </c>
      <c r="D153" s="2" t="inlineStr">
        <is>
          <t>WACV 2025</t>
        </is>
      </c>
      <c r="E153" s="2" t="inlineStr">
        <is>
          <t>2025-01</t>
        </is>
      </c>
      <c r="F153" s="2" t="inlineStr">
        <is>
          <t>CVF Open Access 自動收錄；指標待人工驗證。Enhancing Embodied Object Detection with Spatial Feature Memory</t>
        </is>
      </c>
      <c r="G153" s="9" t="inlineStr">
        <is>
          <t>https://openaccess.thecvf.com/content/WACV2025/html/Chapman_Enhancing_Embodied_Object_Detection_with_Spatial_Feature_Memory_WACV_2025_paper.html</t>
        </is>
      </c>
      <c r="H153" s="9" t="inlineStr">
        <is>
          <t>N/A</t>
        </is>
      </c>
    </row>
    <row r="154">
      <c r="A154" s="2" t="inlineStr">
        <is>
          <t>General OD</t>
        </is>
      </c>
      <c r="B154" s="2" t="inlineStr">
        <is>
          <t>Interactive Object Detection for Tiny Objects in Large Remot</t>
        </is>
      </c>
      <c r="C154" s="2" t="inlineStr">
        <is>
          <t>—</t>
        </is>
      </c>
      <c r="D154" s="2" t="inlineStr">
        <is>
          <t>WACV 2025</t>
        </is>
      </c>
      <c r="E154" s="2" t="inlineStr">
        <is>
          <t>2025-01</t>
        </is>
      </c>
      <c r="F154" s="2" t="inlineStr">
        <is>
          <t>CVF Open Access 自動收錄；指標待人工驗證。Interactive Object Detection for Tiny Objects in Large Remotely Sensed Images</t>
        </is>
      </c>
      <c r="G154" s="9" t="inlineStr">
        <is>
          <t>https://openaccess.thecvf.com/content/WACV2025/html/Burges_Interactive_Object_Detection_for_Tiny_Objects_in_Large_Remotely_Sensed_WACV_2025_paper.html</t>
        </is>
      </c>
      <c r="H154" s="9" t="inlineStr">
        <is>
          <t>N/A</t>
        </is>
      </c>
    </row>
    <row r="155">
      <c r="A155" s="2" t="inlineStr">
        <is>
          <t>Few-Shot OD</t>
        </is>
      </c>
      <c r="B155" s="2" t="inlineStr">
        <is>
          <t xml:space="preserve">Cross-Domain Multi-Modal Few-Shot Object Detection via Rich </t>
        </is>
      </c>
      <c r="C155" s="2" t="inlineStr">
        <is>
          <t>—</t>
        </is>
      </c>
      <c r="D155" s="2" t="inlineStr">
        <is>
          <t>WACV 2025</t>
        </is>
      </c>
      <c r="E155" s="2" t="inlineStr">
        <is>
          <t>2025-01</t>
        </is>
      </c>
      <c r="F155" s="2" t="inlineStr">
        <is>
          <t>CVF Open Access 自動收錄；指標待人工驗證。Cross-Domain Multi-Modal Few-Shot Object Detection via Rich Text</t>
        </is>
      </c>
      <c r="G155" s="9" t="inlineStr">
        <is>
          <t>https://openaccess.thecvf.com/content/WACV2025/html/Shangguan_Cross-Domain_Multi-Modal_Few-Shot_Object_Detection_via_Rich_Text_WACV_2025_paper.html</t>
        </is>
      </c>
      <c r="H155" s="9" t="inlineStr">
        <is>
          <t>N/A</t>
        </is>
      </c>
    </row>
    <row r="156">
      <c r="A156" s="2" t="inlineStr">
        <is>
          <t>General OD</t>
        </is>
      </c>
      <c r="B156" s="2" t="inlineStr">
        <is>
          <t>No Annotations for Object Detection in Art through Stable Di</t>
        </is>
      </c>
      <c r="C156" s="2" t="inlineStr">
        <is>
          <t>—</t>
        </is>
      </c>
      <c r="D156" s="2" t="inlineStr">
        <is>
          <t>WACV 2025</t>
        </is>
      </c>
      <c r="E156" s="2" t="inlineStr">
        <is>
          <t>2025-01</t>
        </is>
      </c>
      <c r="F156" s="2" t="inlineStr">
        <is>
          <t>CVF Open Access 自動收錄；指標待人工驗證。No Annotations for Object Detection in Art through Stable Diffusion</t>
        </is>
      </c>
      <c r="G156" s="9" t="inlineStr">
        <is>
          <t>https://openaccess.thecvf.com/content/WACV2025/html/Ramos_No_Annotations_for_Object_Detection_in_Art_through_Stable_Diffusion_WACV_2025_paper.html</t>
        </is>
      </c>
      <c r="H156" s="9" t="inlineStr">
        <is>
          <t>N/A</t>
        </is>
      </c>
    </row>
    <row r="157">
      <c r="A157" s="2" t="inlineStr">
        <is>
          <t>Real-Time OD</t>
        </is>
      </c>
      <c r="B157" s="2" t="inlineStr">
        <is>
          <t>ECF-YOLOv7-Tiny</t>
        </is>
      </c>
      <c r="C157" s="2" t="inlineStr">
        <is>
          <t>—</t>
        </is>
      </c>
      <c r="D157" s="2" t="inlineStr">
        <is>
          <t>WACV 2025</t>
        </is>
      </c>
      <c r="E157" s="2" t="inlineStr">
        <is>
          <t>2025-01</t>
        </is>
      </c>
      <c r="F157" s="2" t="inlineStr">
        <is>
          <t>CVF Open Access 自動收錄；指標待人工驗證。ECF-YOLOv7-Tiny: Improving Feature Fusion and the Receptive Field for Lightweight Object Detectors</t>
        </is>
      </c>
      <c r="G157" s="9" t="inlineStr">
        <is>
          <t>https://openaccess.thecvf.com/content/WACV2025/html/Bacea_ECF-YOLOv7-Tiny_Improving_Feature_Fusion_and_the_Receptive_Field_for_Lightweight_WACV_2025_paper.html</t>
        </is>
      </c>
      <c r="H157" s="9" t="inlineStr">
        <is>
          <t>N/A</t>
        </is>
      </c>
    </row>
    <row r="158">
      <c r="A158" s="2" t="inlineStr">
        <is>
          <t>General OD</t>
        </is>
      </c>
      <c r="B158" s="2" t="inlineStr">
        <is>
          <t>Shape-Biased Texture Agnostic Representations for Improved T</t>
        </is>
      </c>
      <c r="C158" s="2" t="inlineStr">
        <is>
          <t>—</t>
        </is>
      </c>
      <c r="D158" s="2" t="inlineStr">
        <is>
          <t>WACV 2025</t>
        </is>
      </c>
      <c r="E158" s="2" t="inlineStr">
        <is>
          <t>2025-01</t>
        </is>
      </c>
      <c r="F158" s="2" t="inlineStr">
        <is>
          <t>CVF Open Access 自動收錄；指標待人工驗證。Shape-Biased Texture Agnostic Representations for Improved Textureless and Metallic Object Detection and 6D Pose Estimation</t>
        </is>
      </c>
      <c r="G158" s="9" t="inlineStr">
        <is>
          <t>https://openaccess.thecvf.com/content/WACV2025/html/Honig_Shape-Biased_Texture_Agnostic_Representations_for_Improved_Textureless_and_Metallic_Object_WACV_2025_paper.html</t>
        </is>
      </c>
      <c r="H158" s="9" t="inlineStr">
        <is>
          <t>N/A</t>
        </is>
      </c>
    </row>
    <row r="159">
      <c r="A159" s="2" t="inlineStr">
        <is>
          <t>General OD</t>
        </is>
      </c>
      <c r="B159" s="2" t="inlineStr">
        <is>
          <t xml:space="preserve">Gradient Decomposition and Alignment for Incremental Object </t>
        </is>
      </c>
      <c r="C159" s="2" t="inlineStr">
        <is>
          <t>—</t>
        </is>
      </c>
      <c r="D159" s="2" t="inlineStr">
        <is>
          <t>ICCV 2025</t>
        </is>
      </c>
      <c r="E159" s="2" t="inlineStr">
        <is>
          <t>2025-10</t>
        </is>
      </c>
      <c r="F159" s="2" t="inlineStr">
        <is>
          <t>CVF Open Access 自動收錄；指標待人工驗證。Gradient Decomposition and Alignment for Incremental Object Detection</t>
        </is>
      </c>
      <c r="G159" s="9" t="inlineStr">
        <is>
          <t>https://openaccess.thecvf.com/content/ICCV2025/html/Luo_Gradient_Decomposition_and_Alignment_for_Incremental_Object_Detection_ICCV_2025_paper.html</t>
        </is>
      </c>
      <c r="H159" s="9" t="inlineStr">
        <is>
          <t>N/A</t>
        </is>
      </c>
    </row>
    <row r="160">
      <c r="A160" s="2" t="inlineStr">
        <is>
          <t>General OD</t>
        </is>
      </c>
      <c r="B160" s="2" t="inlineStr">
        <is>
          <t>SFUOD</t>
        </is>
      </c>
      <c r="C160" s="2" t="inlineStr">
        <is>
          <t>—</t>
        </is>
      </c>
      <c r="D160" s="2" t="inlineStr">
        <is>
          <t>ICCV 2025</t>
        </is>
      </c>
      <c r="E160" s="2" t="inlineStr">
        <is>
          <t>2025-10</t>
        </is>
      </c>
      <c r="F160" s="2" t="inlineStr">
        <is>
          <t>CVF Open Access 自動收錄；指標待人工驗證。SFUOD: Source-Free Unknown Object Detection</t>
        </is>
      </c>
      <c r="G160" s="9" t="inlineStr">
        <is>
          <t>https://openaccess.thecvf.com/content/ICCV2025/html/Park_SFUOD_Source-Free_Unknown_Object_Detection_ICCV_2025_paper.html</t>
        </is>
      </c>
      <c r="H160" s="9" t="inlineStr">
        <is>
          <t>N/A</t>
        </is>
      </c>
    </row>
    <row r="161">
      <c r="A161" s="2" t="inlineStr">
        <is>
          <t>General OD</t>
        </is>
      </c>
      <c r="B161" s="2" t="inlineStr">
        <is>
          <t>ESCNet</t>
        </is>
      </c>
      <c r="C161" s="2" t="inlineStr">
        <is>
          <t>—</t>
        </is>
      </c>
      <c r="D161" s="2" t="inlineStr">
        <is>
          <t>ICCV 2025</t>
        </is>
      </c>
      <c r="E161" s="2" t="inlineStr">
        <is>
          <t>2025-10</t>
        </is>
      </c>
      <c r="F161" s="2" t="inlineStr">
        <is>
          <t>CVF Open Access 自動收錄；指標待人工驗證。ESCNet:Edge-Semantic Collaborative Network for Camouflaged Object Detection</t>
        </is>
      </c>
      <c r="G161" s="9" t="inlineStr">
        <is>
          <t>https://openaccess.thecvf.com/content/ICCV2025/html/Ye_ESCNetEdge-Semantic_Collaborative_Network_for_Camouflaged_Object_Detection_ICCV_2025_paper.html</t>
        </is>
      </c>
      <c r="H161" s="9" t="inlineStr">
        <is>
          <t>N/A</t>
        </is>
      </c>
    </row>
    <row r="162">
      <c r="A162" s="2" t="inlineStr">
        <is>
          <t>General OD</t>
        </is>
      </c>
      <c r="B162" s="2" t="inlineStr">
        <is>
          <t>Event-based Tiny Object Detection</t>
        </is>
      </c>
      <c r="C162" s="2" t="inlineStr">
        <is>
          <t>—</t>
        </is>
      </c>
      <c r="D162" s="2" t="inlineStr">
        <is>
          <t>ICCV 2025</t>
        </is>
      </c>
      <c r="E162" s="2" t="inlineStr">
        <is>
          <t>2025-10</t>
        </is>
      </c>
      <c r="F162" s="2" t="inlineStr">
        <is>
          <t>CVF Open Access 自動收錄；指標待人工驗證。Event-based Tiny Object Detection: A Benchmark Dataset and Baseline</t>
        </is>
      </c>
      <c r="G162" s="9" t="inlineStr">
        <is>
          <t>https://openaccess.thecvf.com/content/ICCV2025/html/Chen_Event-based_Tiny_Object_Detection_A_Benchmark_Dataset_and_Baseline_ICCV_2025_paper.html</t>
        </is>
      </c>
      <c r="H162" s="9" t="inlineStr">
        <is>
          <t>N/A</t>
        </is>
      </c>
    </row>
    <row r="163">
      <c r="A163" s="2" t="inlineStr">
        <is>
          <t>General OD</t>
        </is>
      </c>
      <c r="B163" s="2" t="inlineStr">
        <is>
          <t>Motal</t>
        </is>
      </c>
      <c r="C163" s="2" t="inlineStr">
        <is>
          <t>—</t>
        </is>
      </c>
      <c r="D163" s="2" t="inlineStr">
        <is>
          <t>ICCV 2025</t>
        </is>
      </c>
      <c r="E163" s="2" t="inlineStr">
        <is>
          <t>2025-10</t>
        </is>
      </c>
      <c r="F163" s="2" t="inlineStr">
        <is>
          <t>CVF Open Access 自動收錄；指標待人工驗證。Motal: Unsupervised 3D Object Detection by Modality and Task-specific Knowledge Transfer</t>
        </is>
      </c>
      <c r="G163" s="9" t="inlineStr">
        <is>
          <t>https://openaccess.thecvf.com/content/ICCV2025/html/Wu_Motal_Unsupervised_3D_Object_Detection_by_Modality_and_Task-specific_Knowledge_ICCV_2025_paper.html</t>
        </is>
      </c>
      <c r="H163" s="9" t="inlineStr">
        <is>
          <t>N/A</t>
        </is>
      </c>
    </row>
    <row r="164">
      <c r="A164" s="2" t="inlineStr">
        <is>
          <t>General OD</t>
        </is>
      </c>
      <c r="B164" s="2" t="inlineStr">
        <is>
          <t>Dual-Rate Dynamic Teacher for Source-Free Domain Adaptive Ob</t>
        </is>
      </c>
      <c r="C164" s="2" t="inlineStr">
        <is>
          <t>—</t>
        </is>
      </c>
      <c r="D164" s="2" t="inlineStr">
        <is>
          <t>ICCV 2025</t>
        </is>
      </c>
      <c r="E164" s="2" t="inlineStr">
        <is>
          <t>2025-10</t>
        </is>
      </c>
      <c r="F164" s="2" t="inlineStr">
        <is>
          <t>CVF Open Access 自動收錄；指標待人工驗證。Dual-Rate Dynamic Teacher for Source-Free Domain Adaptive Object Detection</t>
        </is>
      </c>
      <c r="G164" s="9" t="inlineStr">
        <is>
          <t>https://openaccess.thecvf.com/content/ICCV2025/html/He_Dual-Rate_Dynamic_Teacher_for_Source-Free_Domain_Adaptive_Object_Detection_ICCV_2025_paper.html</t>
        </is>
      </c>
      <c r="H164" s="9" t="inlineStr">
        <is>
          <t>N/A</t>
        </is>
      </c>
    </row>
    <row r="165">
      <c r="A165" s="2" t="inlineStr">
        <is>
          <t>General OD</t>
        </is>
      </c>
      <c r="B165" s="2" t="inlineStr">
        <is>
          <t>UPRE</t>
        </is>
      </c>
      <c r="C165" s="2" t="inlineStr">
        <is>
          <t>—</t>
        </is>
      </c>
      <c r="D165" s="2" t="inlineStr">
        <is>
          <t>ICCV 2025</t>
        </is>
      </c>
      <c r="E165" s="2" t="inlineStr">
        <is>
          <t>2025-10</t>
        </is>
      </c>
      <c r="F165" s="2" t="inlineStr">
        <is>
          <t>CVF Open Access 自動收錄；指標待人工驗證。UPRE: Zero-Shot Domain Adaptation for Object Detection via Unified Prompt and Representation Enhancement</t>
        </is>
      </c>
      <c r="G165" s="9" t="inlineStr">
        <is>
          <t>https://openaccess.thecvf.com/content/ICCV2025/html/Zhang_UPRE_Zero-Shot_Domain_Adaptation_for_Object_Detection_via_Unified_Prompt_ICCV_2025_paper.html</t>
        </is>
      </c>
      <c r="H165" s="9" t="inlineStr">
        <is>
          <t>N/A</t>
        </is>
      </c>
    </row>
    <row r="166">
      <c r="A166" s="2" t="inlineStr">
        <is>
          <t>General OD</t>
        </is>
      </c>
      <c r="B166" s="2" t="inlineStr">
        <is>
          <t>ASGS</t>
        </is>
      </c>
      <c r="C166" s="2" t="inlineStr">
        <is>
          <t>—</t>
        </is>
      </c>
      <c r="D166" s="2" t="inlineStr">
        <is>
          <t>ICCV 2025</t>
        </is>
      </c>
      <c r="E166" s="2" t="inlineStr">
        <is>
          <t>2025-10</t>
        </is>
      </c>
      <c r="F166" s="2" t="inlineStr">
        <is>
          <t>CVF Open Access 自動收錄；指標待人工驗證。ASGS: Single-Domain Generalizable Open-Set Object Detection via Adaptive Subgraph Searching</t>
        </is>
      </c>
      <c r="G166" s="9" t="inlineStr">
        <is>
          <t>https://openaccess.thecvf.com/content/ICCV2025/html/Yuan_ASGS_Single-Domain_Generalizable_Open-Set_Object_Detection_via_Adaptive_Subgraph_Searching_ICCV_2025_paper.html</t>
        </is>
      </c>
      <c r="H166" s="9" t="inlineStr">
        <is>
          <t>N/A</t>
        </is>
      </c>
    </row>
    <row r="167">
      <c r="A167" s="2" t="inlineStr">
        <is>
          <t>General OD</t>
        </is>
      </c>
      <c r="B167" s="2" t="inlineStr">
        <is>
          <t>Uncertainty-Aware Gradient Stabilization for Small Object De</t>
        </is>
      </c>
      <c r="C167" s="2" t="inlineStr">
        <is>
          <t>—</t>
        </is>
      </c>
      <c r="D167" s="2" t="inlineStr">
        <is>
          <t>ICCV 2025</t>
        </is>
      </c>
      <c r="E167" s="2" t="inlineStr">
        <is>
          <t>2025-10</t>
        </is>
      </c>
      <c r="F167" s="2" t="inlineStr">
        <is>
          <t>CVF Open Access 自動收錄；指標待人工驗證。Uncertainty-Aware Gradient Stabilization for Small Object Detection</t>
        </is>
      </c>
      <c r="G167" s="9" t="inlineStr">
        <is>
          <t>https://openaccess.thecvf.com/content/ICCV2025/html/Sun_Uncertainty-Aware_Gradient_Stabilization_for_Small_Object_Detection_ICCV_2025_paper.html</t>
        </is>
      </c>
      <c r="H167" s="9" t="inlineStr">
        <is>
          <t>N/A</t>
        </is>
      </c>
    </row>
    <row r="168">
      <c r="A168" s="2" t="inlineStr">
        <is>
          <t>General OD</t>
        </is>
      </c>
      <c r="B168" s="2" t="inlineStr">
        <is>
          <t>Debiased Teacher for Day-to-Night Domain Adaptive Object Det</t>
        </is>
      </c>
      <c r="C168" s="2" t="inlineStr">
        <is>
          <t>—</t>
        </is>
      </c>
      <c r="D168" s="2" t="inlineStr">
        <is>
          <t>ICCV 2025</t>
        </is>
      </c>
      <c r="E168" s="2" t="inlineStr">
        <is>
          <t>2025-10</t>
        </is>
      </c>
      <c r="F168" s="2" t="inlineStr">
        <is>
          <t>CVF Open Access 自動收錄；指標待人工驗證。Debiased Teacher for Day-to-Night Domain Adaptive Object Detection</t>
        </is>
      </c>
      <c r="G168" s="9" t="inlineStr">
        <is>
          <t>https://openaccess.thecvf.com/content/ICCV2025/html/Cui_Debiased_Teacher_for_Day-to-Night_Domain_Adaptive_Object_Detection_ICCV_2025_paper.html</t>
        </is>
      </c>
      <c r="H168" s="9" t="inlineStr">
        <is>
          <t>N/A</t>
        </is>
      </c>
    </row>
    <row r="169">
      <c r="A169" s="2" t="inlineStr">
        <is>
          <t>General OD</t>
        </is>
      </c>
      <c r="B169" s="2" t="inlineStr">
        <is>
          <t>Adversarial Attention Perturbations for Large Object Detecti</t>
        </is>
      </c>
      <c r="C169" s="2" t="inlineStr">
        <is>
          <t>—</t>
        </is>
      </c>
      <c r="D169" s="2" t="inlineStr">
        <is>
          <t>ICCV 2025</t>
        </is>
      </c>
      <c r="E169" s="2" t="inlineStr">
        <is>
          <t>2025-10</t>
        </is>
      </c>
      <c r="F169" s="2" t="inlineStr">
        <is>
          <t>CVF Open Access 自動收錄；指標待人工驗證。Adversarial Attention Perturbations for Large Object Detection Transformers</t>
        </is>
      </c>
      <c r="G169" s="9" t="inlineStr">
        <is>
          <t>https://openaccess.thecvf.com/content/ICCV2025/html/Yahn_Adversarial_Attention_Perturbations_for_Large_Object_Detection_Transformers_ICCV_2025_paper.html</t>
        </is>
      </c>
      <c r="H169" s="9" t="inlineStr">
        <is>
          <t>N/A</t>
        </is>
      </c>
    </row>
    <row r="170">
      <c r="A170" s="2" t="inlineStr">
        <is>
          <t>General OD</t>
        </is>
      </c>
      <c r="B170" s="2" t="inlineStr">
        <is>
          <t>PBCAT</t>
        </is>
      </c>
      <c r="C170" s="2" t="inlineStr">
        <is>
          <t>—</t>
        </is>
      </c>
      <c r="D170" s="2" t="inlineStr">
        <is>
          <t>ICCV 2025</t>
        </is>
      </c>
      <c r="E170" s="2" t="inlineStr">
        <is>
          <t>2025-10</t>
        </is>
      </c>
      <c r="F170" s="2" t="inlineStr">
        <is>
          <t>CVF Open Access 自動收錄；指標待人工驗證。PBCAT: Patch-Based Composite Adversarial Training against Physically Realizable Attacks on Object Detection</t>
        </is>
      </c>
      <c r="G170" s="9" t="inlineStr">
        <is>
          <t>https://openaccess.thecvf.com/content/ICCV2025/html/Li_PBCAT_Patch-Based_Composite_Adversarial_Training_against_Physically_Realizable_Attacks_on_ICCV_2025_paper.html</t>
        </is>
      </c>
      <c r="H170" s="9" t="inlineStr">
        <is>
          <t>N/A</t>
        </is>
      </c>
    </row>
    <row r="171">
      <c r="A171" s="2" t="inlineStr">
        <is>
          <t>General OD</t>
        </is>
      </c>
      <c r="B171" s="2" t="inlineStr">
        <is>
          <t>STEP-DETR</t>
        </is>
      </c>
      <c r="C171" s="2" t="inlineStr">
        <is>
          <t>—</t>
        </is>
      </c>
      <c r="D171" s="2" t="inlineStr">
        <is>
          <t>ICCV 2025</t>
        </is>
      </c>
      <c r="E171" s="2" t="inlineStr">
        <is>
          <t>2025-10</t>
        </is>
      </c>
      <c r="F171" s="2" t="inlineStr">
        <is>
          <t>CVF Open Access 自動收錄；指標待人工驗證。STEP-DETR: Advancing DETR-based Semi-Supervised Object Detection with Super Teacher and Pseudo-Label Guided Text Queries</t>
        </is>
      </c>
      <c r="G171" s="9" t="inlineStr">
        <is>
          <t>https://openaccess.thecvf.com/content/ICCV2025/html/Shehzadi_STEP-DETR_Advancing_DETR-based_Semi-Supervised_Object_Detection_with_Super_Teacher_and_ICCV_2025_paper.html</t>
        </is>
      </c>
      <c r="H171" s="9" t="inlineStr">
        <is>
          <t>N/A</t>
        </is>
      </c>
    </row>
    <row r="172">
      <c r="A172" s="2" t="inlineStr">
        <is>
          <t>General OD</t>
        </is>
      </c>
      <c r="B172" s="2" t="inlineStr">
        <is>
          <t>Accelerate 3D Object Detection Models via Zero-Shot Attentio</t>
        </is>
      </c>
      <c r="C172" s="2" t="inlineStr">
        <is>
          <t>—</t>
        </is>
      </c>
      <c r="D172" s="2" t="inlineStr">
        <is>
          <t>ICCV 2025</t>
        </is>
      </c>
      <c r="E172" s="2" t="inlineStr">
        <is>
          <t>2025-10</t>
        </is>
      </c>
      <c r="F172" s="2" t="inlineStr">
        <is>
          <t>CVF Open Access 自動收錄；指標待人工驗證。Accelerate 3D Object Detection Models via Zero-Shot Attention Key Pruning</t>
        </is>
      </c>
      <c r="G172" s="9" t="inlineStr">
        <is>
          <t>https://openaccess.thecvf.com/content/ICCV2025/html/Xu_Accelerate_3D_Object_Detection_Models_via_Zero-Shot_Attention_Key_Pruning_ICCV_2025_paper.html</t>
        </is>
      </c>
      <c r="H172" s="9" t="inlineStr">
        <is>
          <t>N/A</t>
        </is>
      </c>
    </row>
    <row r="173">
      <c r="A173" s="2" t="inlineStr">
        <is>
          <t>General OD</t>
        </is>
      </c>
      <c r="B173" s="2" t="inlineStr">
        <is>
          <t>Enhancing Prompt Generation with Adaptive Refinement for Cam</t>
        </is>
      </c>
      <c r="C173" s="2" t="inlineStr">
        <is>
          <t>—</t>
        </is>
      </c>
      <c r="D173" s="2" t="inlineStr">
        <is>
          <t>ICCV 2025</t>
        </is>
      </c>
      <c r="E173" s="2" t="inlineStr">
        <is>
          <t>2025-10</t>
        </is>
      </c>
      <c r="F173" s="2" t="inlineStr">
        <is>
          <t>CVF Open Access 自動收錄；指標待人工驗證。Enhancing Prompt Generation with Adaptive Refinement for Camouflaged Object Detection</t>
        </is>
      </c>
      <c r="G173" s="9" t="inlineStr">
        <is>
          <t>https://openaccess.thecvf.com/content/ICCV2025/html/Chen_Enhancing_Prompt_Generation_with_Adaptive_Refinement_for_Camouflaged_Object_Detection_ICCV_2025_paper.html</t>
        </is>
      </c>
      <c r="H173" s="9" t="inlineStr">
        <is>
          <t>N/A</t>
        </is>
      </c>
    </row>
    <row r="174">
      <c r="A174" s="2" t="inlineStr">
        <is>
          <t>General OD</t>
        </is>
      </c>
      <c r="B174" s="2" t="inlineStr">
        <is>
          <t>GeoFormer</t>
        </is>
      </c>
      <c r="C174" s="2" t="inlineStr">
        <is>
          <t>—</t>
        </is>
      </c>
      <c r="D174" s="2" t="inlineStr">
        <is>
          <t>ICCV 2025</t>
        </is>
      </c>
      <c r="E174" s="2" t="inlineStr">
        <is>
          <t>2025-10</t>
        </is>
      </c>
      <c r="F174" s="2" t="inlineStr">
        <is>
          <t>CVF Open Access 自動收錄；指標待人工驗證。GeoFormer: Geometry Point Encoder for 3D Object Detection with Graph-based Transformer</t>
        </is>
      </c>
      <c r="G174" s="9" t="inlineStr">
        <is>
          <t>https://openaccess.thecvf.com/content/ICCV2025/html/Jin_GeoFormer_Geometry_Point_Encoder_for_3D_Object_Detection_with_Graph-based_ICCV_2025_paper.html</t>
        </is>
      </c>
      <c r="H174" s="9" t="inlineStr">
        <is>
          <t>N/A</t>
        </is>
      </c>
    </row>
    <row r="175">
      <c r="A175" s="2" t="inlineStr">
        <is>
          <t>General OD</t>
        </is>
      </c>
      <c r="B175" s="2" t="inlineStr">
        <is>
          <t>Beyond Single Images</t>
        </is>
      </c>
      <c r="C175" s="2" t="inlineStr">
        <is>
          <t>—</t>
        </is>
      </c>
      <c r="D175" s="2" t="inlineStr">
        <is>
          <t>ICCV 2025</t>
        </is>
      </c>
      <c r="E175" s="2" t="inlineStr">
        <is>
          <t>2025-10</t>
        </is>
      </c>
      <c r="F175" s="2" t="inlineStr">
        <is>
          <t>CVF Open Access 自動收錄；指標待人工驗證。Beyond Single Images: Retrieval Self-Augmented Unsupervised Camouflaged Object Detection</t>
        </is>
      </c>
      <c r="G175" s="9" t="inlineStr">
        <is>
          <t>https://openaccess.thecvf.com/content/ICCV2025/html/Du_Beyond_Single_Images_Retrieval_Self-Augmented_Unsupervised_Camouflaged_Object_Detection_ICCV_2025_paper.html</t>
        </is>
      </c>
      <c r="H175" s="9" t="inlineStr">
        <is>
          <t>N/A</t>
        </is>
      </c>
    </row>
    <row r="176">
      <c r="A176" s="2" t="inlineStr">
        <is>
          <t>General OD</t>
        </is>
      </c>
      <c r="B176" s="2" t="inlineStr">
        <is>
          <t>LMM-Det</t>
        </is>
      </c>
      <c r="C176" s="2" t="inlineStr">
        <is>
          <t>—</t>
        </is>
      </c>
      <c r="D176" s="2" t="inlineStr">
        <is>
          <t>ICCV 2025</t>
        </is>
      </c>
      <c r="E176" s="2" t="inlineStr">
        <is>
          <t>2025-10</t>
        </is>
      </c>
      <c r="F176" s="2" t="inlineStr">
        <is>
          <t>CVF Open Access 自動收錄；指標待人工驗證。LMM-Det: Make Large Multimodal Models Excel in Object Detection</t>
        </is>
      </c>
      <c r="G176" s="9" t="inlineStr">
        <is>
          <t>https://openaccess.thecvf.com/content/ICCV2025/html/Li_LMM-Det_Make_Large_Multimodal_Models_Excel_in_Object_Detection_ICCV_2025_paper.html</t>
        </is>
      </c>
      <c r="H176" s="9" t="inlineStr">
        <is>
          <t>N/A</t>
        </is>
      </c>
    </row>
    <row r="177">
      <c r="A177" s="2" t="inlineStr">
        <is>
          <t>General OD</t>
        </is>
      </c>
      <c r="B177" s="2" t="inlineStr">
        <is>
          <t>Gradient-Reweighted Adversarial Camouflage for Physical Obje</t>
        </is>
      </c>
      <c r="C177" s="2" t="inlineStr">
        <is>
          <t>—</t>
        </is>
      </c>
      <c r="D177" s="2" t="inlineStr">
        <is>
          <t>ICCV 2025</t>
        </is>
      </c>
      <c r="E177" s="2" t="inlineStr">
        <is>
          <t>2025-10</t>
        </is>
      </c>
      <c r="F177" s="2" t="inlineStr">
        <is>
          <t>CVF Open Access 自動收錄；指標待人工驗證。Gradient-Reweighted Adversarial Camouflage for Physical Object Detection Evasion</t>
        </is>
      </c>
      <c r="G177" s="9" t="inlineStr">
        <is>
          <t>https://openaccess.thecvf.com/content/ICCV2025/html/Liang_Gradient-Reweighted_Adversarial_Camouflage_for_Physical_Object_Detection_Evasion_ICCV_2025_paper.html</t>
        </is>
      </c>
      <c r="H177" s="9" t="inlineStr">
        <is>
          <t>N/A</t>
        </is>
      </c>
    </row>
    <row r="178">
      <c r="A178" s="2" t="inlineStr">
        <is>
          <t>General OD</t>
        </is>
      </c>
      <c r="B178" s="2" t="inlineStr">
        <is>
          <t>DuET</t>
        </is>
      </c>
      <c r="C178" s="2" t="inlineStr">
        <is>
          <t>—</t>
        </is>
      </c>
      <c r="D178" s="2" t="inlineStr">
        <is>
          <t>ICCV 2025</t>
        </is>
      </c>
      <c r="E178" s="2" t="inlineStr">
        <is>
          <t>2025-10</t>
        </is>
      </c>
      <c r="F178" s="2" t="inlineStr">
        <is>
          <t>CVF Open Access 自動收錄；指標待人工驗證。DuET: Dual Incremental Object Detection via Exemplar-Free Task Arithmetic</t>
        </is>
      </c>
      <c r="G178" s="9" t="inlineStr">
        <is>
          <t>https://openaccess.thecvf.com/content/ICCV2025/html/Monga_DuET_Dual_Incremental_Object_Detection_via_Exemplar-Free_Task_Arithmetic_ICCV_2025_paper.html</t>
        </is>
      </c>
      <c r="H178" s="9" t="inlineStr">
        <is>
          <t>N/A</t>
        </is>
      </c>
    </row>
    <row r="179">
      <c r="A179" s="2" t="inlineStr">
        <is>
          <t>General OD</t>
        </is>
      </c>
      <c r="B179" s="2" t="inlineStr">
        <is>
          <t xml:space="preserve">Boosting Multi-View Indoor 3D Object Detection via Adaptive </t>
        </is>
      </c>
      <c r="C179" s="2" t="inlineStr">
        <is>
          <t>—</t>
        </is>
      </c>
      <c r="D179" s="2" t="inlineStr">
        <is>
          <t>ICCV 2025</t>
        </is>
      </c>
      <c r="E179" s="2" t="inlineStr">
        <is>
          <t>2025-10</t>
        </is>
      </c>
      <c r="F179" s="2" t="inlineStr">
        <is>
          <t>CVF Open Access 自動收錄；指標待人工驗證。Boosting Multi-View Indoor 3D Object Detection via Adaptive 3D Volume Construction</t>
        </is>
      </c>
      <c r="G179" s="9" t="inlineStr">
        <is>
          <t>https://openaccess.thecvf.com/content/ICCV2025/html/Zhang_Boosting_Multi-View_Indoor_3D_Object_Detection_via_Adaptive_3D_Volume_ICCV_2025_paper.html</t>
        </is>
      </c>
      <c r="H179" s="9" t="inlineStr">
        <is>
          <t>N/A</t>
        </is>
      </c>
    </row>
    <row r="180">
      <c r="A180" s="2" t="inlineStr">
        <is>
          <t>General OD</t>
        </is>
      </c>
      <c r="B180" s="2" t="inlineStr">
        <is>
          <t xml:space="preserve">Unified Category-Level Object Detection and Pose Estimation </t>
        </is>
      </c>
      <c r="C180" s="2" t="inlineStr">
        <is>
          <t>—</t>
        </is>
      </c>
      <c r="D180" s="2" t="inlineStr">
        <is>
          <t>ICCV 2025</t>
        </is>
      </c>
      <c r="E180" s="2" t="inlineStr">
        <is>
          <t>2025-10</t>
        </is>
      </c>
      <c r="F180" s="2" t="inlineStr">
        <is>
          <t>CVF Open Access 自動收錄；指標待人工驗證。Unified Category-Level Object Detection and Pose Estimation from RGB Images using 3D Prototypes</t>
        </is>
      </c>
      <c r="G180" s="9" t="inlineStr">
        <is>
          <t>https://openaccess.thecvf.com/content/ICCV2025/html/Fischer_Unified_Category-Level_Object_Detection_and_Pose_Estimation_from_RGB_Images_ICCV_2025_paper.html</t>
        </is>
      </c>
      <c r="H180" s="9" t="inlineStr">
        <is>
          <t>N/A</t>
        </is>
      </c>
    </row>
    <row r="181">
      <c r="A181" s="2" t="inlineStr">
        <is>
          <t>General OD</t>
        </is>
      </c>
      <c r="B181" s="2" t="inlineStr">
        <is>
          <t>Adaptive Dual Uncertainty Optimization</t>
        </is>
      </c>
      <c r="C181" s="2" t="inlineStr">
        <is>
          <t>—</t>
        </is>
      </c>
      <c r="D181" s="2" t="inlineStr">
        <is>
          <t>ICCV 2025</t>
        </is>
      </c>
      <c r="E181" s="2" t="inlineStr">
        <is>
          <t>2025-10</t>
        </is>
      </c>
      <c r="F181" s="2" t="inlineStr">
        <is>
          <t>CVF Open Access 自動收錄；指標待人工驗證。Adaptive Dual Uncertainty Optimization: Boosting Monocular 3D Object Detection under Test-Time Shifts</t>
        </is>
      </c>
      <c r="G181" s="9" t="inlineStr">
        <is>
          <t>https://openaccess.thecvf.com/content/ICCV2025/html/Hu_Adaptive_Dual_Uncertainty_Optimization_Boosting_Monocular_3D_Object_Detection_under_ICCV_2025_paper.html</t>
        </is>
      </c>
      <c r="H181" s="9" t="inlineStr">
        <is>
          <t>N/A</t>
        </is>
      </c>
    </row>
    <row r="182">
      <c r="A182" s="2" t="inlineStr">
        <is>
          <t>Real-Time OD</t>
        </is>
      </c>
      <c r="B182" s="2" t="inlineStr">
        <is>
          <t>YOLO-Count</t>
        </is>
      </c>
      <c r="C182" s="2" t="inlineStr">
        <is>
          <t>—</t>
        </is>
      </c>
      <c r="D182" s="2" t="inlineStr">
        <is>
          <t>ICCV 2025</t>
        </is>
      </c>
      <c r="E182" s="2" t="inlineStr">
        <is>
          <t>2025-10</t>
        </is>
      </c>
      <c r="F182" s="2" t="inlineStr">
        <is>
          <t>CVF Open Access 自動收錄；指標待人工驗證。YOLO-Count: Differentiable Object Counting for Text-to-Image Generation</t>
        </is>
      </c>
      <c r="G182" s="9" t="inlineStr">
        <is>
          <t>https://openaccess.thecvf.com/content/ICCV2025/html/Zeng_YOLO-Count_Differentiable_Object_Counting_for_Text-to-Image_Generation_ICCV_2025_paper.html</t>
        </is>
      </c>
      <c r="H182" s="9" t="inlineStr">
        <is>
          <t>N/A</t>
        </is>
      </c>
    </row>
    <row r="183">
      <c r="A183" s="2" t="inlineStr">
        <is>
          <t>General OD</t>
        </is>
      </c>
      <c r="B183" s="2" t="inlineStr">
        <is>
          <t>EVT</t>
        </is>
      </c>
      <c r="C183" s="2" t="inlineStr">
        <is>
          <t>—</t>
        </is>
      </c>
      <c r="D183" s="2" t="inlineStr">
        <is>
          <t>ICCV 2025</t>
        </is>
      </c>
      <c r="E183" s="2" t="inlineStr">
        <is>
          <t>2025-10</t>
        </is>
      </c>
      <c r="F183" s="2" t="inlineStr">
        <is>
          <t>CVF Open Access 自動收錄；指標待人工驗證。EVT: Efficient View Transformation for Multi-Modal 3D Object Detection</t>
        </is>
      </c>
      <c r="G183" s="9" t="inlineStr">
        <is>
          <t>https://openaccess.thecvf.com/content/ICCV2025/html/Lee_EVT_Efficient_View_Transformation_for_Multi-Modal_3D_Object_Detection_ICCV_2025_paper.html</t>
        </is>
      </c>
      <c r="H183" s="9" t="inlineStr">
        <is>
          <t>N/A</t>
        </is>
      </c>
    </row>
    <row r="184">
      <c r="A184" s="2" t="inlineStr">
        <is>
          <t>General OD</t>
        </is>
      </c>
      <c r="B184" s="2" t="inlineStr">
        <is>
          <t>Measuring the Impact of Rotation Equivariance on Aerial Obje</t>
        </is>
      </c>
      <c r="C184" s="2" t="inlineStr">
        <is>
          <t>—</t>
        </is>
      </c>
      <c r="D184" s="2" t="inlineStr">
        <is>
          <t>ICCV 2025</t>
        </is>
      </c>
      <c r="E184" s="2" t="inlineStr">
        <is>
          <t>2025-10</t>
        </is>
      </c>
      <c r="F184" s="2" t="inlineStr">
        <is>
          <t>CVF Open Access 自動收錄；指標待人工驗證。Measuring the Impact of Rotation Equivariance on Aerial Object Detection</t>
        </is>
      </c>
      <c r="G184" s="9" t="inlineStr">
        <is>
          <t>https://openaccess.thecvf.com/content/ICCV2025/html/Wu_Measuring_the_Impact_of_Rotation_Equivariance_on_Aerial_Object_Detection_ICCV_2025_paper.html</t>
        </is>
      </c>
      <c r="H184" s="9" t="inlineStr">
        <is>
          <t>N/A</t>
        </is>
      </c>
    </row>
    <row r="185">
      <c r="A185" s="2" t="inlineStr">
        <is>
          <t>General OD</t>
        </is>
      </c>
      <c r="B185" s="2" t="inlineStr">
        <is>
          <t>CVFusion</t>
        </is>
      </c>
      <c r="C185" s="2" t="inlineStr">
        <is>
          <t>—</t>
        </is>
      </c>
      <c r="D185" s="2" t="inlineStr">
        <is>
          <t>ICCV 2025</t>
        </is>
      </c>
      <c r="E185" s="2" t="inlineStr">
        <is>
          <t>2025-10</t>
        </is>
      </c>
      <c r="F185" s="2" t="inlineStr">
        <is>
          <t>CVF Open Access 自動收錄；指標待人工驗證。CVFusion: Cross-View Fusion of 4D Radar and Camera for 3D Object Detection</t>
        </is>
      </c>
      <c r="G185" s="9" t="inlineStr">
        <is>
          <t>https://openaccess.thecvf.com/content/ICCV2025/html/Zhong_CVFusion_Cross-View_Fusion_of_4D_Radar_and_Camera_for_3D_ICCV_2025_paper.html</t>
        </is>
      </c>
      <c r="H185" s="9" t="inlineStr">
        <is>
          <t>N/A</t>
        </is>
      </c>
    </row>
    <row r="186">
      <c r="A186" s="2" t="inlineStr">
        <is>
          <t>General OD</t>
        </is>
      </c>
      <c r="B186" s="2" t="inlineStr">
        <is>
          <t>Fusion Meets Diverse Conditions</t>
        </is>
      </c>
      <c r="C186" s="2" t="inlineStr">
        <is>
          <t>—</t>
        </is>
      </c>
      <c r="D186" s="2" t="inlineStr">
        <is>
          <t>ICCV 2025</t>
        </is>
      </c>
      <c r="E186" s="2" t="inlineStr">
        <is>
          <t>2025-10</t>
        </is>
      </c>
      <c r="F186" s="2" t="inlineStr">
        <is>
          <t>CVF Open Access 自動收錄；指標待人工驗證。Fusion Meets Diverse Conditions: A High-diversity Benchmark and Baseline for UAV-based Multimodal Object Detection with Condition Cues</t>
        </is>
      </c>
      <c r="G186" s="9" t="inlineStr">
        <is>
          <t>https://openaccess.thecvf.com/content/ICCV2025/html/Chen_Fusion_Meets_Diverse_Conditions_A_High-diversity_Benchmark_and_Baseline_for_ICCV_2025_paper.html</t>
        </is>
      </c>
      <c r="H186" s="9" t="inlineStr">
        <is>
          <t>N/A</t>
        </is>
      </c>
    </row>
    <row r="187">
      <c r="A187" s="2" t="inlineStr">
        <is>
          <t>General OD</t>
        </is>
      </c>
      <c r="B187" s="2" t="inlineStr">
        <is>
          <t>OV-SCAN</t>
        </is>
      </c>
      <c r="C187" s="2" t="inlineStr">
        <is>
          <t>—</t>
        </is>
      </c>
      <c r="D187" s="2" t="inlineStr">
        <is>
          <t>ICCV 2025</t>
        </is>
      </c>
      <c r="E187" s="2" t="inlineStr">
        <is>
          <t>2025-10</t>
        </is>
      </c>
      <c r="F187" s="2" t="inlineStr">
        <is>
          <t>CVF Open Access 自動收錄；指標待人工驗證。OV-SCAN: Semantically Consistent Alignment for Novel Object Discovery in Open-Vocabulary 3D Object Detection</t>
        </is>
      </c>
      <c r="G187" s="9" t="inlineStr">
        <is>
          <t>https://openaccess.thecvf.com/content/ICCV2025/html/Chow_OV-SCAN_Semantically_Consistent_Alignment_for_Novel_Object_Discovery_in_Open-Vocabulary_ICCV_2025_paper.html</t>
        </is>
      </c>
      <c r="H187" s="9" t="inlineStr">
        <is>
          <t>N/A</t>
        </is>
      </c>
    </row>
    <row r="188">
      <c r="A188" s="2" t="inlineStr">
        <is>
          <t>General OD</t>
        </is>
      </c>
      <c r="B188" s="2" t="inlineStr">
        <is>
          <t>DM-EFS</t>
        </is>
      </c>
      <c r="C188" s="2" t="inlineStr">
        <is>
          <t>—</t>
        </is>
      </c>
      <c r="D188" s="2" t="inlineStr">
        <is>
          <t>ICCV 2025</t>
        </is>
      </c>
      <c r="E188" s="2" t="inlineStr">
        <is>
          <t>2025-10</t>
        </is>
      </c>
      <c r="F188" s="2" t="inlineStr">
        <is>
          <t>CVF Open Access 自動收錄；指標待人工驗證。DM-EFS: Dynamically Multiplexed Expanded Features Set Form for Robust and Efficient Small Object Detection</t>
        </is>
      </c>
      <c r="G188" s="9" t="inlineStr">
        <is>
          <t>https://openaccess.thecvf.com/content/ICCV2025/html/Sharma_DM-EFS_Dynamically_Multiplexed_Expanded_Features_Set_Form_for_Robust_and_ICCV_2025_paper.html</t>
        </is>
      </c>
      <c r="H188" s="9" t="inlineStr">
        <is>
          <t>N/A</t>
        </is>
      </c>
    </row>
    <row r="189">
      <c r="A189" s="2" t="inlineStr">
        <is>
          <t>Real-Time OD</t>
        </is>
      </c>
      <c r="B189" s="2" t="inlineStr">
        <is>
          <t>EvRT-DETR</t>
        </is>
      </c>
      <c r="C189" s="2" t="inlineStr">
        <is>
          <t>—</t>
        </is>
      </c>
      <c r="D189" s="2" t="inlineStr">
        <is>
          <t>ICCV 2025</t>
        </is>
      </c>
      <c r="E189" s="2" t="inlineStr">
        <is>
          <t>2025-10</t>
        </is>
      </c>
      <c r="F189" s="2" t="inlineStr">
        <is>
          <t>CVF Open Access 自動收錄；指標待人工驗證。EvRT-DETR: Latent Space Adaptation of Image Detectors for Event-based Vision</t>
        </is>
      </c>
      <c r="G189" s="9" t="inlineStr">
        <is>
          <t>https://openaccess.thecvf.com/content/ICCV2025/html/Torbunov_EvRT-DETR_Latent_Space_Adaptation_of_Image_Detectors_for_Event-based_Vision_ICCV_2025_paper.html</t>
        </is>
      </c>
      <c r="H189" s="9" t="inlineStr">
        <is>
          <t>N/A</t>
        </is>
      </c>
    </row>
    <row r="190">
      <c r="A190" s="2" t="inlineStr">
        <is>
          <t>General OD</t>
        </is>
      </c>
      <c r="B190" s="2" t="inlineStr">
        <is>
          <t>Cycle-Consistent Learning for Joint Layout-to-Image Generati</t>
        </is>
      </c>
      <c r="C190" s="2" t="inlineStr">
        <is>
          <t>—</t>
        </is>
      </c>
      <c r="D190" s="2" t="inlineStr">
        <is>
          <t>ICCV 2025</t>
        </is>
      </c>
      <c r="E190" s="2" t="inlineStr">
        <is>
          <t>2025-10</t>
        </is>
      </c>
      <c r="F190" s="2" t="inlineStr">
        <is>
          <t>CVF Open Access 自動收錄；指標待人工驗證。Cycle-Consistent Learning for Joint Layout-to-Image Generation and Object Detection</t>
        </is>
      </c>
      <c r="G190" s="9" t="inlineStr">
        <is>
          <t>https://openaccess.thecvf.com/content/ICCV2025/html/Cai_Cycle-Consistent_Learning_for_Joint_Layout-to-Image_Generation_and_Object_Detection_ICCV_2025_paper.html</t>
        </is>
      </c>
      <c r="H190" s="9" t="inlineStr">
        <is>
          <t>N/A</t>
        </is>
      </c>
    </row>
    <row r="191">
      <c r="A191" s="2" t="inlineStr">
        <is>
          <t>General OD</t>
        </is>
      </c>
      <c r="B191" s="2" t="inlineStr">
        <is>
          <t>Rethinking Multi-modal Object Detection from the Perspective</t>
        </is>
      </c>
      <c r="C191" s="2" t="inlineStr">
        <is>
          <t>—</t>
        </is>
      </c>
      <c r="D191" s="2" t="inlineStr">
        <is>
          <t>ICCV 2025</t>
        </is>
      </c>
      <c r="E191" s="2" t="inlineStr">
        <is>
          <t>2025-10</t>
        </is>
      </c>
      <c r="F191" s="2" t="inlineStr">
        <is>
          <t>CVF Open Access 自動收錄；指標待人工驗證。Rethinking Multi-modal Object Detection from the Perspective of Mono-Modality Feature Learning</t>
        </is>
      </c>
      <c r="G191" s="9" t="inlineStr">
        <is>
          <t>https://openaccess.thecvf.com/content/ICCV2025/html/Zhao_Rethinking_Multi-modal_Object_Detection_from_the_Perspective_of_Mono-Modality_Feature_ICCV_2025_paper.html</t>
        </is>
      </c>
      <c r="H191" s="9" t="inlineStr">
        <is>
          <t>N/A</t>
        </is>
      </c>
    </row>
    <row r="192">
      <c r="A192" s="2" t="inlineStr">
        <is>
          <t>Few-Shot OD</t>
        </is>
      </c>
      <c r="B192" s="2" t="inlineStr">
        <is>
          <t>Benefit From Seen</t>
        </is>
      </c>
      <c r="C192" s="2" t="inlineStr">
        <is>
          <t>—</t>
        </is>
      </c>
      <c r="D192" s="2" t="inlineStr">
        <is>
          <t>ICCV 2025</t>
        </is>
      </c>
      <c r="E192" s="2" t="inlineStr">
        <is>
          <t>2025-10</t>
        </is>
      </c>
      <c r="F192" s="2" t="inlineStr">
        <is>
          <t>CVF Open Access 自動收錄；指標待人工驗證。Benefit From Seen: Enhancing Open-Vocabulary Object Detection by Bridging Visual and Textual Co-Occurrence Knowledge</t>
        </is>
      </c>
      <c r="G192" s="9" t="inlineStr">
        <is>
          <t>https://openaccess.thecvf.com/content/ICCV2025/html/Li_Benefit_From_Seen_Enhancing_Open-Vocabulary_Object_Detection_by_Bridging_Visual_ICCV_2025_paper.html</t>
        </is>
      </c>
      <c r="H192" s="9" t="inlineStr">
        <is>
          <t>N/A</t>
        </is>
      </c>
    </row>
    <row r="193">
      <c r="A193" s="2" t="inlineStr">
        <is>
          <t>General OD</t>
        </is>
      </c>
      <c r="B193" s="2" t="inlineStr">
        <is>
          <t>Automated Model Evaluation for Object Detection via Predicti</t>
        </is>
      </c>
      <c r="C193" s="2" t="inlineStr">
        <is>
          <t>—</t>
        </is>
      </c>
      <c r="D193" s="2" t="inlineStr">
        <is>
          <t>ICCV 2025</t>
        </is>
      </c>
      <c r="E193" s="2" t="inlineStr">
        <is>
          <t>2025-10</t>
        </is>
      </c>
      <c r="F193" s="2" t="inlineStr">
        <is>
          <t>CVF Open Access 自動收錄；指標待人工驗證。Automated Model Evaluation for Object Detection via Prediction Consistency and Reliability</t>
        </is>
      </c>
      <c r="G193" s="9" t="inlineStr">
        <is>
          <t>https://openaccess.thecvf.com/content/ICCV2025/html/Yoo_Automated_Model_Evaluation_for_Object_Detection_via_Prediction_Consistency_and_ICCV_2025_paper.html</t>
        </is>
      </c>
      <c r="H193" s="9" t="inlineStr">
        <is>
          <t>N/A</t>
        </is>
      </c>
    </row>
    <row r="194">
      <c r="A194" s="2" t="inlineStr">
        <is>
          <t>General OD</t>
        </is>
      </c>
      <c r="B194" s="2" t="inlineStr">
        <is>
          <t>Diffusion-based Source-biased Model for Single Domain Genera</t>
        </is>
      </c>
      <c r="C194" s="2" t="inlineStr">
        <is>
          <t>—</t>
        </is>
      </c>
      <c r="D194" s="2" t="inlineStr">
        <is>
          <t>ICCV 2025</t>
        </is>
      </c>
      <c r="E194" s="2" t="inlineStr">
        <is>
          <t>2025-10</t>
        </is>
      </c>
      <c r="F194" s="2" t="inlineStr">
        <is>
          <t>CVF Open Access 自動收錄；指標待人工驗證。Diffusion-based Source-biased Model for Single Domain Generalized Object Detection</t>
        </is>
      </c>
      <c r="G194" s="9" t="inlineStr">
        <is>
          <t>https://openaccess.thecvf.com/content/ICCV2025/html/Jiang_Diffusion-based_Source-biased_Model_for_Single_Domain_Generalized_Object_Detection_ICCV_2025_paper.html</t>
        </is>
      </c>
      <c r="H194" s="9" t="inlineStr">
        <is>
          <t>N/A</t>
        </is>
      </c>
    </row>
    <row r="195">
      <c r="A195" s="2" t="inlineStr">
        <is>
          <t>Few-Shot OD</t>
        </is>
      </c>
      <c r="B195" s="2" t="inlineStr">
        <is>
          <t>When Pixel Difference Patterns Meet ViT: PiDiViT for Few-Sho</t>
        </is>
      </c>
      <c r="C195" s="2" t="inlineStr">
        <is>
          <t>—</t>
        </is>
      </c>
      <c r="D195" s="2" t="inlineStr">
        <is>
          <t>ICCV 2025</t>
        </is>
      </c>
      <c r="E195" s="2" t="inlineStr">
        <is>
          <t>2025-10</t>
        </is>
      </c>
      <c r="F195" s="2" t="inlineStr">
        <is>
          <t>CVF Open Access 自動收錄；指標待人工驗證。When Pixel Difference Patterns Meet ViT: PiDiViT for Few-Shot Object Detection</t>
        </is>
      </c>
      <c r="G195" s="9" t="inlineStr">
        <is>
          <t>https://openaccess.thecvf.com/content/ICCV2025/html/Zhou_When_Pixel_Difference_Patterns_Meet_ViT_PiDiViT_for_Few-Shot_Object_ICCV_2025_paper.html</t>
        </is>
      </c>
      <c r="H195" s="9" t="inlineStr">
        <is>
          <t>N/A</t>
        </is>
      </c>
    </row>
    <row r="196">
      <c r="A196" s="2" t="inlineStr">
        <is>
          <t>General OD</t>
        </is>
      </c>
      <c r="B196" s="2" t="inlineStr">
        <is>
          <t>FreqPDE</t>
        </is>
      </c>
      <c r="C196" s="2" t="inlineStr">
        <is>
          <t>—</t>
        </is>
      </c>
      <c r="D196" s="2" t="inlineStr">
        <is>
          <t>ICCV 2025</t>
        </is>
      </c>
      <c r="E196" s="2" t="inlineStr">
        <is>
          <t>2025-10</t>
        </is>
      </c>
      <c r="F196" s="2" t="inlineStr">
        <is>
          <t>CVF Open Access 自動收錄；指標待人工驗證。FreqPDE: Rethinking Positional Depth Embedding for Multi-View 3D Object Detection Transformers</t>
        </is>
      </c>
      <c r="G196" s="9" t="inlineStr">
        <is>
          <t>https://openaccess.thecvf.com/content/ICCV2025/html/Su_FreqPDE_Rethinking_Positional_Depth_Embedding_for_Multi-View_3D_Object_Detection_ICCV_2025_paper.html</t>
        </is>
      </c>
      <c r="H196" s="9" t="inlineStr">
        <is>
          <t>N/A</t>
        </is>
      </c>
    </row>
    <row r="197">
      <c r="A197" s="2" t="inlineStr">
        <is>
          <t>General OD</t>
        </is>
      </c>
      <c r="B197" s="2" t="inlineStr">
        <is>
          <t>Height-Fidelity Dense Global Fusion for Multi-modal 3D Objec</t>
        </is>
      </c>
      <c r="C197" s="2" t="inlineStr">
        <is>
          <t>—</t>
        </is>
      </c>
      <c r="D197" s="2" t="inlineStr">
        <is>
          <t>ICCV 2025</t>
        </is>
      </c>
      <c r="E197" s="2" t="inlineStr">
        <is>
          <t>2025-10</t>
        </is>
      </c>
      <c r="F197" s="2" t="inlineStr">
        <is>
          <t>CVF Open Access 自動收錄；指標待人工驗證。Height-Fidelity Dense Global Fusion for Multi-modal 3D Object Detection</t>
        </is>
      </c>
      <c r="G197" s="9" t="inlineStr">
        <is>
          <t>https://openaccess.thecvf.com/content/ICCV2025/html/Wang_Height-Fidelity_Dense_Global_Fusion_for_Multi-modal_3D_Object_Detection_ICCV_2025_paper.html</t>
        </is>
      </c>
      <c r="H197" s="9" t="inlineStr">
        <is>
          <t>N/A</t>
        </is>
      </c>
    </row>
    <row r="198">
      <c r="A198" s="2" t="inlineStr">
        <is>
          <t>General OD</t>
        </is>
      </c>
      <c r="B198" s="2" t="inlineStr">
        <is>
          <t>Harnessing Uncertainty-aware Bounding Boxes for Unsupervised</t>
        </is>
      </c>
      <c r="C198" s="2" t="inlineStr">
        <is>
          <t>—</t>
        </is>
      </c>
      <c r="D198" s="2" t="inlineStr">
        <is>
          <t>ICCV 2025</t>
        </is>
      </c>
      <c r="E198" s="2" t="inlineStr">
        <is>
          <t>2025-10</t>
        </is>
      </c>
      <c r="F198" s="2" t="inlineStr">
        <is>
          <t>CVF Open Access 自動收錄；指標待人工驗證。Harnessing Uncertainty-aware Bounding Boxes for Unsupervised 3D Object Detection</t>
        </is>
      </c>
      <c r="G198" s="9" t="inlineStr">
        <is>
          <t>https://openaccess.thecvf.com/content/ICCV2025/html/Zhang_Harnessing_Uncertainty-aware_Bounding_Boxes_for_Unsupervised_3D_Object_Detection_ICCV_2025_paper.html</t>
        </is>
      </c>
      <c r="H198" s="9" t="inlineStr">
        <is>
          <t>N/A</t>
        </is>
      </c>
    </row>
    <row r="199">
      <c r="A199" s="2" t="inlineStr">
        <is>
          <t>General OD</t>
        </is>
      </c>
      <c r="B199" s="2" t="inlineStr">
        <is>
          <t>DiffRefine</t>
        </is>
      </c>
      <c r="C199" s="2" t="inlineStr">
        <is>
          <t>—</t>
        </is>
      </c>
      <c r="D199" s="2" t="inlineStr">
        <is>
          <t>ICCV 2025</t>
        </is>
      </c>
      <c r="E199" s="2" t="inlineStr">
        <is>
          <t>2025-10</t>
        </is>
      </c>
      <c r="F199" s="2" t="inlineStr">
        <is>
          <t>CVF Open Access 自動收錄；指標待人工驗證。DiffRefine: Diffusion-based Proposal Specific Point Cloud Densification for Cross-Domain Object Detection</t>
        </is>
      </c>
      <c r="G199" s="9" t="inlineStr">
        <is>
          <t>https://openaccess.thecvf.com/content/ICCV2025/html/Shin_DiffRefine_Diffusion-based_Proposal_Specific_Point_Cloud_Densification_for_Cross-Domain_Object_ICCV_2025_paper.html</t>
        </is>
      </c>
      <c r="H199" s="9" t="inlineStr">
        <is>
          <t>N/A</t>
        </is>
      </c>
    </row>
    <row r="200">
      <c r="A200" s="2" t="inlineStr">
        <is>
          <t>General OD</t>
        </is>
      </c>
      <c r="B200" s="2" t="inlineStr">
        <is>
          <t>Visual Textualization for Image Prompted Object Detection</t>
        </is>
      </c>
      <c r="C200" s="2" t="inlineStr">
        <is>
          <t>—</t>
        </is>
      </c>
      <c r="D200" s="2" t="inlineStr">
        <is>
          <t>ICCV 2025</t>
        </is>
      </c>
      <c r="E200" s="2" t="inlineStr">
        <is>
          <t>2025-10</t>
        </is>
      </c>
      <c r="F200" s="2" t="inlineStr">
        <is>
          <t>CVF Open Access 自動收錄；指標待人工驗證。Visual Textualization for Image Prompted Object Detection</t>
        </is>
      </c>
      <c r="G200" s="9" t="inlineStr">
        <is>
          <t>https://openaccess.thecvf.com/content/ICCV2025/html/Wu_Visual_Textualization_for_Image_Prompted_Object_Detection_ICCV_2025_paper.html</t>
        </is>
      </c>
      <c r="H200" s="9" t="inlineStr">
        <is>
          <t>N/A</t>
        </is>
      </c>
    </row>
    <row r="201">
      <c r="A201" s="2" t="inlineStr">
        <is>
          <t>General OD</t>
        </is>
      </c>
      <c r="B201" s="2" t="inlineStr">
        <is>
          <t>VISO</t>
        </is>
      </c>
      <c r="C201" s="2" t="inlineStr">
        <is>
          <t>—</t>
        </is>
      </c>
      <c r="D201" s="2" t="inlineStr">
        <is>
          <t>ICCV 2025</t>
        </is>
      </c>
      <c r="E201" s="2" t="inlineStr">
        <is>
          <t>2025-10</t>
        </is>
      </c>
      <c r="F201" s="2" t="inlineStr">
        <is>
          <t>CVF Open Access 自動收錄；指標待人工驗證。VISO: Accelerating In-orbit Object Detection with Language-Guided Mask Learning and Sparse Inference</t>
        </is>
      </c>
      <c r="G201" s="9" t="inlineStr">
        <is>
          <t>https://openaccess.thecvf.com/content/ICCV2025/html/Wang_VISO_Accelerating_In-orbit_Object_Detection_with_Language-Guided_Mask_Learning_and_ICCV_2025_paper.html</t>
        </is>
      </c>
      <c r="H201" s="9" t="inlineStr">
        <is>
          <t>N/A</t>
        </is>
      </c>
    </row>
    <row r="202">
      <c r="A202" s="2" t="inlineStr">
        <is>
          <t>General OD</t>
        </is>
      </c>
      <c r="B202" s="2" t="inlineStr">
        <is>
          <t>Power of Cooperative Supervision</t>
        </is>
      </c>
      <c r="C202" s="2" t="inlineStr">
        <is>
          <t>—</t>
        </is>
      </c>
      <c r="D202" s="2" t="inlineStr">
        <is>
          <t>ICCV 2025</t>
        </is>
      </c>
      <c r="E202" s="2" t="inlineStr">
        <is>
          <t>2025-10</t>
        </is>
      </c>
      <c r="F202" s="2" t="inlineStr">
        <is>
          <t>CVF Open Access 自動收錄；指標待人工驗證。Power of Cooperative Supervision: Multiple Teachers Framework for Advanced 3D Semi-Supervised Object Detection</t>
        </is>
      </c>
      <c r="G202" s="9" t="inlineStr">
        <is>
          <t>https://openaccess.thecvf.com/content/ICCV2025/html/Lee_Power_of_Cooperative_Supervision_Multiple_Teachers_Framework_for_Advanced_3D_ICCV_2025_paper.html</t>
        </is>
      </c>
      <c r="H202" s="9" t="inlineStr">
        <is>
          <t>N/A</t>
        </is>
      </c>
    </row>
    <row r="203">
      <c r="A203" s="2" t="inlineStr">
        <is>
          <t>General OD</t>
        </is>
      </c>
      <c r="B203" s="2" t="inlineStr">
        <is>
          <t>3D-MOOD</t>
        </is>
      </c>
      <c r="C203" s="2" t="inlineStr">
        <is>
          <t>—</t>
        </is>
      </c>
      <c r="D203" s="2" t="inlineStr">
        <is>
          <t>ICCV 2025</t>
        </is>
      </c>
      <c r="E203" s="2" t="inlineStr">
        <is>
          <t>2025-10</t>
        </is>
      </c>
      <c r="F203" s="2" t="inlineStr">
        <is>
          <t>CVF Open Access 自動收錄；指標待人工驗證。3D-MOOD: Lifting 2D to 3D for Monocular Open-Set Object Detection</t>
        </is>
      </c>
      <c r="G203" s="9" t="inlineStr">
        <is>
          <t>https://openaccess.thecvf.com/content/ICCV2025/html/Yang_3D-MOOD_Lifting_2D_to_3D_for_Monocular_Open-Set_Object_Detection_ICCV_2025_paper.html</t>
        </is>
      </c>
      <c r="H203" s="9" t="inlineStr">
        <is>
          <t>N/A</t>
        </is>
      </c>
    </row>
    <row r="204">
      <c r="A204" s="2" t="inlineStr">
        <is>
          <t>General OD</t>
        </is>
      </c>
      <c r="B204" s="2" t="inlineStr">
        <is>
          <t>OpenM3D</t>
        </is>
      </c>
      <c r="C204" s="2" t="inlineStr">
        <is>
          <t>—</t>
        </is>
      </c>
      <c r="D204" s="2" t="inlineStr">
        <is>
          <t>ICCV 2025</t>
        </is>
      </c>
      <c r="E204" s="2" t="inlineStr">
        <is>
          <t>2025-10</t>
        </is>
      </c>
      <c r="F204" s="2" t="inlineStr">
        <is>
          <t>CVF Open Access 自動收錄；指標待人工驗證。OpenM3D: Open Vocabulary Multi-view Indoor 3D Object Detection without Human Annotations</t>
        </is>
      </c>
      <c r="G204" s="9" t="inlineStr">
        <is>
          <t>https://openaccess.thecvf.com/content/ICCV2025/html/Hsu_OpenM3D_Open_Vocabulary_Multi-view_Indoor_3D_Object_Detection_without_Human_ICCV_2025_paper.html</t>
        </is>
      </c>
      <c r="H204" s="9" t="inlineStr">
        <is>
          <t>N/A</t>
        </is>
      </c>
    </row>
    <row r="205">
      <c r="A205" s="2" t="inlineStr">
        <is>
          <t>General OD</t>
        </is>
      </c>
      <c r="B205" s="2" t="inlineStr">
        <is>
          <t>Beyond RGB</t>
        </is>
      </c>
      <c r="C205" s="2" t="inlineStr">
        <is>
          <t>—</t>
        </is>
      </c>
      <c r="D205" s="2" t="inlineStr">
        <is>
          <t>ICCV 2025</t>
        </is>
      </c>
      <c r="E205" s="2" t="inlineStr">
        <is>
          <t>2025-10</t>
        </is>
      </c>
      <c r="F205" s="2" t="inlineStr">
        <is>
          <t>CVF Open Access 自動收錄；指標待人工驗證。Beyond RGB: Adaptive Parallel Processing for RAW Object Detection</t>
        </is>
      </c>
      <c r="G205" s="9" t="inlineStr">
        <is>
          <t>https://openaccess.thecvf.com/content/ICCV2025/html/Gamrian_Beyond_RGB_Adaptive_Parallel_Processing_for_RAW_Object_Detection_ICCV_2025_paper.html</t>
        </is>
      </c>
      <c r="H205" s="9" t="inlineStr">
        <is>
          <t>N/A</t>
        </is>
      </c>
    </row>
    <row r="206">
      <c r="A206" s="2" t="inlineStr">
        <is>
          <t>General OD</t>
        </is>
      </c>
      <c r="B206" s="2" t="inlineStr">
        <is>
          <t>Task-Specific Zero-shot Quantization-Aware Training for Obje</t>
        </is>
      </c>
      <c r="C206" s="2" t="inlineStr">
        <is>
          <t>—</t>
        </is>
      </c>
      <c r="D206" s="2" t="inlineStr">
        <is>
          <t>ICCV 2025</t>
        </is>
      </c>
      <c r="E206" s="2" t="inlineStr">
        <is>
          <t>2025-10</t>
        </is>
      </c>
      <c r="F206" s="2" t="inlineStr">
        <is>
          <t>CVF Open Access 自動收錄；指標待人工驗證。Task-Specific Zero-shot Quantization-Aware Training for Object Detection</t>
        </is>
      </c>
      <c r="G206" s="9" t="inlineStr">
        <is>
          <t>https://openaccess.thecvf.com/content/ICCV2025/html/Li_Task-Specific_Zero-shot_Quantization-Aware_Training_for_Object_Detection_ICCV_2025_paper.html</t>
        </is>
      </c>
      <c r="H206" s="9" t="inlineStr">
        <is>
          <t>N/A</t>
        </is>
      </c>
    </row>
    <row r="207">
      <c r="A207" s="2" t="inlineStr">
        <is>
          <t>General OD</t>
        </is>
      </c>
      <c r="B207" s="2" t="inlineStr">
        <is>
          <t>Dark-ISP</t>
        </is>
      </c>
      <c r="C207" s="2" t="inlineStr">
        <is>
          <t>—</t>
        </is>
      </c>
      <c r="D207" s="2" t="inlineStr">
        <is>
          <t>ICCV 2025</t>
        </is>
      </c>
      <c r="E207" s="2" t="inlineStr">
        <is>
          <t>2025-10</t>
        </is>
      </c>
      <c r="F207" s="2" t="inlineStr">
        <is>
          <t>CVF Open Access 自動收錄；指標待人工驗證。Dark-ISP: Enhancing RAW Image Processing for Low-Light Object Detection</t>
        </is>
      </c>
      <c r="G207" s="9" t="inlineStr">
        <is>
          <t>https://openaccess.thecvf.com/content/ICCV2025/html/Guo_Dark-ISP_Enhancing_RAW_Image_Processing_for_Low-Light_Object_Detection_ICCV_2025_paper.html</t>
        </is>
      </c>
      <c r="H207" s="9" t="inlineStr">
        <is>
          <t>N/A</t>
        </is>
      </c>
    </row>
    <row r="208">
      <c r="A208" s="2" t="inlineStr">
        <is>
          <t>General OD</t>
        </is>
      </c>
      <c r="B208" s="2" t="inlineStr">
        <is>
          <t>WaveMamba</t>
        </is>
      </c>
      <c r="C208" s="2" t="inlineStr">
        <is>
          <t>—</t>
        </is>
      </c>
      <c r="D208" s="2" t="inlineStr">
        <is>
          <t>ICCV 2025</t>
        </is>
      </c>
      <c r="E208" s="2" t="inlineStr">
        <is>
          <t>2025-10</t>
        </is>
      </c>
      <c r="F208" s="2" t="inlineStr">
        <is>
          <t>CVF Open Access 自動收錄；指標待人工驗證。WaveMamba: Wavelet-Driven Mamba Fusion for RGB-Infrared Object Detection</t>
        </is>
      </c>
      <c r="G208" s="9" t="inlineStr">
        <is>
          <t>https://openaccess.thecvf.com/content/ICCV2025/html/Zhu_WaveMamba_Wavelet-Driven_Mamba_Fusion_for_RGB-Infrared_Object_Detection_ICCV_2025_paper.html</t>
        </is>
      </c>
      <c r="H208" s="9" t="inlineStr">
        <is>
          <t>N/A</t>
        </is>
      </c>
    </row>
    <row r="209">
      <c r="A209" s="2" t="inlineStr">
        <is>
          <t>General OD</t>
        </is>
      </c>
      <c r="B209" s="2" t="inlineStr">
        <is>
          <t>Improving SAM for Camouflaged Object Detection via Dual Stre</t>
        </is>
      </c>
      <c r="C209" s="2" t="inlineStr">
        <is>
          <t>—</t>
        </is>
      </c>
      <c r="D209" s="2" t="inlineStr">
        <is>
          <t>ICCV 2025</t>
        </is>
      </c>
      <c r="E209" s="2" t="inlineStr">
        <is>
          <t>2025-10</t>
        </is>
      </c>
      <c r="F209" s="2" t="inlineStr">
        <is>
          <t>CVF Open Access 自動收錄；指標待人工驗證。Improving SAM for Camouflaged Object Detection via Dual Stream Adapters</t>
        </is>
      </c>
      <c r="G209" s="9" t="inlineStr">
        <is>
          <t>https://openaccess.thecvf.com/content/ICCV2025/html/Liu_Improving_SAM_for_Camouflaged_Object_Detection_via_Dual_Stream_Adapters_ICCV_2025_paper.html</t>
        </is>
      </c>
      <c r="H209" s="9" t="inlineStr">
        <is>
          <t>N/A</t>
        </is>
      </c>
    </row>
    <row r="210">
      <c r="A210" s="2" t="inlineStr">
        <is>
          <t>General OD</t>
        </is>
      </c>
      <c r="B210" s="2" t="inlineStr">
        <is>
          <t>ForeSight</t>
        </is>
      </c>
      <c r="C210" s="2" t="inlineStr">
        <is>
          <t>—</t>
        </is>
      </c>
      <c r="D210" s="2" t="inlineStr">
        <is>
          <t>ICCV 2025</t>
        </is>
      </c>
      <c r="E210" s="2" t="inlineStr">
        <is>
          <t>2025-10</t>
        </is>
      </c>
      <c r="F210" s="2" t="inlineStr">
        <is>
          <t>CVF Open Access 自動收錄；指標待人工驗證。ForeSight: Multi-View Streaming Joint Object Detection and Trajectory Forecasting</t>
        </is>
      </c>
      <c r="G210" s="9" t="inlineStr">
        <is>
          <t>https://openaccess.thecvf.com/content/ICCV2025/html/Papais_ForeSight_Multi-View_Streaming_Joint_Object_Detection_and_Trajectory_Forecasting_ICCV_2025_paper.html</t>
        </is>
      </c>
      <c r="H210" s="9" t="inlineStr">
        <is>
          <t>N/A</t>
        </is>
      </c>
    </row>
    <row r="211">
      <c r="A211" s="2" t="inlineStr">
        <is>
          <t>Few-Shot OD</t>
        </is>
      </c>
      <c r="B211" s="2" t="inlineStr">
        <is>
          <t>Dynamic-DINO</t>
        </is>
      </c>
      <c r="C211" s="2" t="inlineStr">
        <is>
          <t>—</t>
        </is>
      </c>
      <c r="D211" s="2" t="inlineStr">
        <is>
          <t>ICCV 2025</t>
        </is>
      </c>
      <c r="E211" s="2" t="inlineStr">
        <is>
          <t>2025-10</t>
        </is>
      </c>
      <c r="F211" s="2" t="inlineStr">
        <is>
          <t>CVF Open Access 自動收錄；指標待人工驗證。Dynamic-DINO: Fine-Grained Mixture of Experts Tuning for Real-time Open-Vocabulary Object Detection</t>
        </is>
      </c>
      <c r="G211" s="9" t="inlineStr">
        <is>
          <t>https://openaccess.thecvf.com/content/ICCV2025/html/Lu_Dynamic-DINO_Fine-Grained_Mixture_of_Experts_Tuning_for_Real-time_Open-Vocabulary_Object_ICCV_2025_paper.html</t>
        </is>
      </c>
      <c r="H211" s="9" t="inlineStr">
        <is>
          <t>N/A</t>
        </is>
      </c>
    </row>
    <row r="212">
      <c r="A212" s="2" t="inlineStr">
        <is>
          <t>General OD</t>
        </is>
      </c>
      <c r="B212" s="2" t="inlineStr">
        <is>
          <t>Perspective-Invariant 3D Object Detection</t>
        </is>
      </c>
      <c r="C212" s="2" t="inlineStr">
        <is>
          <t>—</t>
        </is>
      </c>
      <c r="D212" s="2" t="inlineStr">
        <is>
          <t>ICCV 2025</t>
        </is>
      </c>
      <c r="E212" s="2" t="inlineStr">
        <is>
          <t>2025-10</t>
        </is>
      </c>
      <c r="F212" s="2" t="inlineStr">
        <is>
          <t>CVF Open Access 自動收錄；指標待人工驗證。Perspective-Invariant 3D Object Detection</t>
        </is>
      </c>
      <c r="G212" s="9" t="inlineStr">
        <is>
          <t>https://openaccess.thecvf.com/content/ICCV2025/html/Liang_Perspective-Invariant_3D_Object_Detection_ICCV_2025_paper.html</t>
        </is>
      </c>
      <c r="H212" s="9" t="inlineStr">
        <is>
          <t>N/A</t>
        </is>
      </c>
    </row>
    <row r="213">
      <c r="A213" s="2" t="inlineStr">
        <is>
          <t>Real-Time OD</t>
        </is>
      </c>
      <c r="B213" s="2" t="inlineStr">
        <is>
          <t>YOLOE</t>
        </is>
      </c>
      <c r="C213" s="2" t="inlineStr">
        <is>
          <t>—</t>
        </is>
      </c>
      <c r="D213" s="2" t="inlineStr">
        <is>
          <t>ICCV 2025</t>
        </is>
      </c>
      <c r="E213" s="2" t="inlineStr">
        <is>
          <t>2025-10</t>
        </is>
      </c>
      <c r="F213" s="2" t="inlineStr">
        <is>
          <t>CVF Open Access 自動收錄；指標待人工驗證。YOLOE: Real-Time Seeing Anything</t>
        </is>
      </c>
      <c r="G213" s="9" t="inlineStr">
        <is>
          <t>https://openaccess.thecvf.com/content/ICCV2025/html/Wang_YOLOE_Real-Time_Seeing_Anything_ICCV_2025_paper.html</t>
        </is>
      </c>
      <c r="H213" s="9" t="inlineStr">
        <is>
          <t>N/A</t>
        </is>
      </c>
    </row>
    <row r="214">
      <c r="A214" s="2" t="inlineStr">
        <is>
          <t>General OD</t>
        </is>
      </c>
      <c r="B214" s="2" t="inlineStr">
        <is>
          <t>Continual Adaptation</t>
        </is>
      </c>
      <c r="C214" s="2" t="inlineStr">
        <is>
          <t>—</t>
        </is>
      </c>
      <c r="D214" s="2" t="inlineStr">
        <is>
          <t>ICCV 2025</t>
        </is>
      </c>
      <c r="E214" s="2" t="inlineStr">
        <is>
          <t>2025-10</t>
        </is>
      </c>
      <c r="F214" s="2" t="inlineStr">
        <is>
          <t>CVF Open Access 自動收錄；指標待人工驗證。Continual Adaptation: Environment-Conditional Parameter Generation for Object Detection in Dynamic Scenarios</t>
        </is>
      </c>
      <c r="G214" s="9" t="inlineStr">
        <is>
          <t>https://openaccess.thecvf.com/content/ICCV2025/html/Li_Continual_Adaptation_Environment-Conditional_Parameter_Generation_for_Object_Detection_in_Dynamic_ICCV_2025_paper.html</t>
        </is>
      </c>
      <c r="H214" s="9" t="inlineStr">
        <is>
          <t>N/A</t>
        </is>
      </c>
    </row>
    <row r="215">
      <c r="A215" s="2" t="inlineStr">
        <is>
          <t>General OD</t>
        </is>
      </c>
      <c r="B215" s="2" t="inlineStr">
        <is>
          <t>OW-Rep</t>
        </is>
      </c>
      <c r="C215" s="2" t="inlineStr">
        <is>
          <t>—</t>
        </is>
      </c>
      <c r="D215" s="2" t="inlineStr">
        <is>
          <t>WACV 2026</t>
        </is>
      </c>
      <c r="E215" s="2" t="inlineStr">
        <is>
          <t>2025-01</t>
        </is>
      </c>
      <c r="F215" s="2" t="inlineStr">
        <is>
          <t>CVF Open Access 自動收錄；指標待人工驗證。OW-Rep: Open World Object Detection with Instance Representation Learning</t>
        </is>
      </c>
      <c r="G215" s="9" t="inlineStr">
        <is>
          <t>https://openaccess.thecvf.com/content/WACV2026/html/Lee_OW-Rep_Open_World_Object_Detection_with_Instance_Representation_Learning_WACV_2026_paper.html</t>
        </is>
      </c>
      <c r="H215" s="9" t="inlineStr">
        <is>
          <t>N/A</t>
        </is>
      </c>
    </row>
    <row r="216">
      <c r="A216" s="2" t="inlineStr">
        <is>
          <t>General OD</t>
        </is>
      </c>
      <c r="B216" s="2" t="inlineStr">
        <is>
          <t>MUSE</t>
        </is>
      </c>
      <c r="C216" s="2" t="inlineStr">
        <is>
          <t>—</t>
        </is>
      </c>
      <c r="D216" s="2" t="inlineStr">
        <is>
          <t>WACV 2026</t>
        </is>
      </c>
      <c r="E216" s="2" t="inlineStr">
        <is>
          <t>2025-01</t>
        </is>
      </c>
      <c r="F216" s="2" t="inlineStr">
        <is>
          <t>CVF Open Access 自動收錄；指標待人工驗證。MUSE: Model-based Uncertainty-aware Similarity Estimation for zero-shot 2D Object Detection and Segmentation</t>
        </is>
      </c>
      <c r="G216" s="9" t="inlineStr">
        <is>
          <t>https://openaccess.thecvf.com/content/WACV2026/html/Cho_MUSE_Model-based_Uncertainty-aware_Similarity_Estimation_for_zero-shot_2D_Object_Detection_WACV_2026_paper.html</t>
        </is>
      </c>
      <c r="H216" s="9" t="inlineStr">
        <is>
          <t>N/A</t>
        </is>
      </c>
    </row>
    <row r="217">
      <c r="A217" s="2" t="inlineStr">
        <is>
          <t>General OD</t>
        </is>
      </c>
      <c r="B217" s="2" t="inlineStr">
        <is>
          <t>Modeling and Learning Multiple Hypotheses for Monocular 3D O</t>
        </is>
      </c>
      <c r="C217" s="2" t="inlineStr">
        <is>
          <t>—</t>
        </is>
      </c>
      <c r="D217" s="2" t="inlineStr">
        <is>
          <t>WACV 2026</t>
        </is>
      </c>
      <c r="E217" s="2" t="inlineStr">
        <is>
          <t>2025-01</t>
        </is>
      </c>
      <c r="F217" s="2" t="inlineStr">
        <is>
          <t>CVF Open Access 自動收錄；指標待人工驗證。Modeling and Learning Multiple Hypotheses for Monocular 3D Object Detection</t>
        </is>
      </c>
      <c r="G217" s="9" t="inlineStr">
        <is>
          <t>https://openaccess.thecvf.com/content/WACV2026/html/Park_Modeling_and_Learning_Multiple_Hypotheses_for_Monocular_3D_Object_Detection_WACV_2026_paper.html</t>
        </is>
      </c>
      <c r="H217" s="9" t="inlineStr">
        <is>
          <t>N/A</t>
        </is>
      </c>
    </row>
    <row r="218">
      <c r="A218" s="2" t="inlineStr">
        <is>
          <t>General OD</t>
        </is>
      </c>
      <c r="B218" s="2" t="inlineStr">
        <is>
          <t>SeaClips</t>
        </is>
      </c>
      <c r="C218" s="2" t="inlineStr">
        <is>
          <t>—</t>
        </is>
      </c>
      <c r="D218" s="2" t="inlineStr">
        <is>
          <t>WACV 2026</t>
        </is>
      </c>
      <c r="E218" s="2" t="inlineStr">
        <is>
          <t>2025-01</t>
        </is>
      </c>
      <c r="F218" s="2" t="inlineStr">
        <is>
          <t>CVF Open Access 自動收錄；指標待人工驗證。SeaClips: A Video Dataset for Maritime Object Detection.</t>
        </is>
      </c>
      <c r="G218" s="9" t="inlineStr">
        <is>
          <t>https://openaccess.thecvf.com/content/WACV2026/html/Denk_SeaClips_A_Video_Dataset_for_Maritime_Object_Detection._WACV_2026_paper.html</t>
        </is>
      </c>
      <c r="H218" s="9" t="inlineStr">
        <is>
          <t>N/A</t>
        </is>
      </c>
    </row>
    <row r="219">
      <c r="A219" s="2" t="inlineStr">
        <is>
          <t>General OD</t>
        </is>
      </c>
      <c r="B219" s="2" t="inlineStr">
        <is>
          <t>Enhancing Object Detection Training via Joint Image-Annotati</t>
        </is>
      </c>
      <c r="C219" s="2" t="inlineStr">
        <is>
          <t>—</t>
        </is>
      </c>
      <c r="D219" s="2" t="inlineStr">
        <is>
          <t>WACV 2026</t>
        </is>
      </c>
      <c r="E219" s="2" t="inlineStr">
        <is>
          <t>2025-01</t>
        </is>
      </c>
      <c r="F219" s="2" t="inlineStr">
        <is>
          <t>CVF Open Access 自動收錄；指標待人工驗證。Enhancing Object Detection Training via Joint Image-Annotation Generation</t>
        </is>
      </c>
      <c r="G219" s="9" t="inlineStr">
        <is>
          <t>https://openaccess.thecvf.com/content/WACV2026/html/Uziel_Enhancing_Object_Detection_Training_via_Joint_Image-Annotation_Generation_WACV_2026_paper.html</t>
        </is>
      </c>
      <c r="H219" s="9" t="inlineStr">
        <is>
          <t>N/A</t>
        </is>
      </c>
    </row>
    <row r="220">
      <c r="A220" s="2" t="inlineStr">
        <is>
          <t>General OD</t>
        </is>
      </c>
      <c r="B220" s="2" t="inlineStr">
        <is>
          <t>SSMRadNet</t>
        </is>
      </c>
      <c r="C220" s="2" t="inlineStr">
        <is>
          <t>—</t>
        </is>
      </c>
      <c r="D220" s="2" t="inlineStr">
        <is>
          <t>WACV 2026</t>
        </is>
      </c>
      <c r="E220" s="2" t="inlineStr">
        <is>
          <t>2025-01</t>
        </is>
      </c>
      <c r="F220" s="2" t="inlineStr">
        <is>
          <t>CVF Open Access 自動收錄；指標待人工驗證。SSMRadNet : A Sample-wise State-Space Framework for Efficient and Ultra-Light Radar Segmentation and Object Detection</t>
        </is>
      </c>
      <c r="G220" s="9" t="inlineStr">
        <is>
          <t>https://openaccess.thecvf.com/content/WACV2026/html/Sen_SSMRadNet__A_Sample-wise_State-Space_Framework_for_Efficient_and_Ultra-Light_WACV_2026_paper.html</t>
        </is>
      </c>
      <c r="H220" s="9" t="inlineStr">
        <is>
          <t>N/A</t>
        </is>
      </c>
    </row>
    <row r="221">
      <c r="A221" s="2" t="inlineStr">
        <is>
          <t>General OD</t>
        </is>
      </c>
      <c r="B221" s="2" t="inlineStr">
        <is>
          <t>High-Level Semantics and Low-Level Features Fusion for Multi</t>
        </is>
      </c>
      <c r="C221" s="2" t="inlineStr">
        <is>
          <t>—</t>
        </is>
      </c>
      <c r="D221" s="2" t="inlineStr">
        <is>
          <t>WACV 2026</t>
        </is>
      </c>
      <c r="E221" s="2" t="inlineStr">
        <is>
          <t>2025-01</t>
        </is>
      </c>
      <c r="F221" s="2" t="inlineStr">
        <is>
          <t>CVF Open Access 自動收錄；指標待人工驗證。High-Level Semantics and Low-Level Features Fusion for Multi-Scale Object Detection in Dynamic Construction Environments</t>
        </is>
      </c>
      <c r="G221" s="9" t="inlineStr">
        <is>
          <t>https://openaccess.thecvf.com/content/WACV2026/html/Bonyani_High-Level_Semantics_and_Low-Level_Features_Fusion_for_Multi-Scale_Object_Detection_WACV_2026_paper.html</t>
        </is>
      </c>
      <c r="H221" s="9" t="inlineStr">
        <is>
          <t>N/A</t>
        </is>
      </c>
    </row>
    <row r="222">
      <c r="A222" s="2" t="inlineStr">
        <is>
          <t>General OD</t>
        </is>
      </c>
      <c r="B222" s="2" t="inlineStr">
        <is>
          <t>MVAT</t>
        </is>
      </c>
      <c r="C222" s="2" t="inlineStr">
        <is>
          <t>—</t>
        </is>
      </c>
      <c r="D222" s="2" t="inlineStr">
        <is>
          <t>WACV 2026</t>
        </is>
      </c>
      <c r="E222" s="2" t="inlineStr">
        <is>
          <t>2025-01</t>
        </is>
      </c>
      <c r="F222" s="2" t="inlineStr">
        <is>
          <t>CVF Open Access 自動收錄；指標待人工驗證。MVAT: Multi-View Aware Teacher for Weakly Supervised 3D Object Detection</t>
        </is>
      </c>
      <c r="G222" s="9" t="inlineStr">
        <is>
          <t>https://openaccess.thecvf.com/content/WACV2026/html/Lahlali_MVAT_Multi-View_Aware_Teacher_for_Weakly_Supervised_3D_Object_Detection_WACV_2026_paper.html</t>
        </is>
      </c>
      <c r="H222" s="9" t="inlineStr">
        <is>
          <t>N/A</t>
        </is>
      </c>
    </row>
    <row r="223">
      <c r="A223" s="2" t="inlineStr">
        <is>
          <t>General OD</t>
        </is>
      </c>
      <c r="B223" s="2" t="inlineStr">
        <is>
          <t>CLoCKDistill</t>
        </is>
      </c>
      <c r="C223" s="2" t="inlineStr">
        <is>
          <t>—</t>
        </is>
      </c>
      <c r="D223" s="2" t="inlineStr">
        <is>
          <t>WACV 2026</t>
        </is>
      </c>
      <c r="E223" s="2" t="inlineStr">
        <is>
          <t>2025-01</t>
        </is>
      </c>
      <c r="F223" s="2" t="inlineStr">
        <is>
          <t>CVF Open Access 自動收錄；指標待人工驗證。CLoCKDistill: Consistent Location and Context aware Knowledge Distillation for DETRs</t>
        </is>
      </c>
      <c r="G223" s="9" t="inlineStr">
        <is>
          <t>https://openaccess.thecvf.com/content/WACV2026/html/Lan_CLoCKDistill_Consistent_Location_and_Context_aware_Knowledge_Distillation_for_DETRs_WACV_2026_paper.html</t>
        </is>
      </c>
      <c r="H223" s="9" t="inlineStr">
        <is>
          <t>N/A</t>
        </is>
      </c>
    </row>
    <row r="224">
      <c r="A224" s="2" t="inlineStr">
        <is>
          <t>General OD</t>
        </is>
      </c>
      <c r="B224" s="2" t="inlineStr">
        <is>
          <t>DMAT</t>
        </is>
      </c>
      <c r="C224" s="2" t="inlineStr">
        <is>
          <t>—</t>
        </is>
      </c>
      <c r="D224" s="2" t="inlineStr">
        <is>
          <t>WACV 2026</t>
        </is>
      </c>
      <c r="E224" s="2" t="inlineStr">
        <is>
          <t>2025-01</t>
        </is>
      </c>
      <c r="F224" s="2" t="inlineStr">
        <is>
          <t>CVF Open Access 自動收錄；指標待人工驗證。DMAT: An End-to-End Framework for Joint Atmospheric Turbulence Mitigation and Object Detection</t>
        </is>
      </c>
      <c r="G224" s="9" t="inlineStr">
        <is>
          <t>https://openaccess.thecvf.com/content/WACV2026/html/Hill_DMAT_An_End-to-End_Framework_for_Joint_Atmospheric_Turbulence_Mitigation_and_WACV_2026_paper.html</t>
        </is>
      </c>
      <c r="H224" s="9" t="inlineStr">
        <is>
          <t>N/A</t>
        </is>
      </c>
    </row>
    <row r="225">
      <c r="A225" s="2" t="inlineStr">
        <is>
          <t>General OD</t>
        </is>
      </c>
      <c r="B225" s="2" t="inlineStr">
        <is>
          <t>SFMNet</t>
        </is>
      </c>
      <c r="C225" s="2" t="inlineStr">
        <is>
          <t>—</t>
        </is>
      </c>
      <c r="D225" s="2" t="inlineStr">
        <is>
          <t>WACV 2026</t>
        </is>
      </c>
      <c r="E225" s="2" t="inlineStr">
        <is>
          <t>2025-01</t>
        </is>
      </c>
      <c r="F225" s="2" t="inlineStr">
        <is>
          <t>CVF Open Access 自動收錄；指標待人工驗證。SFMNet: Sparse Focal Modulation for 3D Object Detection</t>
        </is>
      </c>
      <c r="G225" s="9" t="inlineStr">
        <is>
          <t>https://openaccess.thecvf.com/content/WACV2026/html/Shrout_SFMNet_Sparse_Focal_Modulation_for_3D_Object_Detection_WACV_2026_paper.html</t>
        </is>
      </c>
      <c r="H225" s="9" t="inlineStr">
        <is>
          <t>N/A</t>
        </is>
      </c>
    </row>
    <row r="226">
      <c r="A226" s="2" t="inlineStr">
        <is>
          <t>General OD</t>
        </is>
      </c>
      <c r="B226" s="2" t="inlineStr">
        <is>
          <t>Graph Query Networks for Object Detection with Automotive Ra</t>
        </is>
      </c>
      <c r="C226" s="2" t="inlineStr">
        <is>
          <t>—</t>
        </is>
      </c>
      <c r="D226" s="2" t="inlineStr">
        <is>
          <t>WACV 2026</t>
        </is>
      </c>
      <c r="E226" s="2" t="inlineStr">
        <is>
          <t>2025-01</t>
        </is>
      </c>
      <c r="F226" s="2" t="inlineStr">
        <is>
          <t>CVF Open Access 自動收錄；指標待人工驗證。Graph Query Networks for Object Detection with Automotive Radar</t>
        </is>
      </c>
      <c r="G226" s="9" t="inlineStr">
        <is>
          <t>https://openaccess.thecvf.com/content/WACV2026/html/Saini_Graph_Query_Networks_for_Object_Detection_with_Automotive_Radar_WACV_2026_paper.html</t>
        </is>
      </c>
      <c r="H226" s="9" t="inlineStr">
        <is>
          <t>N/A</t>
        </is>
      </c>
    </row>
    <row r="227">
      <c r="A227" s="2" t="inlineStr">
        <is>
          <t>General OD</t>
        </is>
      </c>
      <c r="B227" s="2" t="inlineStr">
        <is>
          <t>Event-based Graph Representation with Spatial and Motion Vec</t>
        </is>
      </c>
      <c r="C227" s="2" t="inlineStr">
        <is>
          <t>—</t>
        </is>
      </c>
      <c r="D227" s="2" t="inlineStr">
        <is>
          <t>WACV 2026</t>
        </is>
      </c>
      <c r="E227" s="2" t="inlineStr">
        <is>
          <t>2025-01</t>
        </is>
      </c>
      <c r="F227" s="2" t="inlineStr">
        <is>
          <t>CVF Open Access 自動收錄；指標待人工驗證。Event-based Graph Representation with Spatial and Motion Vectors for Asynchronous Object Detection</t>
        </is>
      </c>
      <c r="G227" s="9" t="inlineStr">
        <is>
          <t>https://openaccess.thecvf.com/content/WACV2026/html/Verma_Event-based_Graph_Representation_with_Spatial_and_Motion_Vectors_for_Asynchronous_WACV_2026_paper.html</t>
        </is>
      </c>
      <c r="H227" s="9" t="inlineStr">
        <is>
          <t>N/A</t>
        </is>
      </c>
    </row>
    <row r="228">
      <c r="A228" s="2" t="inlineStr">
        <is>
          <t>General OD</t>
        </is>
      </c>
      <c r="B228" s="2" t="inlineStr">
        <is>
          <t>MomentMix Augmentation with Length-Aware DETR for Temporally</t>
        </is>
      </c>
      <c r="C228" s="2" t="inlineStr">
        <is>
          <t>—</t>
        </is>
      </c>
      <c r="D228" s="2" t="inlineStr">
        <is>
          <t>WACV 2026</t>
        </is>
      </c>
      <c r="E228" s="2" t="inlineStr">
        <is>
          <t>2025-01</t>
        </is>
      </c>
      <c r="F228" s="2" t="inlineStr">
        <is>
          <t>CVF Open Access 自動收錄；指標待人工驗證。MomentMix Augmentation with Length-Aware DETR for Temporally Robust Moment Retrieval</t>
        </is>
      </c>
      <c r="G228" s="9" t="inlineStr">
        <is>
          <t>https://openaccess.thecvf.com/content/WACV2026/html/Park_MomentMix_Augmentation_with_Length-Aware_DETR_for_Temporally_Robust_Moment_Retrieval_WACV_2026_paper.html</t>
        </is>
      </c>
      <c r="H228" s="9" t="inlineStr">
        <is>
          <t>N/A</t>
        </is>
      </c>
    </row>
    <row r="229">
      <c r="A229" s="2" t="inlineStr">
        <is>
          <t>General OD</t>
        </is>
      </c>
      <c r="B229" s="2" t="inlineStr">
        <is>
          <t>SPAR-Det</t>
        </is>
      </c>
      <c r="C229" s="2" t="inlineStr">
        <is>
          <t>—</t>
        </is>
      </c>
      <c r="D229" s="2" t="inlineStr">
        <is>
          <t>WACV 2026</t>
        </is>
      </c>
      <c r="E229" s="2" t="inlineStr">
        <is>
          <t>2025-01</t>
        </is>
      </c>
      <c r="F229" s="2" t="inlineStr">
        <is>
          <t>CVF Open Access 自動收錄；指標待人工驗證。SPAR-Det: Segmentation-guided and Prior-Aided Routing for Small Object Detection</t>
        </is>
      </c>
      <c r="G229" s="9" t="inlineStr">
        <is>
          <t>https://openaccess.thecvf.com/content/WACV2026/html/Kwon_SPAR-Det_Segmentation-guided_and_Prior-Aided_Routing_for_Small_Object_Detection_WACV_2026_paper.html</t>
        </is>
      </c>
      <c r="H229" s="9" t="inlineStr">
        <is>
          <t>N/A</t>
        </is>
      </c>
    </row>
    <row r="230">
      <c r="A230" s="2" t="inlineStr">
        <is>
          <t>General OD</t>
        </is>
      </c>
      <c r="B230" s="2" t="inlineStr">
        <is>
          <t>A Deep Network for Object Detection on Inland Waters</t>
        </is>
      </c>
      <c r="C230" s="2" t="inlineStr">
        <is>
          <t>—</t>
        </is>
      </c>
      <c r="D230" s="2" t="inlineStr">
        <is>
          <t>WACV 2026</t>
        </is>
      </c>
      <c r="E230" s="2" t="inlineStr">
        <is>
          <t>2025-01</t>
        </is>
      </c>
      <c r="F230" s="2" t="inlineStr">
        <is>
          <t>CVF Open Access 自動收錄；指標待人工驗證。A Deep Network for Object Detection on Inland Waters</t>
        </is>
      </c>
      <c r="G230" s="9" t="inlineStr">
        <is>
          <t>https://openaccess.thecvf.com/content/WACV2026/html/Griesser_A_Deep_Network_for_Object_Detection_on_Inland_Waters_WACV_2026_paper.html</t>
        </is>
      </c>
      <c r="H230" s="9" t="inlineStr">
        <is>
          <t>N/A</t>
        </is>
      </c>
    </row>
    <row r="231">
      <c r="A231" s="2" t="inlineStr">
        <is>
          <t>General OD</t>
        </is>
      </c>
      <c r="B231" s="2" t="inlineStr">
        <is>
          <t>Saliency-Guided DETR for Moment Retrieval and Highlight Dete</t>
        </is>
      </c>
      <c r="C231" s="2" t="inlineStr">
        <is>
          <t>—</t>
        </is>
      </c>
      <c r="D231" s="2" t="inlineStr">
        <is>
          <t>WACV 2026</t>
        </is>
      </c>
      <c r="E231" s="2" t="inlineStr">
        <is>
          <t>2025-01</t>
        </is>
      </c>
      <c r="F231" s="2" t="inlineStr">
        <is>
          <t>CVF Open Access 自動收錄；指標待人工驗證。Saliency-Guided DETR for Moment Retrieval and Highlight Detection</t>
        </is>
      </c>
      <c r="G231" s="9" t="inlineStr">
        <is>
          <t>https://openaccess.thecvf.com/content/WACV2026/html/Gordeev_Saliency-Guided_DETR_for_Moment_Retrieval_and_Highlight_Detection_WACV_2026_paper.html</t>
        </is>
      </c>
      <c r="H231" s="9" t="inlineStr">
        <is>
          <t>N/A</t>
        </is>
      </c>
    </row>
    <row r="232">
      <c r="A232" s="2" t="inlineStr">
        <is>
          <t>General OD</t>
        </is>
      </c>
      <c r="B232" s="2" t="inlineStr">
        <is>
          <t>WiSE-OD</t>
        </is>
      </c>
      <c r="C232" s="2" t="inlineStr">
        <is>
          <t>—</t>
        </is>
      </c>
      <c r="D232" s="2" t="inlineStr">
        <is>
          <t>WACV 2026</t>
        </is>
      </c>
      <c r="E232" s="2" t="inlineStr">
        <is>
          <t>2025-01</t>
        </is>
      </c>
      <c r="F232" s="2" t="inlineStr">
        <is>
          <t>CVF Open Access 自動收錄；指標待人工驗證。WiSE-OD: Benchmarking Robustness in Infrared Object Detection</t>
        </is>
      </c>
      <c r="G232" s="9" t="inlineStr">
        <is>
          <t>https://openaccess.thecvf.com/content/WACV2026/html/Medeiros_WiSE-OD_Benchmarking_Robustness_in_Infrared_Object_Detection_WACV_2026_paper.html</t>
        </is>
      </c>
      <c r="H232" s="9" t="inlineStr">
        <is>
          <t>N/A</t>
        </is>
      </c>
    </row>
    <row r="233">
      <c r="A233" s="2" t="inlineStr">
        <is>
          <t>General OD</t>
        </is>
      </c>
      <c r="B233" s="2" t="inlineStr">
        <is>
          <t>TRACE</t>
        </is>
      </c>
      <c r="C233" s="2" t="inlineStr">
        <is>
          <t>—</t>
        </is>
      </c>
      <c r="D233" s="2" t="inlineStr">
        <is>
          <t>WACV 2026</t>
        </is>
      </c>
      <c r="E233" s="2" t="inlineStr">
        <is>
          <t>2025-01</t>
        </is>
      </c>
      <c r="F233" s="2" t="inlineStr">
        <is>
          <t>CVF Open Access 自動收錄；指標待人工驗證。TRACE: Confounder-free Adversarial Fine-tuning for Robust Object Detection</t>
        </is>
      </c>
      <c r="G233" s="9" t="inlineStr">
        <is>
          <t>https://openaccess.thecvf.com/content/WACV2026/html/Lee_TRACE_Confounder-free_Adversarial_Fine-tuning_for_Robust_Object_Detection_WACV_2026_paper.html</t>
        </is>
      </c>
      <c r="H233" s="9" t="inlineStr">
        <is>
          <t>N/A</t>
        </is>
      </c>
    </row>
    <row r="234">
      <c r="A234" s="2" t="inlineStr">
        <is>
          <t>General OD</t>
        </is>
      </c>
      <c r="B234" s="2" t="inlineStr">
        <is>
          <t>CropAT</t>
        </is>
      </c>
      <c r="C234" s="2" t="inlineStr">
        <is>
          <t>—</t>
        </is>
      </c>
      <c r="D234" s="2" t="inlineStr">
        <is>
          <t>WACV 2026</t>
        </is>
      </c>
      <c r="E234" s="2" t="inlineStr">
        <is>
          <t>2025-01</t>
        </is>
      </c>
      <c r="F234" s="2" t="inlineStr">
        <is>
          <t>CVF Open Access 自動收錄；指標待人工驗證。CropAT: Leveraging Diffusion-Generated Target-Like Cropped Objects for Pseudo-Label Refinement in Domain-Adaptive Object Detection</t>
        </is>
      </c>
      <c r="G234" s="9" t="inlineStr">
        <is>
          <t>https://openaccess.thecvf.com/content/WACV2026/html/Huang_CropAT_Leveraging_Diffusion-Generated_Target-Like_Cropped_Objects_for_Pseudo-Label_Refinement_in_WACV_2026_paper.html</t>
        </is>
      </c>
      <c r="H234" s="9" t="inlineStr">
        <is>
          <t>N/A</t>
        </is>
      </c>
    </row>
    <row r="235">
      <c r="A235" s="2" t="inlineStr">
        <is>
          <t>General OD</t>
        </is>
      </c>
      <c r="B235" s="2" t="inlineStr">
        <is>
          <t>DualRes</t>
        </is>
      </c>
      <c r="C235" s="2" t="inlineStr">
        <is>
          <t>—</t>
        </is>
      </c>
      <c r="D235" s="2" t="inlineStr">
        <is>
          <t>WACV 2026</t>
        </is>
      </c>
      <c r="E235" s="2" t="inlineStr">
        <is>
          <t>2025-01</t>
        </is>
      </c>
      <c r="F235" s="2" t="inlineStr">
        <is>
          <t>CVF Open Access 自動收錄；指標待人工驗證。DualRes: Production-ready Dynamic Object Detection</t>
        </is>
      </c>
      <c r="G235" s="9" t="inlineStr">
        <is>
          <t>https://openaccess.thecvf.com/content/WACV2026/html/Hassani_DualRes_Production-ready_Dynamic_Object_Detection_WACV_2026_paper.html</t>
        </is>
      </c>
      <c r="H235" s="9" t="inlineStr">
        <is>
          <t>N/A</t>
        </is>
      </c>
    </row>
    <row r="236">
      <c r="A236" s="2" t="inlineStr">
        <is>
          <t>Real-Time OD</t>
        </is>
      </c>
      <c r="B236" s="2" t="inlineStr">
        <is>
          <t>Meta-YOLO</t>
        </is>
      </c>
      <c r="C236" s="2" t="inlineStr">
        <is>
          <t>—</t>
        </is>
      </c>
      <c r="D236" s="2" t="inlineStr">
        <is>
          <t>WACV 2026</t>
        </is>
      </c>
      <c r="E236" s="2" t="inlineStr">
        <is>
          <t>2025-01</t>
        </is>
      </c>
      <c r="F236" s="2" t="inlineStr">
        <is>
          <t>CVF Open Access 自動收錄；指標待人工驗證。Meta-YOLO: Metadata-Guided Real-Time Object Detector in Aerial Imagery</t>
        </is>
      </c>
      <c r="G236" s="9" t="inlineStr">
        <is>
          <t>https://openaccess.thecvf.com/content/WACV2026/html/Yoon_Meta-YOLO_Metadata-Guided_Real-Time_Object_Detector_in_Aerial_Imagery_WACV_2026_paper.html</t>
        </is>
      </c>
      <c r="H236" s="9" t="inlineStr">
        <is>
          <t>N/A</t>
        </is>
      </c>
    </row>
    <row r="237">
      <c r="A237" s="2" t="inlineStr">
        <is>
          <t>General OD</t>
        </is>
      </c>
      <c r="B237" s="2" t="inlineStr">
        <is>
          <t>FSP-DETR</t>
        </is>
      </c>
      <c r="C237" s="2" t="inlineStr">
        <is>
          <t>—</t>
        </is>
      </c>
      <c r="D237" s="2" t="inlineStr">
        <is>
          <t>WACV 2026</t>
        </is>
      </c>
      <c r="E237" s="2" t="inlineStr">
        <is>
          <t>2025-01</t>
        </is>
      </c>
      <c r="F237" s="2" t="inlineStr">
        <is>
          <t>CVF Open Access 自動收錄；指標待人工驗證。FSP-DETR: Few-Shot Prototypical Parasitic Ova Detection</t>
        </is>
      </c>
      <c r="G237" s="9" t="inlineStr">
        <is>
          <t>https://openaccess.thecvf.com/content/WACV2026/html/Trehan_FSP-DETR_Few-Shot_Prototypical_Parasitic_Ova_Detection_WACV_2026_paper.html</t>
        </is>
      </c>
      <c r="H237" s="9" t="inlineStr">
        <is>
          <t>N/A</t>
        </is>
      </c>
    </row>
    <row r="238">
      <c r="A238" s="2" t="inlineStr">
        <is>
          <t>General OD</t>
        </is>
      </c>
      <c r="B238" s="2" t="inlineStr">
        <is>
          <t>SPAN</t>
        </is>
      </c>
      <c r="C238" s="2" t="inlineStr">
        <is>
          <t>—</t>
        </is>
      </c>
      <c r="D238" s="2" t="inlineStr">
        <is>
          <t>CVPR 2026</t>
        </is>
      </c>
      <c r="E238" s="2" t="inlineStr">
        <is>
          <t>2025-06</t>
        </is>
      </c>
      <c r="F238" s="2" t="inlineStr">
        <is>
          <t>CVF Open Access 自動收錄；指標待人工驗證。SPAN: Spatial-Projection Alignment for Monocular 3D Object Detection</t>
        </is>
      </c>
      <c r="G238" s="9" t="inlineStr">
        <is>
          <t>https://openaccess.thecvf.com/content/CVPR2026/html/Wang_SPAN_Spatial-Projection_Alignment_for_Monocular_3D_Object_Detection_CVPR_2026_paper.html</t>
        </is>
      </c>
      <c r="H238" s="9" t="inlineStr">
        <is>
          <t>N/A</t>
        </is>
      </c>
    </row>
    <row r="239">
      <c r="A239" s="2" t="inlineStr">
        <is>
          <t>Real-Time OD</t>
        </is>
      </c>
      <c r="B239" s="2" t="inlineStr">
        <is>
          <t>Does YOLO Really Need to See Every Training Image in Every E</t>
        </is>
      </c>
      <c r="C239" s="2" t="inlineStr">
        <is>
          <t>—</t>
        </is>
      </c>
      <c r="D239" s="2" t="inlineStr">
        <is>
          <t>CVPR 2026</t>
        </is>
      </c>
      <c r="E239" s="2" t="inlineStr">
        <is>
          <t>2025-06</t>
        </is>
      </c>
      <c r="F239" s="2" t="inlineStr">
        <is>
          <t>CVF Open Access 自動收錄；指標待人工驗證。Does YOLO Really Need to See Every Training Image in Every Epoch?</t>
        </is>
      </c>
      <c r="G239" s="9" t="inlineStr">
        <is>
          <t>https://openaccess.thecvf.com/content/CVPR2026/html/Xie_Does_YOLO_Really_Need_to_See_Every_Training_Image_in_CVPR_2026_paper.html</t>
        </is>
      </c>
      <c r="H239" s="9" t="inlineStr">
        <is>
          <t>N/A</t>
        </is>
      </c>
    </row>
    <row r="240">
      <c r="A240" s="2" t="inlineStr">
        <is>
          <t>General OD</t>
        </is>
      </c>
      <c r="B240" s="2" t="inlineStr">
        <is>
          <t>MonoSAOD</t>
        </is>
      </c>
      <c r="C240" s="2" t="inlineStr">
        <is>
          <t>—</t>
        </is>
      </c>
      <c r="D240" s="2" t="inlineStr">
        <is>
          <t>CVPR 2026</t>
        </is>
      </c>
      <c r="E240" s="2" t="inlineStr">
        <is>
          <t>2025-06</t>
        </is>
      </c>
      <c r="F240" s="2" t="inlineStr">
        <is>
          <t>CVF Open Access 自動收錄；指標待人工驗證。MonoSAOD: Monocular 3D Object Detection with Sparsely Annotated Label</t>
        </is>
      </c>
      <c r="G240" s="9" t="inlineStr">
        <is>
          <t>https://openaccess.thecvf.com/content/CVPR2026/html/Jung_MonoSAOD_Monocular_3D_Object_Detection_with_Sparsely_Annotated_Label_CVPR_2026_paper.html</t>
        </is>
      </c>
      <c r="H240" s="9" t="inlineStr">
        <is>
          <t>N/A</t>
        </is>
      </c>
    </row>
    <row r="241">
      <c r="A241" s="2" t="inlineStr">
        <is>
          <t>RGB Salient OD</t>
        </is>
      </c>
      <c r="B241" s="2" t="inlineStr">
        <is>
          <t>TF-SSD</t>
        </is>
      </c>
      <c r="C241" s="2" t="inlineStr">
        <is>
          <t>—</t>
        </is>
      </c>
      <c r="D241" s="2" t="inlineStr">
        <is>
          <t>CVPR 2026</t>
        </is>
      </c>
      <c r="E241" s="2" t="inlineStr">
        <is>
          <t>2025-06</t>
        </is>
      </c>
      <c r="F241" s="2" t="inlineStr">
        <is>
          <t>CVF Open Access 自動收錄；指標待人工驗證。TF-SSD: A Strong Pipeline via Synergic Mask Filter for Training-free Co-salient Object Detection</t>
        </is>
      </c>
      <c r="G241" s="9" t="inlineStr">
        <is>
          <t>https://openaccess.thecvf.com/content/CVPR2026/html/He_TF-SSD_A_Strong_Pipeline_via_Synergic_Mask_Filter_for_Training-free_CVPR_2026_paper.html</t>
        </is>
      </c>
      <c r="H241" s="9" t="inlineStr">
        <is>
          <t>N/A</t>
        </is>
      </c>
    </row>
    <row r="242">
      <c r="A242" s="2" t="inlineStr">
        <is>
          <t>General OD</t>
        </is>
      </c>
      <c r="B242" s="2" t="inlineStr">
        <is>
          <t>Tri-Modal Fusion Transformers for UAV-based Object Detection</t>
        </is>
      </c>
      <c r="C242" s="2" t="inlineStr">
        <is>
          <t>—</t>
        </is>
      </c>
      <c r="D242" s="2" t="inlineStr">
        <is>
          <t>CVPR 2026</t>
        </is>
      </c>
      <c r="E242" s="2" t="inlineStr">
        <is>
          <t>2025-06</t>
        </is>
      </c>
      <c r="F242" s="2" t="inlineStr">
        <is>
          <t>CVF Open Access 自動收錄；指標待人工驗證。Tri-Modal Fusion Transformers for UAV-based Object Detection</t>
        </is>
      </c>
      <c r="G242" s="9" t="inlineStr">
        <is>
          <t>https://openaccess.thecvf.com/content/CVPR2026/html/Iaboni_Tri-Modal_Fusion_Transformers_for_UAV-based_Object_Detection_CVPR_2026_paper.html</t>
        </is>
      </c>
      <c r="H242" s="9" t="inlineStr">
        <is>
          <t>N/A</t>
        </is>
      </c>
    </row>
    <row r="243">
      <c r="A243" s="2" t="inlineStr">
        <is>
          <t>Few-Shot OD</t>
        </is>
      </c>
      <c r="B243" s="2" t="inlineStr">
        <is>
          <t>Parameter-Efficient Semantic Augmentation for Enhancing Open</t>
        </is>
      </c>
      <c r="C243" s="2" t="inlineStr">
        <is>
          <t>—</t>
        </is>
      </c>
      <c r="D243" s="2" t="inlineStr">
        <is>
          <t>CVPR 2026</t>
        </is>
      </c>
      <c r="E243" s="2" t="inlineStr">
        <is>
          <t>2025-06</t>
        </is>
      </c>
      <c r="F243" s="2" t="inlineStr">
        <is>
          <t>CVF Open Access 自動收錄；指標待人工驗證。Parameter-Efficient Semantic Augmentation for Enhancing Open-Vocabulary Object Detection</t>
        </is>
      </c>
      <c r="G243" s="9" t="inlineStr">
        <is>
          <t>https://openaccess.thecvf.com/content/CVPR2026/html/Cao_Parameter-Efficient_Semantic_Augmentation_for_Enhancing_Open-Vocabulary_Object_Detection_CVPR_2026_paper.html</t>
        </is>
      </c>
      <c r="H243" s="9" t="inlineStr">
        <is>
          <t>N/A</t>
        </is>
      </c>
    </row>
    <row r="244">
      <c r="A244" s="2" t="inlineStr">
        <is>
          <t>General OD</t>
        </is>
      </c>
      <c r="B244" s="2" t="inlineStr">
        <is>
          <t>Mind the Gap</t>
        </is>
      </c>
      <c r="C244" s="2" t="inlineStr">
        <is>
          <t>—</t>
        </is>
      </c>
      <c r="D244" s="2" t="inlineStr">
        <is>
          <t>CVPR 2026</t>
        </is>
      </c>
      <c r="E244" s="2" t="inlineStr">
        <is>
          <t>2025-06</t>
        </is>
      </c>
      <c r="F244" s="2" t="inlineStr">
        <is>
          <t>CVF Open Access 自動收錄；指標待人工驗證。Mind the Gap: Transferring Labels to Align Object Detection Datasets</t>
        </is>
      </c>
      <c r="G244" s="9" t="inlineStr">
        <is>
          <t>https://openaccess.thecvf.com/content/CVPR2026/html/Kennerley_Mind_the_Gap_Transferring_Labels_to_Align_Object_Detection_Datasets_CVPR_2026_paper.html</t>
        </is>
      </c>
      <c r="H244" s="9" t="inlineStr">
        <is>
          <t>N/A</t>
        </is>
      </c>
    </row>
    <row r="245">
      <c r="A245" s="2" t="inlineStr">
        <is>
          <t>General OD</t>
        </is>
      </c>
      <c r="B245" s="2" t="inlineStr">
        <is>
          <t>Portable Active Learning for Object Detection</t>
        </is>
      </c>
      <c r="C245" s="2" t="inlineStr">
        <is>
          <t>—</t>
        </is>
      </c>
      <c r="D245" s="2" t="inlineStr">
        <is>
          <t>CVPR 2026</t>
        </is>
      </c>
      <c r="E245" s="2" t="inlineStr">
        <is>
          <t>2025-06</t>
        </is>
      </c>
      <c r="F245" s="2" t="inlineStr">
        <is>
          <t>CVF Open Access 自動收錄；指標待人工驗證。Portable Active Learning for Object Detection</t>
        </is>
      </c>
      <c r="G245" s="9" t="inlineStr">
        <is>
          <t>https://openaccess.thecvf.com/content/CVPR2026/html/Sharma_Portable_Active_Learning_for_Object_Detection_CVPR_2026_paper.html</t>
        </is>
      </c>
      <c r="H245" s="9" t="inlineStr">
        <is>
          <t>N/A</t>
        </is>
      </c>
    </row>
    <row r="246">
      <c r="A246" s="2" t="inlineStr">
        <is>
          <t>General OD</t>
        </is>
      </c>
      <c r="B246" s="2" t="inlineStr">
        <is>
          <t>PaQ-DETR</t>
        </is>
      </c>
      <c r="C246" s="2" t="inlineStr">
        <is>
          <t>—</t>
        </is>
      </c>
      <c r="D246" s="2" t="inlineStr">
        <is>
          <t>CVPR 2026</t>
        </is>
      </c>
      <c r="E246" s="2" t="inlineStr">
        <is>
          <t>2025-06</t>
        </is>
      </c>
      <c r="F246" s="2" t="inlineStr">
        <is>
          <t>CVF Open Access 自動收錄；指標待人工驗證。PaQ-DETR: Learning Pattern and Quality-Aware Dynamic Queries for Object Detection</t>
        </is>
      </c>
      <c r="G246" s="9" t="inlineStr">
        <is>
          <t>https://openaccess.thecvf.com/content/CVPR2026/html/Kang_PaQ-DETR_Learning_Pattern_and_Quality-Aware_Dynamic_Queries_for_Object_Detection_CVPR_2026_paper.html</t>
        </is>
      </c>
      <c r="H246" s="9" t="inlineStr">
        <is>
          <t>N/A</t>
        </is>
      </c>
    </row>
    <row r="247">
      <c r="A247" s="2" t="inlineStr">
        <is>
          <t>General OD</t>
        </is>
      </c>
      <c r="B247" s="2" t="inlineStr">
        <is>
          <t>When Transformers Meet Mamba</t>
        </is>
      </c>
      <c r="C247" s="2" t="inlineStr">
        <is>
          <t>—</t>
        </is>
      </c>
      <c r="D247" s="2" t="inlineStr">
        <is>
          <t>CVPR 2026</t>
        </is>
      </c>
      <c r="E247" s="2" t="inlineStr">
        <is>
          <t>2025-06</t>
        </is>
      </c>
      <c r="F247" s="2" t="inlineStr">
        <is>
          <t>CVF Open Access 自動收錄；指標待人工驗證。When Transformers Meet Mamba: A Hybrid Transformer-Mamba Network for Video Object Detection</t>
        </is>
      </c>
      <c r="G247" s="9" t="inlineStr">
        <is>
          <t>https://openaccess.thecvf.com/content/CVPR2026/html/Qi_When_Transformers_Meet_Mamba_A_Hybrid_Transformer-Mamba_Network_for_Video_CVPR_2026_paper.html</t>
        </is>
      </c>
      <c r="H247" s="9" t="inlineStr">
        <is>
          <t>N/A</t>
        </is>
      </c>
    </row>
    <row r="248">
      <c r="A248" s="2" t="inlineStr">
        <is>
          <t>General OD</t>
        </is>
      </c>
      <c r="B248" s="2" t="inlineStr">
        <is>
          <t>CoIn3D</t>
        </is>
      </c>
      <c r="C248" s="2" t="inlineStr">
        <is>
          <t>—</t>
        </is>
      </c>
      <c r="D248" s="2" t="inlineStr">
        <is>
          <t>CVPR 2026</t>
        </is>
      </c>
      <c r="E248" s="2" t="inlineStr">
        <is>
          <t>2025-06</t>
        </is>
      </c>
      <c r="F248" s="2" t="inlineStr">
        <is>
          <t>CVF Open Access 自動收錄；指標待人工驗證。CoIn3D: Revisiting Configuration-Invariant Multi-Camera 3D Object Detection</t>
        </is>
      </c>
      <c r="G248" s="9" t="inlineStr">
        <is>
          <t>https://openaccess.thecvf.com/content/CVPR2026/html/Kuang_CoIn3D_Revisiting_Configuration-Invariant_Multi-Camera_3D_Object_Detection_CVPR_2026_paper.html</t>
        </is>
      </c>
      <c r="H248" s="9" t="inlineStr">
        <is>
          <t>N/A</t>
        </is>
      </c>
    </row>
    <row r="249">
      <c r="A249" s="2" t="inlineStr">
        <is>
          <t>Real-Time OD</t>
        </is>
      </c>
      <c r="B249" s="2" t="inlineStr">
        <is>
          <t>AKCMamba-YOLO</t>
        </is>
      </c>
      <c r="C249" s="2" t="inlineStr">
        <is>
          <t>—</t>
        </is>
      </c>
      <c r="D249" s="2" t="inlineStr">
        <is>
          <t>CVPR 2026</t>
        </is>
      </c>
      <c r="E249" s="2" t="inlineStr">
        <is>
          <t>2025-06</t>
        </is>
      </c>
      <c r="F249" s="2" t="inlineStr">
        <is>
          <t>CVF Open Access 自動收錄；指標待人工驗證。AKCMamba-YOLO: Selective State Space Models For Real-Time Object Detection</t>
        </is>
      </c>
      <c r="G249" s="9" t="inlineStr">
        <is>
          <t>https://openaccess.thecvf.com/content/CVPR2026/html/Chen_AKCMamba-YOLO_Selective_State_Space_Models_For_Real-Time_Object_Detection_CVPR_2026_paper.html</t>
        </is>
      </c>
      <c r="H249" s="9" t="inlineStr">
        <is>
          <t>N/A</t>
        </is>
      </c>
    </row>
    <row r="250">
      <c r="A250" s="2" t="inlineStr">
        <is>
          <t>General OD</t>
        </is>
      </c>
      <c r="B250" s="2" t="inlineStr">
        <is>
          <t>Towards Persistence</t>
        </is>
      </c>
      <c r="C250" s="2" t="inlineStr">
        <is>
          <t>—</t>
        </is>
      </c>
      <c r="D250" s="2" t="inlineStr">
        <is>
          <t>CVPR 2026</t>
        </is>
      </c>
      <c r="E250" s="2" t="inlineStr">
        <is>
          <t>2025-06</t>
        </is>
      </c>
      <c r="F250" s="2" t="inlineStr">
        <is>
          <t>CVF Open Access 自動收錄；指標待人工驗證。Towards Persistence: Learning Topological Constraints for Event-based Small Object Detection</t>
        </is>
      </c>
      <c r="G250" s="9" t="inlineStr">
        <is>
          <t>https://openaccess.thecvf.com/content/CVPR2026/html/He_Towards_Persistence_Learning_Topological_Constraints_for_Event-based_Small_Object_Detection_CVPR_2026_paper.html</t>
        </is>
      </c>
      <c r="H250" s="9" t="inlineStr">
        <is>
          <t>N/A</t>
        </is>
      </c>
    </row>
    <row r="251">
      <c r="A251" s="2" t="inlineStr">
        <is>
          <t>Few-Shot OD</t>
        </is>
      </c>
      <c r="B251" s="2" t="inlineStr">
        <is>
          <t>Consistency Beyond Contrast</t>
        </is>
      </c>
      <c r="C251" s="2" t="inlineStr">
        <is>
          <t>—</t>
        </is>
      </c>
      <c r="D251" s="2" t="inlineStr">
        <is>
          <t>CVPR 2026</t>
        </is>
      </c>
      <c r="E251" s="2" t="inlineStr">
        <is>
          <t>2025-06</t>
        </is>
      </c>
      <c r="F251" s="2" t="inlineStr">
        <is>
          <t>CVF Open Access 自動收錄；指標待人工驗證。Consistency Beyond Contrast: Enhancing Open-Vocabulary Object Detection Robustness via Contextual Consistency Learning</t>
        </is>
      </c>
      <c r="G251" s="9" t="inlineStr">
        <is>
          <t>https://openaccess.thecvf.com/content/CVPR2026/html/Li_Consistency_Beyond_Contrast_Enhancing_Open-Vocabulary_Object_Detection_Robustness_via_Contextual_CVPR_2026_paper.html</t>
        </is>
      </c>
      <c r="H251" s="9" t="inlineStr">
        <is>
          <t>N/A</t>
        </is>
      </c>
    </row>
    <row r="252">
      <c r="A252" s="2" t="inlineStr">
        <is>
          <t>Few-Shot OD</t>
        </is>
      </c>
      <c r="B252" s="2" t="inlineStr">
        <is>
          <t>ViTPrompt</t>
        </is>
      </c>
      <c r="C252" s="2" t="inlineStr">
        <is>
          <t>—</t>
        </is>
      </c>
      <c r="D252" s="2" t="inlineStr">
        <is>
          <t>CVPR 2026</t>
        </is>
      </c>
      <c r="E252" s="2" t="inlineStr">
        <is>
          <t>2025-06</t>
        </is>
      </c>
      <c r="F252" s="2" t="inlineStr">
        <is>
          <t>CVF Open Access 自動收錄；指標待人工驗證。ViTPrompt: Training-Free Prompt Refinement with Visual Tokens for Open-Vocabulary Detection</t>
        </is>
      </c>
      <c r="G252" s="9" t="inlineStr">
        <is>
          <t>https://openaccess.thecvf.com/content/CVPR2026/html/Qin_ViTPrompt_Training-Free_Prompt_Refinement_with_Visual_Tokens_for_Open-Vocabulary_Detection_CVPR_2026_paper.html</t>
        </is>
      </c>
      <c r="H252" s="9" t="inlineStr">
        <is>
          <t>N/A</t>
        </is>
      </c>
    </row>
    <row r="253">
      <c r="A253" s="2" t="inlineStr">
        <is>
          <t>General OD</t>
        </is>
      </c>
      <c r="B253" s="2" t="inlineStr">
        <is>
          <t>SDDF</t>
        </is>
      </c>
      <c r="C253" s="2" t="inlineStr">
        <is>
          <t>—</t>
        </is>
      </c>
      <c r="D253" s="2" t="inlineStr">
        <is>
          <t>CVPR 2026</t>
        </is>
      </c>
      <c r="E253" s="2" t="inlineStr">
        <is>
          <t>2025-06</t>
        </is>
      </c>
      <c r="F253" s="2" t="inlineStr">
        <is>
          <t>CVF Open Access 自動收錄；指標待人工驗證。SDDF: Specificity-Driven Dynamic Focusing for Open-Vocabulary Camouflaged Object Detection</t>
        </is>
      </c>
      <c r="G253" s="9" t="inlineStr">
        <is>
          <t>https://openaccess.thecvf.com/content/CVPR2026/html/Liang_SDDF_Specificity-Driven_Dynamic_Focusing_for_Open-Vocabulary_Camouflaged_Object_Detection_CVPR_2026_paper.html</t>
        </is>
      </c>
      <c r="H253" s="9" t="inlineStr">
        <is>
          <t>N/A</t>
        </is>
      </c>
    </row>
    <row r="254">
      <c r="A254" s="2" t="inlineStr">
        <is>
          <t>General OD</t>
        </is>
      </c>
      <c r="B254" s="2" t="inlineStr">
        <is>
          <t>CCF</t>
        </is>
      </c>
      <c r="C254" s="2" t="inlineStr">
        <is>
          <t>—</t>
        </is>
      </c>
      <c r="D254" s="2" t="inlineStr">
        <is>
          <t>CVPR 2026</t>
        </is>
      </c>
      <c r="E254" s="2" t="inlineStr">
        <is>
          <t>2025-06</t>
        </is>
      </c>
      <c r="F254" s="2" t="inlineStr">
        <is>
          <t>CVF Open Access 自動收錄；指標待人工驗證。CCF: Complementary Collaborative Fusion for Domain Generalized Multi-Modal 3D Object Detection</t>
        </is>
      </c>
      <c r="G254" s="9" t="inlineStr">
        <is>
          <t>https://openaccess.thecvf.com/content/CVPR2026/html/Wu_CCF_Complementary_Collaborative_Fusion_for_Domain_Generalized_Multi-Modal_3D_Object_CVPR_2026_paper.html</t>
        </is>
      </c>
      <c r="H254" s="9" t="inlineStr">
        <is>
          <t>N/A</t>
        </is>
      </c>
    </row>
    <row r="255">
      <c r="A255" s="2" t="inlineStr">
        <is>
          <t>General OD</t>
        </is>
      </c>
      <c r="B255" s="2" t="inlineStr">
        <is>
          <t>DyFCLT</t>
        </is>
      </c>
      <c r="C255" s="2" t="inlineStr">
        <is>
          <t>—</t>
        </is>
      </c>
      <c r="D255" s="2" t="inlineStr">
        <is>
          <t>CVPR 2026</t>
        </is>
      </c>
      <c r="E255" s="2" t="inlineStr">
        <is>
          <t>2025-06</t>
        </is>
      </c>
      <c r="F255" s="2" t="inlineStr">
        <is>
          <t>CVF Open Access 自動收錄；指標待人工驗證。DyFCLT: Dynamic Frequency-Decoupled Cross-Modal Learning Transformer for Multimodal Tiny Object Detection</t>
        </is>
      </c>
      <c r="G255" s="9" t="inlineStr">
        <is>
          <t>https://openaccess.thecvf.com/content/CVPR2026/html/Li_DyFCLT_Dynamic_Frequency-Decoupled_Cross-Modal_Learning_Transformer_for_Multimodal_Tiny_Object_CVPR_2026_paper.html</t>
        </is>
      </c>
      <c r="H255" s="9" t="inlineStr">
        <is>
          <t>N/A</t>
        </is>
      </c>
    </row>
    <row r="256">
      <c r="A256" s="2" t="inlineStr">
        <is>
          <t>General OD</t>
        </is>
      </c>
      <c r="B256" s="2" t="inlineStr">
        <is>
          <t>Distribution-Aligned Multimodal Fusion for Robust Object Det</t>
        </is>
      </c>
      <c r="C256" s="2" t="inlineStr">
        <is>
          <t>—</t>
        </is>
      </c>
      <c r="D256" s="2" t="inlineStr">
        <is>
          <t>CVPR 2026</t>
        </is>
      </c>
      <c r="E256" s="2" t="inlineStr">
        <is>
          <t>2025-06</t>
        </is>
      </c>
      <c r="F256" s="2" t="inlineStr">
        <is>
          <t>CVF Open Access 自動收錄；指標待人工驗證。Distribution-Aligned Multimodal Fusion for Robust Object Detection</t>
        </is>
      </c>
      <c r="G256" s="9" t="inlineStr">
        <is>
          <t>https://openaccess.thecvf.com/content/CVPR2026/html/Hao_Distribution-Aligned_Multimodal_Fusion_for_Robust_Object_Detection_CVPR_2026_paper.html</t>
        </is>
      </c>
      <c r="H256" s="9" t="inlineStr">
        <is>
          <t>N/A</t>
        </is>
      </c>
    </row>
    <row r="257">
      <c r="A257" s="2" t="inlineStr">
        <is>
          <t>Few-Shot OD</t>
        </is>
      </c>
      <c r="B257" s="2" t="inlineStr">
        <is>
          <t>SRA-Det</t>
        </is>
      </c>
      <c r="C257" s="2" t="inlineStr">
        <is>
          <t>—</t>
        </is>
      </c>
      <c r="D257" s="2" t="inlineStr">
        <is>
          <t>CVPR 2026</t>
        </is>
      </c>
      <c r="E257" s="2" t="inlineStr">
        <is>
          <t>2025-06</t>
        </is>
      </c>
      <c r="F257" s="2" t="inlineStr">
        <is>
          <t>CVF Open Access 自動收錄；指標待人工驗證。SRA-Det: Learning Omni-Grained Open-Vocabulary Detection Beyond Category Names</t>
        </is>
      </c>
      <c r="G257" s="9" t="inlineStr">
        <is>
          <t>https://openaccess.thecvf.com/content/CVPR2026/html/Yang_SRA-Det_Learning_Omni-Grained_Open-Vocabulary_Detection_Beyond_Category_Names_CVPR_2026_paper.html</t>
        </is>
      </c>
      <c r="H257" s="9" t="inlineStr">
        <is>
          <t>N/A</t>
        </is>
      </c>
    </row>
    <row r="258">
      <c r="A258" s="2" t="inlineStr">
        <is>
          <t>General OD</t>
        </is>
      </c>
      <c r="B258" s="2" t="inlineStr">
        <is>
          <t>Unleashing the Power of Chain-of-Prediction for Monocular 3D</t>
        </is>
      </c>
      <c r="C258" s="2" t="inlineStr">
        <is>
          <t>—</t>
        </is>
      </c>
      <c r="D258" s="2" t="inlineStr">
        <is>
          <t>CVPR 2026</t>
        </is>
      </c>
      <c r="E258" s="2" t="inlineStr">
        <is>
          <t>2025-06</t>
        </is>
      </c>
      <c r="F258" s="2" t="inlineStr">
        <is>
          <t>CVF Open Access 自動收錄；指標待人工驗證。Unleashing the Power of Chain-of-Prediction for Monocular 3D Object Detection</t>
        </is>
      </c>
      <c r="G258" s="9" t="inlineStr">
        <is>
          <t>https://openaccess.thecvf.com/content/CVPR2026/html/Zhang_Unleashing_the_Power_of_Chain-of-Prediction_for_Monocular_3D_Object_Detection_CVPR_2026_paper.html</t>
        </is>
      </c>
      <c r="H258" s="9" t="inlineStr">
        <is>
          <t>N/A</t>
        </is>
      </c>
    </row>
    <row r="259">
      <c r="A259" s="2" t="inlineStr">
        <is>
          <t>General OD</t>
        </is>
      </c>
      <c r="B259" s="2" t="inlineStr">
        <is>
          <t>Visual Prototype Conditioned Focal Region Generation for UAV</t>
        </is>
      </c>
      <c r="C259" s="2" t="inlineStr">
        <is>
          <t>—</t>
        </is>
      </c>
      <c r="D259" s="2" t="inlineStr">
        <is>
          <t>CVPR 2026</t>
        </is>
      </c>
      <c r="E259" s="2" t="inlineStr">
        <is>
          <t>2025-06</t>
        </is>
      </c>
      <c r="F259" s="2" t="inlineStr">
        <is>
          <t>CVF Open Access 自動收錄；指標待人工驗證。Visual Prototype Conditioned Focal Region Generation for UAV-Based Object Detection</t>
        </is>
      </c>
      <c r="G259" s="9" t="inlineStr">
        <is>
          <t>https://openaccess.thecvf.com/content/CVPR2026/html/Li_Visual_Prototype_Conditioned_Focal_Region_Generation_for_UAV-Based_Object_Detection_CVPR_2026_paper.html</t>
        </is>
      </c>
      <c r="H259" s="9" t="inlineStr">
        <is>
          <t>N/A</t>
        </is>
      </c>
    </row>
    <row r="260">
      <c r="A260" s="2" t="inlineStr">
        <is>
          <t>General OD</t>
        </is>
      </c>
      <c r="B260" s="2" t="inlineStr">
        <is>
          <t>SemLT3D</t>
        </is>
      </c>
      <c r="C260" s="2" t="inlineStr">
        <is>
          <t>—</t>
        </is>
      </c>
      <c r="D260" s="2" t="inlineStr">
        <is>
          <t>CVPR 2026</t>
        </is>
      </c>
      <c r="E260" s="2" t="inlineStr">
        <is>
          <t>2025-06</t>
        </is>
      </c>
      <c r="F260" s="2" t="inlineStr">
        <is>
          <t>CVF Open Access 自動收錄；指標待人工驗證。SemLT3D: Semantic-Guided Expert Distillation for Camera-only Long-Tailed 3D Object Detection</t>
        </is>
      </c>
      <c r="G260" s="9" t="inlineStr">
        <is>
          <t>https://openaccess.thecvf.com/content/CVPR2026/html/Vo_SemLT3D_Semantic-Guided_Expert_Distillation_for_Camera-only_Long-Tailed_3D_Object_Detection_CVPR_2026_paper.html</t>
        </is>
      </c>
      <c r="H260" s="9" t="inlineStr">
        <is>
          <t>N/A</t>
        </is>
      </c>
    </row>
    <row r="261">
      <c r="A261" s="2" t="inlineStr">
        <is>
          <t>General OD</t>
        </is>
      </c>
      <c r="B261" s="2" t="inlineStr">
        <is>
          <t>Thermal-Det</t>
        </is>
      </c>
      <c r="C261" s="2" t="inlineStr">
        <is>
          <t>—</t>
        </is>
      </c>
      <c r="D261" s="2" t="inlineStr">
        <is>
          <t>CVPR 2026</t>
        </is>
      </c>
      <c r="E261" s="2" t="inlineStr">
        <is>
          <t>2025-06</t>
        </is>
      </c>
      <c r="F261" s="2" t="inlineStr">
        <is>
          <t>CVF Open Access 自動收錄；指標待人工驗證。Thermal-Det: Language-Guided Cross-Modal Distillation for Open-Vocabulary Thermal Object Detection</t>
        </is>
      </c>
      <c r="G261" s="9" t="inlineStr">
        <is>
          <t>https://openaccess.thecvf.com/content/CVPR2026/html/Ranasinghe_Thermal-Det_Language-Guided_Cross-Modal_Distillation_for_Open-Vocabulary_Thermal_Object_Detection_CVPR_2026_paper.html</t>
        </is>
      </c>
      <c r="H261" s="9" t="inlineStr">
        <is>
          <t>N/A</t>
        </is>
      </c>
    </row>
    <row r="262">
      <c r="A262" s="2" t="inlineStr">
        <is>
          <t>General OD</t>
        </is>
      </c>
      <c r="B262" s="2" t="inlineStr">
        <is>
          <t>Beyond Appearance</t>
        </is>
      </c>
      <c r="C262" s="2" t="inlineStr">
        <is>
          <t>—</t>
        </is>
      </c>
      <c r="D262" s="2" t="inlineStr">
        <is>
          <t>CVPR 2026</t>
        </is>
      </c>
      <c r="E262" s="2" t="inlineStr">
        <is>
          <t>2025-06</t>
        </is>
      </c>
      <c r="F262" s="2" t="inlineStr">
        <is>
          <t>CVF Open Access 自動收錄；指標待人工驗證。Beyond Appearance: Camouflaged Object Detection via Geometric Structure</t>
        </is>
      </c>
      <c r="G262" s="9" t="inlineStr">
        <is>
          <t>https://openaccess.thecvf.com/content/CVPR2026/html/Han_Beyond_Appearance_Camouflaged_Object_Detection_via_Geometric_Structure_CVPR_2026_paper.html</t>
        </is>
      </c>
      <c r="H262" s="9" t="inlineStr">
        <is>
          <t>N/A</t>
        </is>
      </c>
    </row>
    <row r="263">
      <c r="A263" s="2" t="inlineStr">
        <is>
          <t>Real-Time OD</t>
        </is>
      </c>
      <c r="B263" s="2" t="inlineStr">
        <is>
          <t>YOLO-ULM</t>
        </is>
      </c>
      <c r="C263" s="2" t="inlineStr">
        <is>
          <t>—</t>
        </is>
      </c>
      <c r="D263" s="2" t="inlineStr">
        <is>
          <t>CVPR 2026</t>
        </is>
      </c>
      <c r="E263" s="2" t="inlineStr">
        <is>
          <t>2025-06</t>
        </is>
      </c>
      <c r="F263" s="2" t="inlineStr">
        <is>
          <t>CVF Open Access 自動收錄；指標待人工驗證。YOLO-ULM: Ultra-Lightweight Models for Real-Time Object Detection</t>
        </is>
      </c>
      <c r="G263" s="9" t="inlineStr">
        <is>
          <t>https://openaccess.thecvf.com/content/CVPR2026/html/Han_YOLO-ULM_Ultra-Lightweight_Models_for_Real-Time_Object_Detection_CVPR_2026_paper.html</t>
        </is>
      </c>
      <c r="H263" s="9" t="inlineStr">
        <is>
          <t>N/A</t>
        </is>
      </c>
    </row>
    <row r="264">
      <c r="A264" s="2" t="inlineStr">
        <is>
          <t>General OD</t>
        </is>
      </c>
      <c r="B264" s="2" t="inlineStr">
        <is>
          <t>Beyond Prompt Degradation</t>
        </is>
      </c>
      <c r="C264" s="2" t="inlineStr">
        <is>
          <t>—</t>
        </is>
      </c>
      <c r="D264" s="2" t="inlineStr">
        <is>
          <t>CVPR 2026</t>
        </is>
      </c>
      <c r="E264" s="2" t="inlineStr">
        <is>
          <t>2025-06</t>
        </is>
      </c>
      <c r="F264" s="2" t="inlineStr">
        <is>
          <t>CVF Open Access 自動收錄；指標待人工驗證。Beyond Prompt Degradation: Prototype-guided Dual-pool Prompting for Incremental Object Detection</t>
        </is>
      </c>
      <c r="G264" s="9" t="inlineStr">
        <is>
          <t>https://openaccess.thecvf.com/content/CVPR2026/html/Zhang_Beyond_Prompt_Degradation_Prototype-guided_Dual-pool_Prompting_for_Incremental_Object_Detection_CVPR_2026_paper.html</t>
        </is>
      </c>
      <c r="H264" s="9" t="inlineStr">
        <is>
          <t>N/A</t>
        </is>
      </c>
    </row>
    <row r="265">
      <c r="A265" s="2" t="inlineStr">
        <is>
          <t>Few-Shot OD</t>
        </is>
      </c>
      <c r="B265" s="2" t="inlineStr">
        <is>
          <t>WeDetect</t>
        </is>
      </c>
      <c r="C265" s="2" t="inlineStr">
        <is>
          <t>—</t>
        </is>
      </c>
      <c r="D265" s="2" t="inlineStr">
        <is>
          <t>CVPR 2026</t>
        </is>
      </c>
      <c r="E265" s="2" t="inlineStr">
        <is>
          <t>2025-06</t>
        </is>
      </c>
      <c r="F265" s="2" t="inlineStr">
        <is>
          <t>CVF Open Access 自動收錄；指標待人工驗證。WeDetect: Fast Open-Vocabulary Object Detection as Retrieval</t>
        </is>
      </c>
      <c r="G265" s="9" t="inlineStr">
        <is>
          <t>https://openaccess.thecvf.com/content/CVPR2026/html/Fu_WeDetect_Fast_Open-Vocabulary_Object_Detection_as_Retrieval_CVPR_2026_paper.html</t>
        </is>
      </c>
      <c r="H265" s="9" t="inlineStr">
        <is>
          <t>N/A</t>
        </is>
      </c>
    </row>
    <row r="266">
      <c r="A266" s="2" t="inlineStr">
        <is>
          <t>General OD</t>
        </is>
      </c>
      <c r="B266" s="2" t="inlineStr">
        <is>
          <t>Spike-driven Discrete Aggregation for Event-based Object Det</t>
        </is>
      </c>
      <c r="C266" s="2" t="inlineStr">
        <is>
          <t>—</t>
        </is>
      </c>
      <c r="D266" s="2" t="inlineStr">
        <is>
          <t>CVPR 2026</t>
        </is>
      </c>
      <c r="E266" s="2" t="inlineStr">
        <is>
          <t>2025-06</t>
        </is>
      </c>
      <c r="F266" s="2" t="inlineStr">
        <is>
          <t>CVF Open Access 自動收錄；指標待人工驗證。Spike-driven Discrete Aggregation for Event-based Object Detection</t>
        </is>
      </c>
      <c r="G266" s="9" t="inlineStr">
        <is>
          <t>https://openaccess.thecvf.com/content/CVPR2026/html/Li_Spike-driven_Discrete_Aggregation_for_Event-based_Object_Detection_CVPR_2026_paper.html</t>
        </is>
      </c>
      <c r="H266" s="9" t="inlineStr">
        <is>
          <t>N/A</t>
        </is>
      </c>
    </row>
    <row r="267">
      <c r="A267" s="2" t="inlineStr">
        <is>
          <t>General OD</t>
        </is>
      </c>
      <c r="B267" s="2" t="inlineStr">
        <is>
          <t>Boosting Vision-Language Models Towards Cross-Domain Increme</t>
        </is>
      </c>
      <c r="C267" s="2" t="inlineStr">
        <is>
          <t>—</t>
        </is>
      </c>
      <c r="D267" s="2" t="inlineStr">
        <is>
          <t>CVPR 2026</t>
        </is>
      </c>
      <c r="E267" s="2" t="inlineStr">
        <is>
          <t>2025-06</t>
        </is>
      </c>
      <c r="F267" s="2" t="inlineStr">
        <is>
          <t>CVF Open Access 自動收錄；指標待人工驗證。Boosting Vision-Language Models Towards Cross-Domain Incremental Object Detection</t>
        </is>
      </c>
      <c r="G267" s="9" t="inlineStr">
        <is>
          <t>https://openaccess.thecvf.com/content/CVPR2026/html/Wang_Boosting_Vision-Language_Models_Towards_Cross-Domain_Incremental_Object_Detection_CVPR_2026_paper.html</t>
        </is>
      </c>
      <c r="H267" s="9" t="inlineStr">
        <is>
          <t>N/A</t>
        </is>
      </c>
    </row>
    <row r="268">
      <c r="A268" s="2" t="inlineStr">
        <is>
          <t>General OD</t>
        </is>
      </c>
      <c r="B268" s="2" t="inlineStr">
        <is>
          <t>Black-Box Domain Adaptation for Object Detection with Retent</t>
        </is>
      </c>
      <c r="C268" s="2" t="inlineStr">
        <is>
          <t>—</t>
        </is>
      </c>
      <c r="D268" s="2" t="inlineStr">
        <is>
          <t>CVPR 2026</t>
        </is>
      </c>
      <c r="E268" s="2" t="inlineStr">
        <is>
          <t>2025-06</t>
        </is>
      </c>
      <c r="F268" s="2" t="inlineStr">
        <is>
          <t>CVF Open Access 自動收錄；指標待人工驗證。Black-Box Domain Adaptation for Object Detection with Retention-Driven Knowledge Compression</t>
        </is>
      </c>
      <c r="G268" s="9" t="inlineStr">
        <is>
          <t>https://openaccess.thecvf.com/content/CVPR2026/html/Lu_Black-Box_Domain_Adaptation_for_Object_Detection_with_Retention-Driven_Knowledge_Compression_CVPR_2026_paper.html</t>
        </is>
      </c>
      <c r="H268" s="9" t="inlineStr">
        <is>
          <t>N/A</t>
        </is>
      </c>
    </row>
    <row r="269">
      <c r="A269" s="2" t="inlineStr">
        <is>
          <t>Few-Shot OD</t>
        </is>
      </c>
      <c r="B269" s="2" t="inlineStr">
        <is>
          <t>Remedying Target-Domain Astigmatism for Cross-Domain Few-Sho</t>
        </is>
      </c>
      <c r="C269" s="2" t="inlineStr">
        <is>
          <t>—</t>
        </is>
      </c>
      <c r="D269" s="2" t="inlineStr">
        <is>
          <t>CVPR 2026</t>
        </is>
      </c>
      <c r="E269" s="2" t="inlineStr">
        <is>
          <t>2025-06</t>
        </is>
      </c>
      <c r="F269" s="2" t="inlineStr">
        <is>
          <t>CVF Open Access 自動收錄；指標待人工驗證。Remedying Target-Domain Astigmatism for Cross-Domain Few-Shot Object Detection</t>
        </is>
      </c>
      <c r="G269" s="9" t="inlineStr">
        <is>
          <t>https://openaccess.thecvf.com/content/CVPR2026/html/Jiang_Remedying_Target-Domain_Astigmatism_for_Cross-Domain_Few-Shot_Object_Detection_CVPR_2026_paper.html</t>
        </is>
      </c>
      <c r="H269" s="9" t="inlineStr">
        <is>
          <t>N/A</t>
        </is>
      </c>
    </row>
    <row r="270">
      <c r="A270" s="2" t="inlineStr">
        <is>
          <t>General OD</t>
        </is>
      </c>
      <c r="B270" s="2" t="inlineStr">
        <is>
          <t>RAVEN</t>
        </is>
      </c>
      <c r="C270" s="2" t="inlineStr">
        <is>
          <t>—</t>
        </is>
      </c>
      <c r="D270" s="2" t="inlineStr">
        <is>
          <t>CVPR 2026</t>
        </is>
      </c>
      <c r="E270" s="2" t="inlineStr">
        <is>
          <t>2025-06</t>
        </is>
      </c>
      <c r="F270" s="2" t="inlineStr">
        <is>
          <t>CVF Open Access 自動收錄；指標待人工驗證。RAVEN: Radar Adaptive Vision Encoders for Efficient Chirp-wise Object Detection and Segmentation</t>
        </is>
      </c>
      <c r="G270" s="9" t="inlineStr">
        <is>
          <t>https://openaccess.thecvf.com/content/CVPR2026/html/Sen_RAVEN_Radar_Adaptive_Vision_Encoders_for_Efficient_Chirp-wise_Object_Detection_CVPR_2026_paper.html</t>
        </is>
      </c>
      <c r="H270" s="9" t="inlineStr">
        <is>
          <t>N/A</t>
        </is>
      </c>
    </row>
    <row r="271">
      <c r="A271" s="2" t="inlineStr">
        <is>
          <t>General OD</t>
        </is>
      </c>
      <c r="B271" s="2" t="inlineStr">
        <is>
          <t>EW-DETR</t>
        </is>
      </c>
      <c r="C271" s="2" t="inlineStr">
        <is>
          <t>—</t>
        </is>
      </c>
      <c r="D271" s="2" t="inlineStr">
        <is>
          <t>CVPR 2026</t>
        </is>
      </c>
      <c r="E271" s="2" t="inlineStr">
        <is>
          <t>2025-06</t>
        </is>
      </c>
      <c r="F271" s="2" t="inlineStr">
        <is>
          <t>CVF Open Access 自動收錄；指標待人工驗證。EW-DETR: Evolving World Object Detection via Incremental Low-Rank DEtection TRansformer</t>
        </is>
      </c>
      <c r="G271" s="9" t="inlineStr">
        <is>
          <t>https://openaccess.thecvf.com/content/CVPR2026/html/Monga_EW-DETR_Evolving_World_Object_Detection_via_Incremental_Low-Rank_DEtection_TRansformer_CVPR_2026_paper.html</t>
        </is>
      </c>
      <c r="H271" s="9" t="inlineStr">
        <is>
          <t>N/A</t>
        </is>
      </c>
    </row>
    <row r="272">
      <c r="A272" s="2" t="inlineStr">
        <is>
          <t>Few-Shot OD</t>
        </is>
      </c>
      <c r="B272" s="2" t="inlineStr">
        <is>
          <t>NoOVD</t>
        </is>
      </c>
      <c r="C272" s="2" t="inlineStr">
        <is>
          <t>—</t>
        </is>
      </c>
      <c r="D272" s="2" t="inlineStr">
        <is>
          <t>CVPR 2026</t>
        </is>
      </c>
      <c r="E272" s="2" t="inlineStr">
        <is>
          <t>2025-06</t>
        </is>
      </c>
      <c r="F272" s="2" t="inlineStr">
        <is>
          <t>CVF Open Access 自動收錄；指標待人工驗證。NoOVD: Novel Category Discovery and Embedding for Open-Vocabulary Object Detection</t>
        </is>
      </c>
      <c r="G272" s="9" t="inlineStr">
        <is>
          <t>https://openaccess.thecvf.com/content/CVPR2026/html/Zhang_NoOVD_Novel_Category_Discovery_and_Embedding_for_Open-Vocabulary_Object_Detection_CVPR_2026_paper.html</t>
        </is>
      </c>
      <c r="H272" s="9" t="inlineStr">
        <is>
          <t>N/A</t>
        </is>
      </c>
    </row>
    <row r="273">
      <c r="A273" s="2" t="inlineStr">
        <is>
          <t>General OD</t>
        </is>
      </c>
      <c r="B273" s="2" t="inlineStr">
        <is>
          <t>R4Det</t>
        </is>
      </c>
      <c r="C273" s="2" t="inlineStr">
        <is>
          <t>—</t>
        </is>
      </c>
      <c r="D273" s="2" t="inlineStr">
        <is>
          <t>CVPR 2026</t>
        </is>
      </c>
      <c r="E273" s="2" t="inlineStr">
        <is>
          <t>2025-06</t>
        </is>
      </c>
      <c r="F273" s="2" t="inlineStr">
        <is>
          <t>CVF Open Access 自動收錄；指標待人工驗證。R4Det: 4D Radar-Camera Fusion for High-Performance 3D Object Detection</t>
        </is>
      </c>
      <c r="G273" s="9" t="inlineStr">
        <is>
          <t>https://openaccess.thecvf.com/content/CVPR2026/html/Xia_R4Det_4D_Radar-Camera_Fusion_for_High-Performance_3D_Object_Detection_CVPR_2026_paper.html</t>
        </is>
      </c>
      <c r="H273" s="9" t="inlineStr">
        <is>
          <t>N/A</t>
        </is>
      </c>
    </row>
    <row r="274">
      <c r="A274" s="2" t="inlineStr">
        <is>
          <t>General OD</t>
        </is>
      </c>
      <c r="B274" s="2" t="inlineStr">
        <is>
          <t>D2FANet</t>
        </is>
      </c>
      <c r="C274" s="2" t="inlineStr">
        <is>
          <t>—</t>
        </is>
      </c>
      <c r="D274" s="2" t="inlineStr">
        <is>
          <t>CVPR 2026</t>
        </is>
      </c>
      <c r="E274" s="2" t="inlineStr">
        <is>
          <t>2025-06</t>
        </is>
      </c>
      <c r="F274" s="2" t="inlineStr">
        <is>
          <t>CVF Open Access 自動收錄；指標待人工驗證。D2FANet: Enhancing Video Object Detection with Dual-Domain Feature Aggregation Network</t>
        </is>
      </c>
      <c r="G274" s="9" t="inlineStr">
        <is>
          <t>https://openaccess.thecvf.com/content/CVPR2026/html/Qi_D2FANet_Enhancing_Video_Object_Detection_with_Dual-Domain_Feature_Aggregation_Network_CVPR_2026_paper.html</t>
        </is>
      </c>
      <c r="H274" s="9" t="inlineStr">
        <is>
          <t>N/A</t>
        </is>
      </c>
    </row>
    <row r="275">
      <c r="A275" s="2" t="inlineStr">
        <is>
          <t>General OD</t>
        </is>
      </c>
      <c r="B275" s="2" t="inlineStr">
        <is>
          <t>Query2Uncertainty</t>
        </is>
      </c>
      <c r="C275" s="2" t="inlineStr">
        <is>
          <t>—</t>
        </is>
      </c>
      <c r="D275" s="2" t="inlineStr">
        <is>
          <t>CVPR 2026</t>
        </is>
      </c>
      <c r="E275" s="2" t="inlineStr">
        <is>
          <t>2025-06</t>
        </is>
      </c>
      <c r="F275" s="2" t="inlineStr">
        <is>
          <t>CVF Open Access 自動收錄；指標待人工驗證。Query2Uncertainty: Robust Uncertainty Quantification and Calibration for 3D Object Detection under Distribution Shift</t>
        </is>
      </c>
      <c r="G275" s="9" t="inlineStr">
        <is>
          <t>https://openaccess.thecvf.com/content/CVPR2026/html/Beemelmanns_Query2Uncertainty_Robust_Uncertainty_Quantification_and_Calibration_for_3D_Object_Detection_CVPR_2026_paper.html</t>
        </is>
      </c>
      <c r="H275" s="9" t="inlineStr">
        <is>
          <t>N/A</t>
        </is>
      </c>
    </row>
    <row r="276">
      <c r="A276" s="2" t="inlineStr">
        <is>
          <t>Few-Shot OD</t>
        </is>
      </c>
      <c r="B276" s="2" t="inlineStr">
        <is>
          <t>AgentDet</t>
        </is>
      </c>
      <c r="C276" s="2" t="inlineStr">
        <is>
          <t>—</t>
        </is>
      </c>
      <c r="D276" s="2" t="inlineStr">
        <is>
          <t>CVPR 2026</t>
        </is>
      </c>
      <c r="E276" s="2" t="inlineStr">
        <is>
          <t>2025-06</t>
        </is>
      </c>
      <c r="F276" s="2" t="inlineStr">
        <is>
          <t>CVF Open Access 自動收錄；指標待人工驗證。AgentDet: A Shared-Blackboard Multi-Agent Framework for Zero-/Few-Shot Object Detection</t>
        </is>
      </c>
      <c r="G276" s="9" t="inlineStr">
        <is>
          <t>https://openaccess.thecvf.com/content/CVPR2026/html/Li_AgentDet_A_Shared-Blackboard_Multi-Agent_Framework_for_Zero-Few-Shot_Object_Detection_CVPR_2026_paper.html</t>
        </is>
      </c>
      <c r="H276" s="9" t="inlineStr">
        <is>
          <t>N/A</t>
        </is>
      </c>
    </row>
    <row r="277">
      <c r="A277" s="2" t="inlineStr">
        <is>
          <t>General OD</t>
        </is>
      </c>
      <c r="B277" s="2" t="inlineStr">
        <is>
          <t>Heuristic-inspired Reasoning Priors Facilitate Data-Efficien</t>
        </is>
      </c>
      <c r="C277" s="2" t="inlineStr">
        <is>
          <t>—</t>
        </is>
      </c>
      <c r="D277" s="2" t="inlineStr">
        <is>
          <t>CVPR 2026</t>
        </is>
      </c>
      <c r="E277" s="2" t="inlineStr">
        <is>
          <t>2025-06</t>
        </is>
      </c>
      <c r="F277" s="2" t="inlineStr">
        <is>
          <t>CVF Open Access 自動收錄；指標待人工驗證。Heuristic-inspired Reasoning Priors Facilitate Data-Efficient Referring Object Detection</t>
        </is>
      </c>
      <c r="G277" s="9" t="inlineStr">
        <is>
          <t>https://openaccess.thecvf.com/content/CVPR2026/html/Zhang_Heuristic-inspired_Reasoning_Priors_Facilitate_Data-Efficient_Referring_Object_Detection_CVPR_2026_paper.html</t>
        </is>
      </c>
      <c r="H277" s="9" t="inlineStr">
        <is>
          <t>N/A</t>
        </is>
      </c>
    </row>
    <row r="278">
      <c r="A278" s="2" t="inlineStr">
        <is>
          <t>General OD</t>
        </is>
      </c>
      <c r="B278" s="2" t="inlineStr">
        <is>
          <t>Zoo3D</t>
        </is>
      </c>
      <c r="C278" s="2" t="inlineStr">
        <is>
          <t>—</t>
        </is>
      </c>
      <c r="D278" s="2" t="inlineStr">
        <is>
          <t>CVPR 2026</t>
        </is>
      </c>
      <c r="E278" s="2" t="inlineStr">
        <is>
          <t>2025-06</t>
        </is>
      </c>
      <c r="F278" s="2" t="inlineStr">
        <is>
          <t>CVF Open Access 自動收錄；指標待人工驗證。Zoo3D: Zero-Shot 3D Object Detection at Scene Level</t>
        </is>
      </c>
      <c r="G278" s="9" t="inlineStr">
        <is>
          <t>https://openaccess.thecvf.com/content/CVPR2026/html/Lemeshko_Zoo3D_Zero-Shot_3D_Object_Detection_at_Scene_Level_CVPR_2026_paper.html</t>
        </is>
      </c>
      <c r="H278" s="9" t="inlineStr">
        <is>
          <t>N/A</t>
        </is>
      </c>
    </row>
    <row r="279">
      <c r="A279" s="2" t="inlineStr">
        <is>
          <t>General OD</t>
        </is>
      </c>
      <c r="B279" s="2" t="inlineStr">
        <is>
          <t>DA-Mamba</t>
        </is>
      </c>
      <c r="C279" s="2" t="inlineStr">
        <is>
          <t>—</t>
        </is>
      </c>
      <c r="D279" s="2" t="inlineStr">
        <is>
          <t>CVPR 2026</t>
        </is>
      </c>
      <c r="E279" s="2" t="inlineStr">
        <is>
          <t>2025-06</t>
        </is>
      </c>
      <c r="F279" s="2" t="inlineStr">
        <is>
          <t>CVF Open Access 自動收錄；指標待人工驗證。DA-Mamba: Learning Domain-Aware State Space Model for Global-Local Alignment in Domain Adaptive Object Detection</t>
        </is>
      </c>
      <c r="G279" s="9" t="inlineStr">
        <is>
          <t>https://openaccess.thecvf.com/content/CVPR2026/html/Li_DA-Mamba_Learning_Domain-Aware_State_Space_Model_for_Global-Local_Alignment_in_CVPR_2026_paper.html</t>
        </is>
      </c>
      <c r="H279" s="9" t="inlineStr">
        <is>
          <t>N/A</t>
        </is>
      </c>
    </row>
    <row r="280">
      <c r="A280" s="2" t="inlineStr">
        <is>
          <t>General OD</t>
        </is>
      </c>
      <c r="B280" s="2" t="inlineStr">
        <is>
          <t>H^2A^2</t>
        </is>
      </c>
      <c r="C280" s="2" t="inlineStr">
        <is>
          <t>—</t>
        </is>
      </c>
      <c r="D280" s="2" t="inlineStr">
        <is>
          <t>CVPR 2026</t>
        </is>
      </c>
      <c r="E280" s="2" t="inlineStr">
        <is>
          <t>2025-06</t>
        </is>
      </c>
      <c r="F280" s="2" t="inlineStr">
        <is>
          <t>CVF Open Access 自動收錄；指標待人工驗證。H^2A^2: Homogeneity-Aware and Heterogeneity-Aware Feature Perception for Unified Indoor 3D Object Detection</t>
        </is>
      </c>
      <c r="G280" s="9" t="inlineStr">
        <is>
          <t>https://openaccess.thecvf.com/content/CVPR2026/html/Xie_H2A2_Homogeneity-Aware_and_Heterogeneity-Aware_Feature_Perception_for_Unified_Indoor_3D_CVPR_2026_paper.html</t>
        </is>
      </c>
      <c r="H280" s="9" t="inlineStr">
        <is>
          <t>N/A</t>
        </is>
      </c>
    </row>
    <row r="281">
      <c r="A281" s="2" t="inlineStr">
        <is>
          <t>General OD</t>
        </is>
      </c>
      <c r="B281" s="2" t="inlineStr">
        <is>
          <t>Beyond Duality</t>
        </is>
      </c>
      <c r="C281" s="2" t="inlineStr">
        <is>
          <t>—</t>
        </is>
      </c>
      <c r="D281" s="2" t="inlineStr">
        <is>
          <t>CVPR 2026</t>
        </is>
      </c>
      <c r="E281" s="2" t="inlineStr">
        <is>
          <t>2025-06</t>
        </is>
      </c>
      <c r="F281" s="2" t="inlineStr">
        <is>
          <t>CVF Open Access 自動收錄；指標待人工驗證。Beyond Duality: A Hybrid Framework of Leveraging Shared and Private Features for RGB-Event Object Detection</t>
        </is>
      </c>
      <c r="G281" s="9" t="inlineStr">
        <is>
          <t>https://openaccess.thecvf.com/content/CVPR2026/html/Wang_Beyond_Duality_A_Hybrid_Framework_of_Leveraging_Shared_and_Private_CVPR_2026_paper.html</t>
        </is>
      </c>
      <c r="H281" s="9" t="inlineStr">
        <is>
          <t>N/A</t>
        </is>
      </c>
    </row>
    <row r="282">
      <c r="A282" s="2" t="inlineStr">
        <is>
          <t>Few-Shot OD</t>
        </is>
      </c>
      <c r="B282" s="2" t="inlineStr">
        <is>
          <t>A Closer Look at Cross-Domain Few-Shot Object Detection: Fin</t>
        </is>
      </c>
      <c r="C282" s="2" t="inlineStr">
        <is>
          <t>—</t>
        </is>
      </c>
      <c r="D282" s="2" t="inlineStr">
        <is>
          <t>CVPR 2026</t>
        </is>
      </c>
      <c r="E282" s="2" t="inlineStr">
        <is>
          <t>2025-06</t>
        </is>
      </c>
      <c r="F282" s="2" t="inlineStr">
        <is>
          <t>CVF Open Access 自動收錄；指標待人工驗證。A Closer Look at Cross-Domain Few-Shot Object Detection: Fine-Tuning Matters and Parallel Decoder Helps</t>
        </is>
      </c>
      <c r="G282" s="9" t="inlineStr">
        <is>
          <t>https://openaccess.thecvf.com/content/CVPR2026/html/Yu_A_Closer_Look_at_Cross-Domain_Few-Shot_Object_Detection_Fine-Tuning_Matters_CVPR_2026_paper.html</t>
        </is>
      </c>
      <c r="H282" s="9" t="inlineStr">
        <is>
          <t>N/A</t>
        </is>
      </c>
    </row>
    <row r="283">
      <c r="A283" s="2" t="inlineStr">
        <is>
          <t>General OD</t>
        </is>
      </c>
      <c r="B283" s="2" t="inlineStr">
        <is>
          <t>Spe-BEVHead</t>
        </is>
      </c>
      <c r="C283" s="2" t="inlineStr">
        <is>
          <t>—</t>
        </is>
      </c>
      <c r="D283" s="2" t="inlineStr">
        <is>
          <t>CVPR 2026</t>
        </is>
      </c>
      <c r="E283" s="2" t="inlineStr">
        <is>
          <t>2025-06</t>
        </is>
      </c>
      <c r="F283" s="2" t="inlineStr">
        <is>
          <t>CVF Open Access 自動收錄；指標待人工驗證。Spe-BEVHead: Rethinking the Detection Head Design for Bird&amp;#x27;s-Eye-View Object Detection</t>
        </is>
      </c>
      <c r="G283" s="9" t="inlineStr">
        <is>
          <t>https://openaccess.thecvf.com/content/CVPR2026/html/Zhang_Spe-BEVHead_Rethinking_the_Detection_Head_Design_for_Birds-Eye-View_Object_Detection_CVPR_2026_paper.html</t>
        </is>
      </c>
      <c r="H283" s="9" t="inlineStr">
        <is>
          <t>N/A</t>
        </is>
      </c>
    </row>
    <row r="284">
      <c r="A284" s="2" t="inlineStr">
        <is>
          <t>General OD</t>
        </is>
      </c>
      <c r="B284" s="2" t="inlineStr">
        <is>
          <t>RaGS</t>
        </is>
      </c>
      <c r="C284" s="2" t="inlineStr">
        <is>
          <t>—</t>
        </is>
      </c>
      <c r="D284" s="2" t="inlineStr">
        <is>
          <t>CVPR 2026</t>
        </is>
      </c>
      <c r="E284" s="2" t="inlineStr">
        <is>
          <t>2025-06</t>
        </is>
      </c>
      <c r="F284" s="2" t="inlineStr">
        <is>
          <t>CVF Open Access 自動收錄；指標待人工驗證。RaGS: Unleashing 3D Gaussian Splatting from 4D Radar and Monocular Cue for 3D Object Detection</t>
        </is>
      </c>
      <c r="G284" s="9" t="inlineStr">
        <is>
          <t>https://openaccess.thecvf.com/content/CVPR2026/html/Bai_RaGS_Unleashing_3D_Gaussian_Splatting_from_4D_Radar_and_Monocular_CVPR_2026_paper.html</t>
        </is>
      </c>
      <c r="H284" s="9" t="inlineStr">
        <is>
          <t>N/A</t>
        </is>
      </c>
    </row>
    <row r="285">
      <c r="A285" s="2" t="inlineStr">
        <is>
          <t>General OD</t>
        </is>
      </c>
      <c r="B285" s="2" t="inlineStr">
        <is>
          <t>Towards Intrinsic-Aware Monocular 3D Object Detection</t>
        </is>
      </c>
      <c r="C285" s="2" t="inlineStr">
        <is>
          <t>—</t>
        </is>
      </c>
      <c r="D285" s="2" t="inlineStr">
        <is>
          <t>CVPR 2026</t>
        </is>
      </c>
      <c r="E285" s="2" t="inlineStr">
        <is>
          <t>2025-06</t>
        </is>
      </c>
      <c r="F285" s="2" t="inlineStr">
        <is>
          <t>CVF Open Access 自動收錄；指標待人工驗證。Towards Intrinsic-Aware Monocular 3D Object Detection</t>
        </is>
      </c>
      <c r="G285" s="9" t="inlineStr">
        <is>
          <t>https://openaccess.thecvf.com/content/CVPR2026/html/Zhang_Towards_Intrinsic-Aware_Monocular_3D_Object_Detection_CVPR_2026_paper.html</t>
        </is>
      </c>
      <c r="H285" s="9" t="inlineStr">
        <is>
          <t>N/A</t>
        </is>
      </c>
    </row>
    <row r="286">
      <c r="A286" s="2" t="inlineStr">
        <is>
          <t>General OD</t>
        </is>
      </c>
      <c r="B286" s="2" t="inlineStr">
        <is>
          <t>InsCal</t>
        </is>
      </c>
      <c r="C286" s="2" t="inlineStr">
        <is>
          <t>—</t>
        </is>
      </c>
      <c r="D286" s="2" t="inlineStr">
        <is>
          <t>CVPR 2026</t>
        </is>
      </c>
      <c r="E286" s="2" t="inlineStr">
        <is>
          <t>2025-06</t>
        </is>
      </c>
      <c r="F286" s="2" t="inlineStr">
        <is>
          <t>CVF Open Access 自動收錄；指標待人工驗證。InsCal: Calibrated Multi-Source Fully Test-Time Prompt Tuning for Object Detection</t>
        </is>
      </c>
      <c r="G286" s="9" t="inlineStr">
        <is>
          <t>https://openaccess.thecvf.com/content/CVPR2026/html/Que_InsCal_Calibrated_Multi-Source_Fully_Test-Time_Prompt_Tuning_for_Object_Detection_CVPR_2026_paper.html</t>
        </is>
      </c>
      <c r="H286" s="9" t="inlineStr">
        <is>
          <t>N/A</t>
        </is>
      </c>
    </row>
    <row r="287">
      <c r="A287" s="2" t="inlineStr">
        <is>
          <t>RGB Salient OD</t>
        </is>
      </c>
      <c r="B287" s="2" t="inlineStr">
        <is>
          <t>Uncertainty-Aware Modality Fusion for Unaligned RGB-T Salien</t>
        </is>
      </c>
      <c r="C287" s="2" t="inlineStr">
        <is>
          <t>—</t>
        </is>
      </c>
      <c r="D287" s="2" t="inlineStr">
        <is>
          <t>CVPR 2026</t>
        </is>
      </c>
      <c r="E287" s="2" t="inlineStr">
        <is>
          <t>2025-06</t>
        </is>
      </c>
      <c r="F287" s="2" t="inlineStr">
        <is>
          <t>CVF Open Access 自動收錄；指標待人工驗證。Uncertainty-Aware Modality Fusion for Unaligned RGB-T Salient Object Detection</t>
        </is>
      </c>
      <c r="G287" s="9" t="inlineStr">
        <is>
          <t>https://openaccess.thecvf.com/content/CVPR2026/html/Wang_Uncertainty-Aware_Modality_Fusion_for_Unaligned_RGB-T_Salient_Object_Detection_CVPR_2026_paper.html</t>
        </is>
      </c>
      <c r="H287" s="9" t="inlineStr">
        <is>
          <t>N/A</t>
        </is>
      </c>
    </row>
    <row r="288">
      <c r="A288" s="2" t="inlineStr">
        <is>
          <t>General OD</t>
        </is>
      </c>
      <c r="B288" s="2" t="inlineStr">
        <is>
          <t>Parameterized Prompt for Incremental Object Detection</t>
        </is>
      </c>
      <c r="C288" s="2" t="inlineStr">
        <is>
          <t>—</t>
        </is>
      </c>
      <c r="D288" s="2" t="inlineStr">
        <is>
          <t>CVPR 2026</t>
        </is>
      </c>
      <c r="E288" s="2" t="inlineStr">
        <is>
          <t>2025-06</t>
        </is>
      </c>
      <c r="F288" s="2" t="inlineStr">
        <is>
          <t>CVF Open Access 自動收錄；指標待人工驗證。Parameterized Prompt for Incremental Object Detection</t>
        </is>
      </c>
      <c r="G288" s="9" t="inlineStr">
        <is>
          <t>https://openaccess.thecvf.com/content/CVPR2026/html/An_Parameterized_Prompt_for_Incremental_Object_Detection_CVPR_2026_paper.html</t>
        </is>
      </c>
      <c r="H288" s="9" t="inlineStr">
        <is>
          <t>N/A</t>
        </is>
      </c>
    </row>
    <row r="289">
      <c r="A289" s="2" t="inlineStr">
        <is>
          <t>General OD</t>
        </is>
      </c>
      <c r="B289" s="2" t="inlineStr">
        <is>
          <t>Foundation Model Priors Enhance Object Focus in Feature Spac</t>
        </is>
      </c>
      <c r="C289" s="2" t="inlineStr">
        <is>
          <t>—</t>
        </is>
      </c>
      <c r="D289" s="2" t="inlineStr">
        <is>
          <t>CVPR 2026</t>
        </is>
      </c>
      <c r="E289" s="2" t="inlineStr">
        <is>
          <t>2025-06</t>
        </is>
      </c>
      <c r="F289" s="2" t="inlineStr">
        <is>
          <t>CVF Open Access 自動收錄；指標待人工驗證。Foundation Model Priors Enhance Object Focus in Feature Space for Source-Free Object Detection</t>
        </is>
      </c>
      <c r="G289" s="9" t="inlineStr">
        <is>
          <t>https://openaccess.thecvf.com/content/CVPR2026/html/VCR_Foundation_Model_Priors_Enhance_Object_Focus_in_Feature_Space_for_CVPR_2026_paper.html</t>
        </is>
      </c>
      <c r="H289" s="9" t="inlineStr">
        <is>
          <t>N/A</t>
        </is>
      </c>
    </row>
    <row r="290">
      <c r="A290" s="2" t="inlineStr">
        <is>
          <t>General OD</t>
        </is>
      </c>
      <c r="B290" s="2" t="inlineStr">
        <is>
          <t>SToRe3D</t>
        </is>
      </c>
      <c r="C290" s="2" t="inlineStr">
        <is>
          <t>—</t>
        </is>
      </c>
      <c r="D290" s="2" t="inlineStr">
        <is>
          <t>CVPR 2026</t>
        </is>
      </c>
      <c r="E290" s="2" t="inlineStr">
        <is>
          <t>2025-06</t>
        </is>
      </c>
      <c r="F290" s="2" t="inlineStr">
        <is>
          <t>CVF Open Access 自動收錄；指標待人工驗證。SToRe3D: Sparse Token Relevance in ViTs for Efficient Multi-View 3D Object Detection</t>
        </is>
      </c>
      <c r="G290" s="9" t="inlineStr">
        <is>
          <t>https://openaccess.thecvf.com/content/CVPR2026/html/Papais_SToRe3D_Sparse_Token_Relevance_in_ViTs_for_Efficient_Multi-View_3D_CVPR_2026_paper.html</t>
        </is>
      </c>
      <c r="H290" s="9" t="inlineStr">
        <is>
          <t>N/A</t>
        </is>
      </c>
    </row>
    <row r="291">
      <c r="A291" s="2" t="inlineStr">
        <is>
          <t>RGB Salient OD</t>
        </is>
      </c>
      <c r="B291" s="2" t="inlineStr">
        <is>
          <t>Generalizable Co-Salient Object Detection via Mixed Content-</t>
        </is>
      </c>
      <c r="C291" s="2" t="inlineStr">
        <is>
          <t>—</t>
        </is>
      </c>
      <c r="D291" s="2" t="inlineStr">
        <is>
          <t>CVPR 2026</t>
        </is>
      </c>
      <c r="E291" s="2" t="inlineStr">
        <is>
          <t>2025-06</t>
        </is>
      </c>
      <c r="F291" s="2" t="inlineStr">
        <is>
          <t>CVF Open Access 自動收錄；指標待人工驗證。Generalizable Co-Salient Object Detection via Mixed Content-Style Modulation</t>
        </is>
      </c>
      <c r="G291" s="9" t="inlineStr">
        <is>
          <t>https://openaccess.thecvf.com/content/CVPR2026/html/Guo_Generalizable_Co-Salient_Object_Detection_via_Mixed_Content-Style_Modulation_CVPR_2026_paper.html</t>
        </is>
      </c>
      <c r="H291" s="9" t="inlineStr">
        <is>
          <t>N/A</t>
        </is>
      </c>
    </row>
    <row r="292">
      <c r="A292" s="2" t="inlineStr">
        <is>
          <t>General OD</t>
        </is>
      </c>
      <c r="B292" s="2" t="inlineStr">
        <is>
          <t>BDNet</t>
        </is>
      </c>
      <c r="C292" s="2" t="inlineStr">
        <is>
          <t>—</t>
        </is>
      </c>
      <c r="D292" s="2" t="inlineStr">
        <is>
          <t>CVPR 2026</t>
        </is>
      </c>
      <c r="E292" s="2" t="inlineStr">
        <is>
          <t>2025-06</t>
        </is>
      </c>
      <c r="F292" s="2" t="inlineStr">
        <is>
          <t>CVF Open Access 自動收錄；指標待人工驗證。BDNet:Bio-Inspired Dual-Backbone Small Object Detection Network</t>
        </is>
      </c>
      <c r="G292" s="9" t="inlineStr">
        <is>
          <t>https://openaccess.thecvf.com/content/CVPR2026/html/Guan_BDNetBio-Inspired_Dual-Backbone_Small_Object_Detection_Network_CVPR_2026_paper.html</t>
        </is>
      </c>
      <c r="H292" s="9" t="inlineStr">
        <is>
          <t>N/A</t>
        </is>
      </c>
    </row>
    <row r="293">
      <c r="A293" s="2" t="inlineStr">
        <is>
          <t>General OD</t>
        </is>
      </c>
      <c r="B293" s="2" t="inlineStr">
        <is>
          <t>Beyond Weak Supervision</t>
        </is>
      </c>
      <c r="C293" s="2" t="inlineStr">
        <is>
          <t>—</t>
        </is>
      </c>
      <c r="D293" s="2" t="inlineStr">
        <is>
          <t>CVPR 2026</t>
        </is>
      </c>
      <c r="E293" s="2" t="inlineStr">
        <is>
          <t>2025-06</t>
        </is>
      </c>
      <c r="F293" s="2" t="inlineStr">
        <is>
          <t>CVF Open Access 自動收錄；指標待人工驗證。Beyond Weak Supervision: MLLMs-Guided Graded Knowledge Distillation for Unsupervised Camouflaged Object Detection</t>
        </is>
      </c>
      <c r="G293" s="9" t="inlineStr">
        <is>
          <t>https://openaccess.thecvf.com/content/CVPR2026/html/Chen_Beyond_Weak_Supervision_MLLMs-Guided_Graded_Knowledge_Distillation_for_Unsupervised_Camouflaged_CVPR_2026_paper.html</t>
        </is>
      </c>
      <c r="H293" s="9" t="inlineStr">
        <is>
          <t>N/A</t>
        </is>
      </c>
    </row>
    <row r="294">
      <c r="A294" s="2" t="inlineStr">
        <is>
          <t>RGB Salient OD</t>
        </is>
      </c>
      <c r="B294" s="2" t="inlineStr">
        <is>
          <t>M4-SAM</t>
        </is>
      </c>
      <c r="C294" s="2" t="inlineStr">
        <is>
          <t>—</t>
        </is>
      </c>
      <c r="D294" s="2" t="inlineStr">
        <is>
          <t>CVPR 2026</t>
        </is>
      </c>
      <c r="E294" s="2" t="inlineStr">
        <is>
          <t>2025-06</t>
        </is>
      </c>
      <c r="F294" s="2" t="inlineStr">
        <is>
          <t>CVF Open Access 自動收錄；指標待人工驗證。M4-SAM: Multi-Modal Mixture-of-Experts with Memory-Augmented SAM for RGB-D Video Salient Object Detection</t>
        </is>
      </c>
      <c r="G294" s="9" t="inlineStr">
        <is>
          <t>https://openaccess.thecvf.com/content/CVPR2026/html/Liu_M4-SAM_Multi-Modal_Mixture-of-Experts_with_Memory-Augmented_SAM_for_RGB-D_Video_Salient_CVPR_2026_paper.html</t>
        </is>
      </c>
      <c r="H294" s="9" t="inlineStr">
        <is>
          <t>N/A</t>
        </is>
      </c>
    </row>
    <row r="295">
      <c r="A295" s="2" t="inlineStr">
        <is>
          <t>General OD</t>
        </is>
      </c>
      <c r="B295" s="2" t="inlineStr">
        <is>
          <t>Expert-Teacher-Student Collaborative Learning for Domain Ada</t>
        </is>
      </c>
      <c r="C295" s="2" t="inlineStr">
        <is>
          <t>—</t>
        </is>
      </c>
      <c r="D295" s="2" t="inlineStr">
        <is>
          <t>CVPR 2026</t>
        </is>
      </c>
      <c r="E295" s="2" t="inlineStr">
        <is>
          <t>2025-06</t>
        </is>
      </c>
      <c r="F295" s="2" t="inlineStr">
        <is>
          <t>CVF Open Access 自動收錄；指標待人工驗證。Expert-Teacher-Student Collaborative Learning for Domain Adaptive Object Detection</t>
        </is>
      </c>
      <c r="G295" s="9" t="inlineStr">
        <is>
          <t>https://openaccess.thecvf.com/content/CVPR2026/html/Cui_Expert-Teacher-Student_Collaborative_Learning_for_Domain_Adaptive_Object_Detection_CVPR_2026_paper.html</t>
        </is>
      </c>
      <c r="H295" s="9" t="inlineStr">
        <is>
          <t>N/A</t>
        </is>
      </c>
    </row>
    <row r="296">
      <c r="A296" s="2" t="inlineStr">
        <is>
          <t>General OD</t>
        </is>
      </c>
      <c r="B296" s="2" t="inlineStr">
        <is>
          <t>AntiStyler</t>
        </is>
      </c>
      <c r="C296" s="2" t="inlineStr">
        <is>
          <t>—</t>
        </is>
      </c>
      <c r="D296" s="2" t="inlineStr">
        <is>
          <t>CVPR 2026</t>
        </is>
      </c>
      <c r="E296" s="2" t="inlineStr">
        <is>
          <t>2025-06</t>
        </is>
      </c>
      <c r="F296" s="2" t="inlineStr">
        <is>
          <t>CVF Open Access 自動收錄；指標待人工驗證。AntiStyler: Defending Object Detection Models Against Adversarial Patch Attacks Using Style Removal</t>
        </is>
      </c>
      <c r="G296" s="9" t="inlineStr">
        <is>
          <t>https://openaccess.thecvf.com/content/CVPR2026/html/Yankelev_AntiStyler_Defending_Object_Detection_Models_Against_Adversarial_Patch_Attacks_Using_CVPR_2026_paper.html</t>
        </is>
      </c>
      <c r="H296" s="9" t="inlineStr">
        <is>
          <t>N/A</t>
        </is>
      </c>
    </row>
    <row r="297">
      <c r="A297" s="2" t="inlineStr">
        <is>
          <t>General OD</t>
        </is>
      </c>
      <c r="B297" s="2" t="inlineStr">
        <is>
          <t>Partial Weakly-Supervised Oriented Object Detection</t>
        </is>
      </c>
      <c r="C297" s="2" t="inlineStr">
        <is>
          <t>—</t>
        </is>
      </c>
      <c r="D297" s="2" t="inlineStr">
        <is>
          <t>CVPR 2026</t>
        </is>
      </c>
      <c r="E297" s="2" t="inlineStr">
        <is>
          <t>2025-06</t>
        </is>
      </c>
      <c r="F297" s="2" t="inlineStr">
        <is>
          <t>CVF Open Access 自動收錄；指標待人工驗證。Partial Weakly-Supervised Oriented Object Detection</t>
        </is>
      </c>
      <c r="G297" s="9" t="inlineStr">
        <is>
          <t>https://openaccess.thecvf.com/content/CVPR2026/html/Liu_Partial_Weakly-Supervised_Oriented_Object_Detection_CVPR_2026_paper.html</t>
        </is>
      </c>
      <c r="H297" s="9" t="inlineStr">
        <is>
          <t>N/A</t>
        </is>
      </c>
    </row>
    <row r="298">
      <c r="A298" s="2" t="inlineStr">
        <is>
          <t>General OD</t>
        </is>
      </c>
      <c r="B298" s="2" t="inlineStr">
        <is>
          <t>Incremental Object Detection via Future-Aware Decoupled Cros</t>
        </is>
      </c>
      <c r="C298" s="2" t="inlineStr">
        <is>
          <t>—</t>
        </is>
      </c>
      <c r="D298" s="2" t="inlineStr">
        <is>
          <t>CVPR 2026</t>
        </is>
      </c>
      <c r="E298" s="2" t="inlineStr">
        <is>
          <t>2025-06</t>
        </is>
      </c>
      <c r="F298" s="2" t="inlineStr">
        <is>
          <t>CVF Open Access 自動收錄；指標待人工驗證。Incremental Object Detection via Future-Aware Decoupled Cross-Head Distillation</t>
        </is>
      </c>
      <c r="G298" s="9" t="inlineStr">
        <is>
          <t>https://openaccess.thecvf.com/content/CVPR2026/html/Yin_Incremental_Object_Detection_via_Future-Aware_Decoupled_Cross-Head_Distillation_CVPR_2026_paper.html</t>
        </is>
      </c>
      <c r="H298" s="9" t="inlineStr">
        <is>
          <t>N/A</t>
        </is>
      </c>
    </row>
    <row r="299">
      <c r="A299" s="2" t="inlineStr">
        <is>
          <t>General OD</t>
        </is>
      </c>
      <c r="B299" s="2" t="inlineStr">
        <is>
          <t>Few-Shot Incremental 3D Object Detection in Dynamic Indoor E</t>
        </is>
      </c>
      <c r="C299" s="2" t="inlineStr">
        <is>
          <t>—</t>
        </is>
      </c>
      <c r="D299" s="2" t="inlineStr">
        <is>
          <t>CVPR 2026</t>
        </is>
      </c>
      <c r="E299" s="2" t="inlineStr">
        <is>
          <t>2025-06</t>
        </is>
      </c>
      <c r="F299" s="2" t="inlineStr">
        <is>
          <t>CVF Open Access 自動收錄；指標待人工驗證。Few-Shot Incremental 3D Object Detection in Dynamic Indoor Environments</t>
        </is>
      </c>
      <c r="G299" s="9" t="inlineStr">
        <is>
          <t>https://openaccess.thecvf.com/content/CVPR2026/html/Zhu_Few-Shot_Incremental_3D_Object_Detection_in_Dynamic_Indoor_Environments_CVPR_2026_paper.html</t>
        </is>
      </c>
      <c r="H299" s="9" t="inlineStr">
        <is>
          <t>N/A</t>
        </is>
      </c>
    </row>
    <row r="300">
      <c r="A300" s="2" t="inlineStr">
        <is>
          <t>General OD</t>
        </is>
      </c>
      <c r="B300" s="2" t="inlineStr">
        <is>
          <t>CD-Buffer</t>
        </is>
      </c>
      <c r="C300" s="2" t="inlineStr">
        <is>
          <t>—</t>
        </is>
      </c>
      <c r="D300" s="2" t="inlineStr">
        <is>
          <t>CVPR 2026</t>
        </is>
      </c>
      <c r="E300" s="2" t="inlineStr">
        <is>
          <t>2025-06</t>
        </is>
      </c>
      <c r="F300" s="2" t="inlineStr">
        <is>
          <t>CVF Open Access 自動收錄；指標待人工驗證。CD-Buffer: Complementary Dual-Buffer Framework for Test-Time Adaptation in Adverse Weather Object Detection</t>
        </is>
      </c>
      <c r="G300" s="9" t="inlineStr">
        <is>
          <t>https://openaccess.thecvf.com/content/CVPR2026/html/Song_CD-Buffer_Complementary_Dual-Buffer_Framework_for_Test-Time_Adaptation_in_Adverse_Weather_CVPR_2026_paper.html</t>
        </is>
      </c>
      <c r="H300" s="9" t="inlineStr">
        <is>
          <t>N/A</t>
        </is>
      </c>
    </row>
    <row r="301">
      <c r="A301" s="2" t="inlineStr">
        <is>
          <t>General OD</t>
        </is>
      </c>
      <c r="B301" s="2" t="inlineStr">
        <is>
          <t>VGGT-Det</t>
        </is>
      </c>
      <c r="C301" s="2" t="inlineStr">
        <is>
          <t>—</t>
        </is>
      </c>
      <c r="D301" s="2" t="inlineStr">
        <is>
          <t>CVPR 2026</t>
        </is>
      </c>
      <c r="E301" s="2" t="inlineStr">
        <is>
          <t>2025-06</t>
        </is>
      </c>
      <c r="F301" s="2" t="inlineStr">
        <is>
          <t>CVF Open Access 自動收錄；指標待人工驗證。VGGT-Det: Mining VGGT Internal Priors for Sensor-Geometry-Free Multi-View Indoor 3D Object Detection</t>
        </is>
      </c>
      <c r="G301" s="9" t="inlineStr">
        <is>
          <t>https://openaccess.thecvf.com/content/CVPR2026/html/Cao_VGGT-Det_Mining_VGGT_Internal_Priors_for_Sensor-Geometry-Free_Multi-View_Indoor_3D_CVPR_2026_paper.html</t>
        </is>
      </c>
      <c r="H301" s="9" t="inlineStr">
        <is>
          <t>N/A</t>
        </is>
      </c>
    </row>
    <row r="302">
      <c r="A302" s="2" t="inlineStr">
        <is>
          <t>General OD</t>
        </is>
      </c>
      <c r="B302" s="2" t="inlineStr">
        <is>
          <t>Online Data Curation for Object Detection via Marginal Contr</t>
        </is>
      </c>
      <c r="C302" s="2" t="inlineStr">
        <is>
          <t>—</t>
        </is>
      </c>
      <c r="D302" s="2" t="inlineStr">
        <is>
          <t>CVPR 2026</t>
        </is>
      </c>
      <c r="E302" s="2" t="inlineStr">
        <is>
          <t>2025-06</t>
        </is>
      </c>
      <c r="F302" s="2" t="inlineStr">
        <is>
          <t>CVF Open Access 自動收錄；指標待人工驗證。Online Data Curation for Object Detection via Marginal Contributions to Dataset-level Average Precision</t>
        </is>
      </c>
      <c r="G302" s="9" t="inlineStr">
        <is>
          <t>https://openaccess.thecvf.com/content/CVPR2026/html/Sun_Online_Data_Curation_for_Object_Detection_via_Marginal_Contributions_to_CVPR_2026_paper.html</t>
        </is>
      </c>
      <c r="H302" s="9" t="inlineStr">
        <is>
          <t>N/A</t>
        </is>
      </c>
    </row>
    <row r="303">
      <c r="A303" s="2" t="inlineStr">
        <is>
          <t>General OD</t>
        </is>
      </c>
      <c r="B303" s="2" t="inlineStr">
        <is>
          <t>RARE</t>
        </is>
      </c>
      <c r="C303" s="2" t="inlineStr">
        <is>
          <t>—</t>
        </is>
      </c>
      <c r="D303" s="2" t="inlineStr">
        <is>
          <t>CVPR 2026</t>
        </is>
      </c>
      <c r="E303" s="2" t="inlineStr">
        <is>
          <t>2025-06</t>
        </is>
      </c>
      <c r="F303" s="2" t="inlineStr">
        <is>
          <t>CVF Open Access 自動收錄；指標待人工驗證。RARE: Learn to RAnk and REtrieve for Monocular 3D Object Detection</t>
        </is>
      </c>
      <c r="G303" s="9" t="inlineStr">
        <is>
          <t>https://openaccess.thecvf.com/content/CVPR2026/html/Park_RARE_Learn_to_RAnk_and_REtrieve_for_Monocular_3D_Object_CVPR_2026_paper.html</t>
        </is>
      </c>
      <c r="H303" s="9" t="inlineStr">
        <is>
          <t>N/A</t>
        </is>
      </c>
    </row>
    <row r="304">
      <c r="A304" s="2" t="inlineStr">
        <is>
          <t>General OD</t>
        </is>
      </c>
      <c r="B304" s="2" t="inlineStr">
        <is>
          <t>Detecting Unknown Objects via Energy-based Separation for Op</t>
        </is>
      </c>
      <c r="C304" s="2" t="inlineStr">
        <is>
          <t>—</t>
        </is>
      </c>
      <c r="D304" s="2" t="inlineStr">
        <is>
          <t>CVPR 2026</t>
        </is>
      </c>
      <c r="E304" s="2" t="inlineStr">
        <is>
          <t>2025-06</t>
        </is>
      </c>
      <c r="F304" s="2" t="inlineStr">
        <is>
          <t>CVF Open Access 自動收錄；指標待人工驗證。Detecting Unknown Objects via Energy-based Separation for Open World Object Detection</t>
        </is>
      </c>
      <c r="G304" s="9" t="inlineStr">
        <is>
          <t>https://openaccess.thecvf.com/content/CVPR2026/html/Heo_Detecting_Unknown_Objects_via_Energy-based_Separation_for_Open_World_Object_CVPR_2026_paper.html</t>
        </is>
      </c>
      <c r="H304" s="9" t="inlineStr">
        <is>
          <t>N/A</t>
        </is>
      </c>
    </row>
  </sheetData>
  <autoFilter ref="A1:H84"/>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G41" r:id="rId79"/>
    <hyperlink xmlns:r="http://schemas.openxmlformats.org/officeDocument/2006/relationships" ref="H41" r:id="rId80"/>
    <hyperlink xmlns:r="http://schemas.openxmlformats.org/officeDocument/2006/relationships" ref="G42" r:id="rId81"/>
    <hyperlink xmlns:r="http://schemas.openxmlformats.org/officeDocument/2006/relationships" ref="H42" r:id="rId82"/>
    <hyperlink xmlns:r="http://schemas.openxmlformats.org/officeDocument/2006/relationships" ref="G43" r:id="rId83"/>
    <hyperlink xmlns:r="http://schemas.openxmlformats.org/officeDocument/2006/relationships" ref="H43" r:id="rId84"/>
    <hyperlink xmlns:r="http://schemas.openxmlformats.org/officeDocument/2006/relationships" ref="G44" r:id="rId85"/>
    <hyperlink xmlns:r="http://schemas.openxmlformats.org/officeDocument/2006/relationships" ref="H44" r:id="rId86"/>
    <hyperlink xmlns:r="http://schemas.openxmlformats.org/officeDocument/2006/relationships" ref="G45" r:id="rId87"/>
    <hyperlink xmlns:r="http://schemas.openxmlformats.org/officeDocument/2006/relationships" ref="H45" r:id="rId88"/>
    <hyperlink xmlns:r="http://schemas.openxmlformats.org/officeDocument/2006/relationships" ref="G46" r:id="rId89"/>
    <hyperlink xmlns:r="http://schemas.openxmlformats.org/officeDocument/2006/relationships" ref="H46" r:id="rId90"/>
    <hyperlink xmlns:r="http://schemas.openxmlformats.org/officeDocument/2006/relationships" ref="G47" r:id="rId91"/>
    <hyperlink xmlns:r="http://schemas.openxmlformats.org/officeDocument/2006/relationships" ref="H47" r:id="rId92"/>
    <hyperlink xmlns:r="http://schemas.openxmlformats.org/officeDocument/2006/relationships" ref="G48" r:id="rId93"/>
    <hyperlink xmlns:r="http://schemas.openxmlformats.org/officeDocument/2006/relationships" ref="H48" r:id="rId94"/>
    <hyperlink xmlns:r="http://schemas.openxmlformats.org/officeDocument/2006/relationships" ref="G49" r:id="rId95"/>
    <hyperlink xmlns:r="http://schemas.openxmlformats.org/officeDocument/2006/relationships" ref="H49" r:id="rId96"/>
    <hyperlink xmlns:r="http://schemas.openxmlformats.org/officeDocument/2006/relationships" ref="G50" r:id="rId97"/>
    <hyperlink xmlns:r="http://schemas.openxmlformats.org/officeDocument/2006/relationships" ref="H50" r:id="rId98"/>
    <hyperlink xmlns:r="http://schemas.openxmlformats.org/officeDocument/2006/relationships" ref="G51" r:id="rId99"/>
    <hyperlink xmlns:r="http://schemas.openxmlformats.org/officeDocument/2006/relationships" ref="H51" r:id="rId100"/>
    <hyperlink xmlns:r="http://schemas.openxmlformats.org/officeDocument/2006/relationships" ref="G52" r:id="rId101"/>
    <hyperlink xmlns:r="http://schemas.openxmlformats.org/officeDocument/2006/relationships" ref="H52" r:id="rId102"/>
    <hyperlink xmlns:r="http://schemas.openxmlformats.org/officeDocument/2006/relationships" ref="G53" r:id="rId103"/>
    <hyperlink xmlns:r="http://schemas.openxmlformats.org/officeDocument/2006/relationships" ref="H53" r:id="rId104"/>
    <hyperlink xmlns:r="http://schemas.openxmlformats.org/officeDocument/2006/relationships" ref="G54" r:id="rId105"/>
    <hyperlink xmlns:r="http://schemas.openxmlformats.org/officeDocument/2006/relationships" ref="H54" r:id="rId106"/>
    <hyperlink xmlns:r="http://schemas.openxmlformats.org/officeDocument/2006/relationships" ref="G55" r:id="rId107"/>
    <hyperlink xmlns:r="http://schemas.openxmlformats.org/officeDocument/2006/relationships" ref="H55" r:id="rId108"/>
    <hyperlink xmlns:r="http://schemas.openxmlformats.org/officeDocument/2006/relationships" ref="G56" r:id="rId109"/>
    <hyperlink xmlns:r="http://schemas.openxmlformats.org/officeDocument/2006/relationships" ref="H56" r:id="rId110"/>
    <hyperlink xmlns:r="http://schemas.openxmlformats.org/officeDocument/2006/relationships" ref="G57" r:id="rId111"/>
    <hyperlink xmlns:r="http://schemas.openxmlformats.org/officeDocument/2006/relationships" ref="H57" r:id="rId112"/>
    <hyperlink xmlns:r="http://schemas.openxmlformats.org/officeDocument/2006/relationships" ref="G58" r:id="rId113"/>
    <hyperlink xmlns:r="http://schemas.openxmlformats.org/officeDocument/2006/relationships" ref="H58" r:id="rId114"/>
    <hyperlink xmlns:r="http://schemas.openxmlformats.org/officeDocument/2006/relationships" ref="G59" r:id="rId115"/>
    <hyperlink xmlns:r="http://schemas.openxmlformats.org/officeDocument/2006/relationships" ref="H59" r:id="rId116"/>
    <hyperlink xmlns:r="http://schemas.openxmlformats.org/officeDocument/2006/relationships" ref="G60" r:id="rId117"/>
    <hyperlink xmlns:r="http://schemas.openxmlformats.org/officeDocument/2006/relationships" ref="H60" r:id="rId118"/>
    <hyperlink xmlns:r="http://schemas.openxmlformats.org/officeDocument/2006/relationships" ref="G61" r:id="rId119"/>
    <hyperlink xmlns:r="http://schemas.openxmlformats.org/officeDocument/2006/relationships" ref="H61" r:id="rId120"/>
    <hyperlink xmlns:r="http://schemas.openxmlformats.org/officeDocument/2006/relationships" ref="G62" r:id="rId121"/>
    <hyperlink xmlns:r="http://schemas.openxmlformats.org/officeDocument/2006/relationships" ref="H62" r:id="rId122"/>
    <hyperlink xmlns:r="http://schemas.openxmlformats.org/officeDocument/2006/relationships" ref="G63" r:id="rId123"/>
    <hyperlink xmlns:r="http://schemas.openxmlformats.org/officeDocument/2006/relationships" ref="H63" r:id="rId124"/>
    <hyperlink xmlns:r="http://schemas.openxmlformats.org/officeDocument/2006/relationships" ref="G64" r:id="rId125"/>
    <hyperlink xmlns:r="http://schemas.openxmlformats.org/officeDocument/2006/relationships" ref="H64" r:id="rId126"/>
    <hyperlink xmlns:r="http://schemas.openxmlformats.org/officeDocument/2006/relationships" ref="G65" r:id="rId127"/>
    <hyperlink xmlns:r="http://schemas.openxmlformats.org/officeDocument/2006/relationships" ref="H65" r:id="rId128"/>
    <hyperlink xmlns:r="http://schemas.openxmlformats.org/officeDocument/2006/relationships" ref="G66" r:id="rId129"/>
    <hyperlink xmlns:r="http://schemas.openxmlformats.org/officeDocument/2006/relationships" ref="H66" r:id="rId130"/>
    <hyperlink xmlns:r="http://schemas.openxmlformats.org/officeDocument/2006/relationships" ref="G67" r:id="rId131"/>
    <hyperlink xmlns:r="http://schemas.openxmlformats.org/officeDocument/2006/relationships" ref="H67" r:id="rId132"/>
    <hyperlink xmlns:r="http://schemas.openxmlformats.org/officeDocument/2006/relationships" ref="G68" r:id="rId133"/>
    <hyperlink xmlns:r="http://schemas.openxmlformats.org/officeDocument/2006/relationships" ref="H68" r:id="rId134"/>
    <hyperlink xmlns:r="http://schemas.openxmlformats.org/officeDocument/2006/relationships" ref="G69" r:id="rId135"/>
    <hyperlink xmlns:r="http://schemas.openxmlformats.org/officeDocument/2006/relationships" ref="H69" r:id="rId136"/>
    <hyperlink xmlns:r="http://schemas.openxmlformats.org/officeDocument/2006/relationships" ref="G70" r:id="rId137"/>
    <hyperlink xmlns:r="http://schemas.openxmlformats.org/officeDocument/2006/relationships" ref="H70" r:id="rId138"/>
    <hyperlink xmlns:r="http://schemas.openxmlformats.org/officeDocument/2006/relationships" ref="G71" r:id="rId139"/>
    <hyperlink xmlns:r="http://schemas.openxmlformats.org/officeDocument/2006/relationships" ref="H71" r:id="rId140"/>
    <hyperlink xmlns:r="http://schemas.openxmlformats.org/officeDocument/2006/relationships" ref="G72" r:id="rId141"/>
    <hyperlink xmlns:r="http://schemas.openxmlformats.org/officeDocument/2006/relationships" ref="H72" r:id="rId142"/>
    <hyperlink xmlns:r="http://schemas.openxmlformats.org/officeDocument/2006/relationships" ref="G73" r:id="rId143"/>
    <hyperlink xmlns:r="http://schemas.openxmlformats.org/officeDocument/2006/relationships" ref="H73" r:id="rId144"/>
    <hyperlink xmlns:r="http://schemas.openxmlformats.org/officeDocument/2006/relationships" ref="G74" r:id="rId145"/>
    <hyperlink xmlns:r="http://schemas.openxmlformats.org/officeDocument/2006/relationships" ref="H74" r:id="rId146"/>
    <hyperlink xmlns:r="http://schemas.openxmlformats.org/officeDocument/2006/relationships" ref="G75" r:id="rId147"/>
    <hyperlink xmlns:r="http://schemas.openxmlformats.org/officeDocument/2006/relationships" ref="H75" r:id="rId148"/>
    <hyperlink xmlns:r="http://schemas.openxmlformats.org/officeDocument/2006/relationships" ref="G76" r:id="rId149"/>
    <hyperlink xmlns:r="http://schemas.openxmlformats.org/officeDocument/2006/relationships" ref="H76" r:id="rId150"/>
    <hyperlink xmlns:r="http://schemas.openxmlformats.org/officeDocument/2006/relationships" ref="G77" r:id="rId151"/>
    <hyperlink xmlns:r="http://schemas.openxmlformats.org/officeDocument/2006/relationships" ref="H77" r:id="rId152"/>
    <hyperlink xmlns:r="http://schemas.openxmlformats.org/officeDocument/2006/relationships" ref="G78" r:id="rId153"/>
    <hyperlink xmlns:r="http://schemas.openxmlformats.org/officeDocument/2006/relationships" ref="H78" r:id="rId154"/>
    <hyperlink xmlns:r="http://schemas.openxmlformats.org/officeDocument/2006/relationships" ref="G79" r:id="rId155"/>
    <hyperlink xmlns:r="http://schemas.openxmlformats.org/officeDocument/2006/relationships" ref="H79" r:id="rId156"/>
    <hyperlink xmlns:r="http://schemas.openxmlformats.org/officeDocument/2006/relationships" ref="G80" r:id="rId157"/>
    <hyperlink xmlns:r="http://schemas.openxmlformats.org/officeDocument/2006/relationships" ref="H80" r:id="rId158"/>
    <hyperlink xmlns:r="http://schemas.openxmlformats.org/officeDocument/2006/relationships" ref="G81" r:id="rId159"/>
    <hyperlink xmlns:r="http://schemas.openxmlformats.org/officeDocument/2006/relationships" ref="H81" r:id="rId160"/>
    <hyperlink xmlns:r="http://schemas.openxmlformats.org/officeDocument/2006/relationships" ref="G82" r:id="rId161"/>
    <hyperlink xmlns:r="http://schemas.openxmlformats.org/officeDocument/2006/relationships" ref="H82" r:id="rId162"/>
    <hyperlink xmlns:r="http://schemas.openxmlformats.org/officeDocument/2006/relationships" ref="G83" r:id="rId163"/>
    <hyperlink xmlns:r="http://schemas.openxmlformats.org/officeDocument/2006/relationships" ref="H83" r:id="rId164"/>
    <hyperlink xmlns:r="http://schemas.openxmlformats.org/officeDocument/2006/relationships" ref="G84" r:id="rId165"/>
    <hyperlink xmlns:r="http://schemas.openxmlformats.org/officeDocument/2006/relationships" ref="H84" r:id="rId16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tabSelected="1" workbookViewId="0">
      <pane ySplit="1" topLeftCell="A3" activePane="bottomLeft" state="frozen"/>
      <selection pane="bottomLeft" activeCell="B13" sqref="B13"/>
    </sheetView>
  </sheetViews>
  <sheetFormatPr baseColWidth="8" defaultRowHeight="15.75"/>
  <cols>
    <col width="28" customWidth="1" min="1" max="2"/>
    <col width="40" customWidth="1" min="3" max="4"/>
    <col width="70" customWidth="1" min="5" max="5"/>
  </cols>
  <sheetData>
    <row r="1" ht="36" customHeight="1">
      <c r="A1" s="1" t="inlineStr">
        <is>
          <t>分類 / Category</t>
        </is>
      </c>
      <c r="B1" s="1" t="inlineStr">
        <is>
          <t>資料集 Sheet</t>
        </is>
      </c>
      <c r="C1" s="1" t="inlineStr">
        <is>
          <t>主要排序指標 Primary Metric</t>
        </is>
      </c>
      <c r="D1" s="1" t="inlineStr">
        <is>
          <t>補充指標 Supplementary</t>
        </is>
      </c>
      <c r="E1" s="1" t="inlineStr">
        <is>
          <t>備註 Notes</t>
        </is>
      </c>
    </row>
    <row r="2" ht="32.1" customHeight="1">
      <c r="A2" s="2" t="inlineStr">
        <is>
          <t>General OD</t>
        </is>
      </c>
      <c r="B2" s="9">
        <f>HYPERLINK("#'COCO test-dev'!A1","COCO test-dev")</f>
        <v/>
      </c>
      <c r="C2" s="2" t="inlineStr">
        <is>
          <t>COCO box AP / mAP (IoU 0.50:0.95)</t>
        </is>
      </c>
      <c r="D2" s="2" t="inlineStr">
        <is>
          <t>AP50, AP75</t>
        </is>
      </c>
      <c r="E2" s="2" t="inlineStr">
        <is>
          <t>Standard supervised benchmark</t>
        </is>
      </c>
    </row>
    <row r="3" ht="32.1" customHeight="1">
      <c r="A3" s="2" t="inlineStr">
        <is>
          <t>General OD</t>
        </is>
      </c>
      <c r="B3" s="9">
        <f>HYPERLINK("#'COCO minival'!A1","COCO minival")</f>
        <v/>
      </c>
      <c r="C3" s="2" t="inlineStr">
        <is>
          <t>COCO box AP</t>
        </is>
      </c>
      <c r="D3" s="2" t="n"/>
      <c r="E3" s="2" t="inlineStr">
        <is>
          <t>Different split from test-dev — do not mix</t>
        </is>
      </c>
    </row>
    <row r="4" ht="32.1" customHeight="1">
      <c r="A4" s="2" t="inlineStr">
        <is>
          <t>General OD</t>
        </is>
      </c>
      <c r="B4" s="9">
        <f>HYPERLINK("#'COCO 2017 val'!A1","COCO 2017 val")</f>
        <v/>
      </c>
      <c r="C4" s="2" t="inlineStr">
        <is>
          <t>COCO box AP</t>
        </is>
      </c>
      <c r="D4" s="2" t="n"/>
      <c r="E4" s="2" t="inlineStr">
        <is>
          <t>val2017</t>
        </is>
      </c>
    </row>
    <row r="5" ht="32.1" customHeight="1">
      <c r="A5" s="2" t="inlineStr">
        <is>
          <t>General OD</t>
        </is>
      </c>
      <c r="B5" s="9">
        <f>HYPERLINK("#'COCO 2017'!A1","COCO 2017")</f>
        <v/>
      </c>
      <c r="C5" s="2" t="inlineStr">
        <is>
          <t>COCO box AP</t>
        </is>
      </c>
      <c r="D5" s="2" t="n"/>
      <c r="E5" s="2" t="inlineStr">
        <is>
          <t>Combined 2017 train/val results</t>
        </is>
      </c>
    </row>
    <row r="6" ht="32.1" customHeight="1">
      <c r="A6" s="2" t="inlineStr">
        <is>
          <t>General OD</t>
        </is>
      </c>
      <c r="B6" s="9">
        <f>HYPERLINK("#'COCO-O'!A1","COCO-O")</f>
        <v/>
      </c>
      <c r="C6" s="2" t="inlineStr">
        <is>
          <t>Effective robustness AP</t>
        </is>
      </c>
      <c r="D6" s="2" t="n"/>
      <c r="E6" s="2" t="inlineStr">
        <is>
          <t>Out-of-distribution; numbers not comparable to standard COCO</t>
        </is>
      </c>
    </row>
    <row r="7" ht="32.1" customHeight="1">
      <c r="A7" s="2" t="inlineStr">
        <is>
          <t>General OD</t>
        </is>
      </c>
      <c r="B7" s="9">
        <f>HYPERLINK("#'PASCAL VOC 2007'!A1","PASCAL VOC 2007")</f>
        <v/>
      </c>
      <c r="C7" s="2" t="inlineStr">
        <is>
          <t>mAP@0.5 (AP50)</t>
        </is>
      </c>
      <c r="D7" s="2" t="n"/>
      <c r="E7" s="2" t="inlineStr">
        <is>
          <t>AP50 is the dataset's primary metric — not COCO mAP</t>
        </is>
      </c>
    </row>
    <row r="8" ht="32.1" customHeight="1">
      <c r="A8" s="2" t="inlineStr">
        <is>
          <t>General OD</t>
        </is>
      </c>
      <c r="B8" s="9">
        <f>HYPERLINK("#'CrowdHuman'!A1","CrowdHuman")</f>
        <v/>
      </c>
      <c r="C8" s="2" t="inlineStr">
        <is>
          <t>AP / log-MR</t>
        </is>
      </c>
      <c r="D8" s="2" t="inlineStr">
        <is>
          <t>JI, MR-2</t>
        </is>
      </c>
      <c r="E8" s="2" t="inlineStr">
        <is>
          <t>Crowd detection metric; MR lower is better</t>
        </is>
      </c>
    </row>
    <row r="9" ht="32.1" customHeight="1">
      <c r="A9" s="2" t="inlineStr">
        <is>
          <t>General OD</t>
        </is>
      </c>
      <c r="B9" s="9">
        <f>HYPERLINK("#'GraZPEDWRI-DX'!A1","GraZPEDWRI-DX")</f>
        <v/>
      </c>
      <c r="C9" s="2" t="inlineStr">
        <is>
          <t>mAP@0.5</t>
        </is>
      </c>
      <c r="D9" s="2" t="n"/>
      <c r="E9" s="2" t="inlineStr">
        <is>
          <t>Pediatric wrist X-ray; AP50-style metric</t>
        </is>
      </c>
    </row>
    <row r="10" ht="32.1" customHeight="1">
      <c r="A10" s="2" t="inlineStr">
        <is>
          <t>General OD</t>
        </is>
      </c>
      <c r="B10" s="9">
        <f>HYPERLINK("#'CPPE-5'!A1","CPPE-5")</f>
        <v/>
      </c>
      <c r="C10" s="2" t="inlineStr">
        <is>
          <t>mAP@0.5</t>
        </is>
      </c>
      <c r="D10" s="2" t="n"/>
      <c r="E10" s="2" t="inlineStr">
        <is>
          <t>Medical PPE detection; AP50-style</t>
        </is>
      </c>
    </row>
    <row r="11" ht="32.1" customHeight="1">
      <c r="A11" s="2" t="inlineStr">
        <is>
          <t>General OD</t>
        </is>
      </c>
      <c r="B11" s="9">
        <f>HYPERLINK("#'Waymo 2D'!A1","Waymo 2D")</f>
        <v/>
      </c>
      <c r="C11" s="2" t="inlineStr">
        <is>
          <t>Waymo 2D AP</t>
        </is>
      </c>
      <c r="D11" s="2" t="n"/>
      <c r="E11" s="2" t="inlineStr">
        <is>
          <t>Waymo Open Dataset 2D detection (NOT 3D)</t>
        </is>
      </c>
    </row>
    <row r="12" ht="32.1" customHeight="1">
      <c r="A12" s="3" t="inlineStr">
        <is>
          <t>Real-Time OD</t>
        </is>
      </c>
      <c r="B12" s="6">
        <f>HYPERLINK("#'Argoverse-HD FS Val'!A1","Argoverse-HD FS Val")</f>
        <v/>
      </c>
      <c r="C12" s="3" t="inlineStr">
        <is>
          <t>Streaming AP (sAP)</t>
        </is>
      </c>
      <c r="D12" s="3" t="inlineStr">
        <is>
          <t>FPS, latency, hardware</t>
        </is>
      </c>
      <c r="E12" s="3" t="inlineStr">
        <is>
          <t>Full-Stack Val split</t>
        </is>
      </c>
    </row>
    <row r="13" ht="32.1" customHeight="1">
      <c r="A13" s="3" t="inlineStr">
        <is>
          <t>Real-Time OD</t>
        </is>
      </c>
      <c r="B13" s="6">
        <f>HYPERLINK("#'Argoverse-HD DO Val'!A1","Argoverse-HD DO Val")</f>
        <v/>
      </c>
      <c r="C13" s="3" t="inlineStr">
        <is>
          <t>Streaming AP (sAP)</t>
        </is>
      </c>
      <c r="D13" s="3" t="inlineStr">
        <is>
          <t>FPS, latency, hardware</t>
        </is>
      </c>
      <c r="E13" s="3" t="inlineStr">
        <is>
          <t>Detection-Only Val split</t>
        </is>
      </c>
    </row>
    <row r="14" ht="32.1" customHeight="1">
      <c r="A14" s="3" t="inlineStr">
        <is>
          <t>Real-Time OD</t>
        </is>
      </c>
      <c r="B14" s="6">
        <f>HYPERLINK("#'Argoverse-HD DO Test'!A1","Argoverse-HD DO Test")</f>
        <v/>
      </c>
      <c r="C14" s="3" t="inlineStr">
        <is>
          <t>Streaming AP (sAP)</t>
        </is>
      </c>
      <c r="D14" s="3" t="inlineStr">
        <is>
          <t>FPS, latency, hardware</t>
        </is>
      </c>
      <c r="E14" s="3" t="inlineStr">
        <is>
          <t>Detection-Only Test split</t>
        </is>
      </c>
    </row>
    <row r="15" ht="32.1" customHeight="1">
      <c r="A15" s="3" t="inlineStr">
        <is>
          <t>Real-Time OD</t>
        </is>
      </c>
      <c r="B15" s="6">
        <f>HYPERLINK("#'Argoverse-HD FS Test'!A1","Argoverse-HD FS Test")</f>
        <v/>
      </c>
      <c r="C15" s="3" t="inlineStr">
        <is>
          <t>Streaming AP (sAP)</t>
        </is>
      </c>
      <c r="D15" s="3" t="inlineStr">
        <is>
          <t>FPS, latency, hardware</t>
        </is>
      </c>
      <c r="E15" s="3" t="inlineStr">
        <is>
          <t>Full-Stack Test split</t>
        </is>
      </c>
    </row>
    <row r="16" ht="32.1" customHeight="1">
      <c r="A16" s="4" t="inlineStr">
        <is>
          <t>RGB Salient OD</t>
        </is>
      </c>
      <c r="B16" s="7">
        <f>HYPERLINK("#'DUTS-TE'!A1","DUTS-TE")</f>
        <v/>
      </c>
      <c r="C16" s="4" t="inlineStr">
        <is>
          <t>S-measure / Fβ / E-measure / MAE</t>
        </is>
      </c>
      <c r="D16" s="4" t="n"/>
      <c r="E16" s="4" t="inlineStr">
        <is>
          <t>S/E/F higher better; MAE lower better</t>
        </is>
      </c>
    </row>
    <row r="17" ht="32.1" customHeight="1">
      <c r="A17" s="4" t="inlineStr">
        <is>
          <t>RGB Salient OD</t>
        </is>
      </c>
      <c r="B17" s="7">
        <f>HYPERLINK("#'DUT-OMRON'!A1","DUT-OMRON")</f>
        <v/>
      </c>
      <c r="C17" s="4" t="inlineStr">
        <is>
          <t>S / Fβ / E / MAE</t>
        </is>
      </c>
      <c r="D17" s="4" t="n"/>
      <c r="E17" s="4" t="inlineStr">
        <is>
          <t>Same metric set as DUTS-TE</t>
        </is>
      </c>
    </row>
    <row r="18" ht="32.1" customHeight="1">
      <c r="A18" s="4" t="inlineStr">
        <is>
          <t>RGB Salient OD</t>
        </is>
      </c>
      <c r="B18" s="7">
        <f>HYPERLINK("#'ECSSD'!A1","ECSSD")</f>
        <v/>
      </c>
      <c r="C18" s="4" t="inlineStr">
        <is>
          <t>S / Fβ / E / MAE</t>
        </is>
      </c>
      <c r="D18" s="4" t="n"/>
      <c r="E18" s="4" t="n"/>
    </row>
    <row r="19" ht="32.1" customHeight="1">
      <c r="A19" s="4" t="inlineStr">
        <is>
          <t>RGB Salient OD</t>
        </is>
      </c>
      <c r="B19" s="7">
        <f>HYPERLINK("#'HKU-IS'!A1","HKU-IS")</f>
        <v/>
      </c>
      <c r="C19" s="4" t="inlineStr">
        <is>
          <t>S / Fβ / E / MAE</t>
        </is>
      </c>
      <c r="D19" s="4" t="n"/>
      <c r="E19" s="4" t="n"/>
    </row>
    <row r="20" ht="32.1" customHeight="1">
      <c r="A20" s="4" t="inlineStr">
        <is>
          <t>RGB Salient OD</t>
        </is>
      </c>
      <c r="B20" s="7">
        <f>HYPERLINK("#'PASCAL-S'!A1","PASCAL-S")</f>
        <v/>
      </c>
      <c r="C20" s="4" t="inlineStr">
        <is>
          <t>S / Fβ / E / MAE</t>
        </is>
      </c>
      <c r="D20" s="4" t="n"/>
      <c r="E20" s="4" t="n"/>
    </row>
    <row r="21" ht="32.1" customHeight="1">
      <c r="A21" s="4" t="inlineStr">
        <is>
          <t>RGB Salient OD</t>
        </is>
      </c>
      <c r="B21" s="7">
        <f>HYPERLINK("#'HRSOD'!A1","HRSOD")</f>
        <v/>
      </c>
      <c r="C21" s="4" t="inlineStr">
        <is>
          <t>S / Fβ / E / MAE</t>
        </is>
      </c>
      <c r="D21" s="4" t="n"/>
      <c r="E21" s="4" t="inlineStr">
        <is>
          <t>High-resolution SOD</t>
        </is>
      </c>
    </row>
    <row r="22" ht="32.1" customHeight="1">
      <c r="A22" s="4" t="inlineStr">
        <is>
          <t>RGB Salient OD</t>
        </is>
      </c>
      <c r="B22" s="7">
        <f>HYPERLINK("#'DAVIS-S'!A1","DAVIS-S")</f>
        <v/>
      </c>
      <c r="C22" s="4" t="inlineStr">
        <is>
          <t>S / Fβ / E / MAE</t>
        </is>
      </c>
      <c r="D22" s="4" t="n"/>
      <c r="E22" s="4" t="inlineStr">
        <is>
          <t>Sequence-derived SOD</t>
        </is>
      </c>
    </row>
    <row r="23" ht="32.1" customHeight="1">
      <c r="A23" s="4" t="inlineStr">
        <is>
          <t>RGB Salient OD</t>
        </is>
      </c>
      <c r="B23" s="7">
        <f>HYPERLINK("#'UHRSD'!A1","UHRSD")</f>
        <v/>
      </c>
      <c r="C23" s="4" t="inlineStr">
        <is>
          <t>S / Fβ / E / MAE</t>
        </is>
      </c>
      <c r="D23" s="4" t="n"/>
      <c r="E23" s="4" t="inlineStr">
        <is>
          <t>Ultra-high-res SOD</t>
        </is>
      </c>
    </row>
    <row r="24" ht="32.1" customHeight="1">
      <c r="A24" s="4" t="inlineStr">
        <is>
          <t>RGB Salient OD</t>
        </is>
      </c>
      <c r="B24" s="7">
        <f>HYPERLINK("#'SBU-Refine'!A1","SBU-Refine")</f>
        <v/>
      </c>
      <c r="C24" s="4" t="inlineStr">
        <is>
          <t>S / Fβ / E / MAE</t>
        </is>
      </c>
      <c r="D24" s="4" t="n"/>
      <c r="E24" s="4" t="inlineStr">
        <is>
          <t>Shadow detection adjacent; verify per paper</t>
        </is>
      </c>
    </row>
    <row r="25" ht="32.1" customHeight="1">
      <c r="A25" s="4" t="inlineStr">
        <is>
          <t>RGB Salient OD</t>
        </is>
      </c>
      <c r="B25" s="7">
        <f>HYPERLINK("#'ISTD'!A1","ISTD")</f>
        <v/>
      </c>
      <c r="C25" s="4" t="inlineStr">
        <is>
          <t>S / Fβ / E / MAE</t>
        </is>
      </c>
      <c r="D25" s="4" t="n"/>
      <c r="E25" s="4" t="inlineStr">
        <is>
          <t>Shadow detection adjacent; verify per paper</t>
        </is>
      </c>
    </row>
    <row r="26" ht="32.1" customHeight="1">
      <c r="A26" s="4" t="inlineStr">
        <is>
          <t>RGB Salient OD</t>
        </is>
      </c>
      <c r="B26" s="7">
        <f>HYPERLINK("#'CAMO-FS'!A1","CAMO-FS")</f>
        <v/>
      </c>
      <c r="C26" s="4" t="inlineStr">
        <is>
          <t>AP (CD-FSOD setting)</t>
        </is>
      </c>
      <c r="D26" s="4" t="n"/>
      <c r="E26" s="4" t="inlineStr">
        <is>
          <t>Grouped here per user spec; CAMO-FS uses AP not S/E/F/MAE — comparability flagged</t>
        </is>
      </c>
    </row>
    <row r="27" ht="32.1" customHeight="1">
      <c r="A27" s="5" t="inlineStr">
        <is>
          <t>Few-Shot OD</t>
        </is>
      </c>
      <c r="B27" s="8">
        <f>HYPERLINK("#'PASCAL VOC 2007 15+5'!A1","PASCAL VOC 2007 15+5")</f>
        <v/>
      </c>
      <c r="C27" s="5" t="inlineStr">
        <is>
          <t>mAP / base AP / novel AP</t>
        </is>
      </c>
      <c r="D27" s="5" t="n"/>
      <c r="E27" s="5" t="inlineStr">
        <is>
          <t>Class-incremental 15+5 split; do not mix splits</t>
        </is>
      </c>
    </row>
    <row r="28" ht="32.1" customHeight="1">
      <c r="A28" s="5" t="inlineStr">
        <is>
          <t>Few-Shot OD</t>
        </is>
      </c>
      <c r="B28" s="8">
        <f>HYPERLINK("#'MS-COCO 1-shot'!A1","MS-COCO 1-shot")</f>
        <v/>
      </c>
      <c r="C28" s="5" t="inlineStr">
        <is>
          <t>novel AP</t>
        </is>
      </c>
      <c r="D28" s="5" t="inlineStr">
        <is>
          <t>AP50</t>
        </is>
      </c>
      <c r="E28" s="5" t="inlineStr">
        <is>
          <t>1-shot setting must not mix with other shots</t>
        </is>
      </c>
    </row>
    <row r="29" ht="32.1" customHeight="1">
      <c r="A29" s="5" t="inlineStr">
        <is>
          <t>Few-Shot OD</t>
        </is>
      </c>
      <c r="B29" s="8">
        <f>HYPERLINK("#'MS-COCO 5-shot'!A1","MS-COCO 5-shot")</f>
        <v/>
      </c>
      <c r="C29" s="5" t="inlineStr">
        <is>
          <t>novel AP</t>
        </is>
      </c>
      <c r="D29" s="5" t="inlineStr">
        <is>
          <t>AP50</t>
        </is>
      </c>
      <c r="E29" s="5" t="inlineStr">
        <is>
          <t>5-shot setting must not mix with other shots</t>
        </is>
      </c>
    </row>
    <row r="30" ht="32.1" customHeight="1">
      <c r="A30" s="5" t="inlineStr">
        <is>
          <t>Few-Shot OD</t>
        </is>
      </c>
      <c r="B30" s="8">
        <f>HYPERLINK("#'MS-COCO 10-shot'!A1","MS-COCO 10-shot")</f>
        <v/>
      </c>
      <c r="C30" s="5" t="inlineStr">
        <is>
          <t>novel AP</t>
        </is>
      </c>
      <c r="D30" s="5" t="inlineStr">
        <is>
          <t>AP50</t>
        </is>
      </c>
      <c r="E30" s="5" t="inlineStr">
        <is>
          <t>10-shot setting must not mix with other shots</t>
        </is>
      </c>
    </row>
    <row r="31" ht="32.1" customHeight="1">
      <c r="A31" s="5" t="inlineStr">
        <is>
          <t>Few-Shot OD</t>
        </is>
      </c>
      <c r="B31" s="8">
        <f>HYPERLINK("#'MS-COCO 30-shot'!A1","MS-COCO 30-shot")</f>
        <v/>
      </c>
      <c r="C31" s="5" t="inlineStr">
        <is>
          <t>novel AP</t>
        </is>
      </c>
      <c r="D31" s="5" t="inlineStr">
        <is>
          <t>AP50</t>
        </is>
      </c>
      <c r="E31" s="5" t="inlineStr">
        <is>
          <t>30-shot setting must not mix with other shots</t>
        </is>
      </c>
    </row>
    <row r="32" ht="32.1" customHeight="1">
      <c r="A32" s="5" t="inlineStr">
        <is>
          <t>Few-Shot OD</t>
        </is>
      </c>
      <c r="B32" s="8">
        <f>HYPERLINK("#'COCO 2017 FSOD'!A1","COCO 2017 FSOD")</f>
        <v/>
      </c>
      <c r="C32" s="5" t="inlineStr">
        <is>
          <t>novel AP</t>
        </is>
      </c>
      <c r="D32" s="5" t="inlineStr">
        <is>
          <t>AP</t>
        </is>
      </c>
      <c r="E32" s="5" t="inlineStr">
        <is>
          <t>Generic COCO 2017 FSOD setting; verify shot setting per paper</t>
        </is>
      </c>
    </row>
    <row r="33" ht="32.1" customHeight="1">
      <c r="A33" s="5" t="inlineStr">
        <is>
          <t>Few-Shot OD</t>
        </is>
      </c>
      <c r="B33" s="8">
        <f>HYPERLINK("#'LVIS v1.0 val'!A1","LVIS v1.0 val")</f>
        <v/>
      </c>
      <c r="C33" s="5" t="inlineStr">
        <is>
          <t>AP / AP_rare</t>
        </is>
      </c>
      <c r="D33" s="5" t="n"/>
      <c r="E33" s="5" t="inlineStr">
        <is>
          <t>Long-tail; AP_rare is the FSOD-relevant slice</t>
        </is>
      </c>
    </row>
    <row r="34" ht="32.1" customHeight="1">
      <c r="A34" s="5" t="inlineStr">
        <is>
          <t>Few-Shot OD</t>
        </is>
      </c>
      <c r="B34" s="8">
        <f>HYPERLINK("#'LVIS v1.0 test-dev'!A1","LVIS v1.0 test-dev")</f>
        <v/>
      </c>
      <c r="C34" s="5" t="inlineStr">
        <is>
          <t>AP / AP_rare</t>
        </is>
      </c>
      <c r="D34" s="5" t="n"/>
      <c r="E34" s="5" t="inlineStr">
        <is>
          <t>test-dev split; do not mix with val</t>
        </is>
      </c>
    </row>
    <row r="35" ht="32.1" customHeight="1">
      <c r="A35" s="5" t="inlineStr">
        <is>
          <t>Few-Shot OD</t>
        </is>
      </c>
      <c r="B35" s="8">
        <f>HYPERLINK("#'ODinW-13'!A1","ODinW-13")</f>
        <v/>
      </c>
      <c r="C35" s="5" t="inlineStr">
        <is>
          <t>AP (avg of 13 datasets)</t>
        </is>
      </c>
      <c r="D35" s="5" t="inlineStr">
        <is>
          <t>Zero-shot vs fine-tuned — flag separately</t>
        </is>
      </c>
      <c r="E35" s="5" t="inlineStr">
        <is>
          <t>Object Detection in the Wild — 13 dataset suite</t>
        </is>
      </c>
    </row>
    <row r="36" ht="32.1" customHeight="1">
      <c r="A36" s="5" t="inlineStr">
        <is>
          <t>Few-Shot OD</t>
        </is>
      </c>
      <c r="B36" s="8">
        <f>HYPERLINK("#'ODinW-35'!A1","ODinW-35")</f>
        <v/>
      </c>
      <c r="C36" s="5" t="inlineStr">
        <is>
          <t>AP (avg of 35 datasets)</t>
        </is>
      </c>
      <c r="D36" s="5" t="inlineStr">
        <is>
          <t>Zero-shot vs fine-tuned — flag separately</t>
        </is>
      </c>
      <c r="E36" s="5" t="inlineStr">
        <is>
          <t>Object Detection in the Wild — 35 dataset suite</t>
        </is>
      </c>
    </row>
    <row r="37">
      <c r="A37" t="inlineStr">
        <is>
          <t>Open-World OD</t>
        </is>
      </c>
      <c r="B37">
        <f>HYPERLINK("#'Open-World OD'!A1","Open-World OD")</f>
        <v/>
      </c>
      <c r="C37" t="inlineStr">
        <is>
          <t>U-Recall (unknown) / mAP (known) — M-OWODB</t>
        </is>
      </c>
    </row>
  </sheetData>
  <autoFilter ref="A1:E36"/>
  <hyperlinks>
    <hyperlink ref="B2" location="'COCO test-dev'!A1" display="'COCO test-dev'!A1"/>
    <hyperlink ref="B3" location="'COCO minival'!A1" display="'COCO minival'!A1"/>
    <hyperlink ref="B4" location="'COCO 2017 val'!A1" display="'COCO 2017 val'!A1"/>
    <hyperlink ref="B5" location="'COCO 2017'!A1" display="'COCO 2017'!A1"/>
    <hyperlink ref="B6" location="'COCO-O'!A1" display="'COCO-O'!A1"/>
    <hyperlink ref="B7" location="'PASCAL VOC 2007'!A1" display="'PASCAL VOC 2007'!A1"/>
    <hyperlink ref="B8" location="'CrowdHuman'!A1" display="'CrowdHuman'!A1"/>
    <hyperlink ref="B9" location="'GraZPEDWRI-DX'!A1" display="'GraZPEDWRI-DX'!A1"/>
    <hyperlink ref="B10" location="'CPPE-5'!A1" display="'CPPE-5'!A1"/>
    <hyperlink ref="B11" location="'Waymo 2D'!A1" display="'Waymo 2D'!A1"/>
    <hyperlink ref="B12" location="'Argoverse-HD FS Val'!A1" display="'Argoverse-HD FS Val'!A1"/>
    <hyperlink ref="B13" location="'Argoverse-HD DO Val'!A1" display="'Argoverse-HD DO Val'!A1"/>
    <hyperlink ref="B14" location="'Argoverse-HD DO Test'!A1" display="'Argoverse-HD DO Test'!A1"/>
    <hyperlink ref="B15" location="'Argoverse-HD FS Test'!A1" display="'Argoverse-HD FS Test'!A1"/>
    <hyperlink ref="B16" location="'DUTS-TE'!A1" display="'DUTS-TE'!A1"/>
    <hyperlink ref="B17" location="'DUT-OMRON'!A1" display="'DUT-OMRON'!A1"/>
    <hyperlink ref="B18" location="'ECSSD'!A1" display="'ECSSD'!A1"/>
    <hyperlink ref="B19" location="'HKU-IS'!A1" display="'HKU-IS'!A1"/>
    <hyperlink ref="B20" location="'PASCAL-S'!A1" display="'PASCAL-S'!A1"/>
    <hyperlink ref="B21" location="'HRSOD'!A1" display="'HRSOD'!A1"/>
    <hyperlink ref="B22" location="'DAVIS-S'!A1" display="'DAVIS-S'!A1"/>
    <hyperlink ref="B23" location="'UHRSD'!A1" display="'UHRSD'!A1"/>
    <hyperlink ref="B24" location="'SBU-Refine'!A1" display="'SBU-Refine'!A1"/>
    <hyperlink ref="B25" location="'ISTD'!A1" display="'ISTD'!A1"/>
    <hyperlink ref="B26" location="'CAMO-FS'!A1" display="'CAMO-FS'!A1"/>
    <hyperlink ref="B27" location="'PASCAL VOC 2007 15+5'!A1" display="'PASCAL VOC 2007 15+5'!A1"/>
    <hyperlink ref="B28" location="'MS-COCO 1-shot'!A1" display="'MS-COCO 1-shot'!A1"/>
    <hyperlink ref="B29" location="'MS-COCO 5-shot'!A1" display="'MS-COCO 5-shot'!A1"/>
    <hyperlink ref="B30" location="'MS-COCO 10-shot'!A1" display="'MS-COCO 10-shot'!A1"/>
    <hyperlink ref="B31" location="'MS-COCO 30-shot'!A1" display="'MS-COCO 30-shot'!A1"/>
    <hyperlink ref="B32" location="'COCO 2017 FSOD'!A1" display="'COCO 2017 FSOD'!A1"/>
    <hyperlink ref="B33" location="'LVIS v1.0 val'!A1" display="'LVIS v1.0 val'!A1"/>
    <hyperlink ref="B34" location="'LVIS v1.0 test-dev'!A1" display="'LVIS v1.0 test-dev'!A1"/>
    <hyperlink ref="B35" location="'ODinW-13'!A1" display="'ODinW-13'!A1"/>
    <hyperlink ref="B36" location="'ODinW-35'!A1" display="'ODinW-35'!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ySplit="1" topLeftCell="A5"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66</v>
      </c>
      <c r="H2" s="2" t="inlineStr">
        <is>
          <t>AP=66.0</t>
        </is>
      </c>
      <c r="I2" s="2" t="inlineStr">
        <is>
          <t>N/A</t>
        </is>
      </c>
      <c r="J2" s="2" t="inlineStr">
        <is>
          <t>304M</t>
        </is>
      </c>
      <c r="K2" s="2" t="inlineStr">
        <is>
          <t>✅ verified (Co-DETR ICCV23, arxiv 2211.12860 abstract): 66.0 box AP on COCO test-dev (ViT-L backbone)</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65.40000000000001</v>
      </c>
      <c r="H3" s="2" t="inlineStr">
        <is>
          <t>AP=65.4</t>
        </is>
      </c>
      <c r="I3" s="2" t="inlineStr">
        <is>
          <t>N/A</t>
        </is>
      </c>
      <c r="J3" s="2" t="inlineStr">
        <is>
          <t>≈1.08B</t>
        </is>
      </c>
      <c r="K3" s="2" t="inlineStr">
        <is>
          <t>✅ verified (InternImage CVPR23, arxiv 2211.05778 Table 8): 65.4 box AP on COCO test-dev (InternImage-H backbone)</t>
        </is>
      </c>
      <c r="L3" s="9" t="inlineStr">
        <is>
          <t>https://arxiv.org/abs/2211.05778</t>
        </is>
      </c>
      <c r="M3" s="9" t="inlineStr">
        <is>
          <t>https://github.com/OpenGVLab/InternImage</t>
        </is>
      </c>
    </row>
    <row r="4" ht="48" customHeight="1">
      <c r="A4" s="2" t="inlineStr">
        <is>
          <t>General OD</t>
        </is>
      </c>
      <c r="B4" s="2" t="inlineStr">
        <is>
          <t>EVA-02-Det (ViT-L)</t>
        </is>
      </c>
      <c r="C4" s="2" t="inlineStr">
        <is>
          <t>Fang et al.</t>
        </is>
      </c>
      <c r="D4" s="2" t="inlineStr">
        <is>
          <t>arXiv</t>
        </is>
      </c>
      <c r="E4" s="2" t="inlineStr">
        <is>
          <t>2023-10</t>
        </is>
      </c>
      <c r="F4" s="2" t="inlineStr">
        <is>
          <t>Published</t>
        </is>
      </c>
      <c r="G4" s="2" t="n">
        <v>64.5</v>
      </c>
      <c r="H4" s="2" t="inlineStr">
        <is>
          <t>AP=64.5</t>
        </is>
      </c>
      <c r="I4" s="2" t="inlineStr">
        <is>
          <t>N/A</t>
        </is>
      </c>
      <c r="J4" s="2" t="inlineStr">
        <is>
          <t>≈600M</t>
        </is>
      </c>
      <c r="K4" s="2" t="inlineStr">
        <is>
          <t>✅ verified (EVA-02 arxiv 2303.11331 Table 5): 64.5 box AP on COCO test-dev (ViT-L + cascade)</t>
        </is>
      </c>
      <c r="L4" s="9" t="inlineStr">
        <is>
          <t>https://arxiv.org/abs/2303.11331</t>
        </is>
      </c>
      <c r="M4" s="9" t="inlineStr">
        <is>
          <t>https://github.com/baaivision/EVA</t>
        </is>
      </c>
    </row>
    <row r="5" ht="48" customHeight="1">
      <c r="A5" s="2" t="inlineStr">
        <is>
          <t>General OD</t>
        </is>
      </c>
      <c r="B5" s="2" t="inlineStr">
        <is>
          <t>Group-DETRv2 (ViT-Huge)</t>
        </is>
      </c>
      <c r="C5" s="2" t="n"/>
      <c r="D5" s="2" t="inlineStr">
        <is>
          <t>COCO test-dev</t>
        </is>
      </c>
      <c r="E5" s="2" t="n"/>
      <c r="F5" s="2" t="inlineStr">
        <is>
          <t>已發表</t>
        </is>
      </c>
      <c r="G5" s="2" t="n">
        <v>64.5</v>
      </c>
      <c r="H5" s="2" t="inlineStr">
        <is>
          <t>AP=64.5</t>
        </is>
      </c>
      <c r="I5" s="2" t="n"/>
      <c r="J5" s="2" t="n"/>
      <c r="K5" s="2" t="inlineStr">
        <is>
          <t>✅ verified (read from B-paper InternImage CVPR23 Table 4): COCO test-dev box AP=64.5. test-dev 僅報單一 AP（完整 6 指標分解在 COCO val）</t>
        </is>
      </c>
      <c r="L5" s="9" t="inlineStr">
        <is>
          <t>https://arxiv.org/abs/2211.05778</t>
        </is>
      </c>
      <c r="M5" s="9" t="inlineStr">
        <is>
          <t>https://github.com/xiuqhou/Relation-DETR</t>
        </is>
      </c>
    </row>
    <row r="6" ht="48" customHeight="1">
      <c r="A6" s="2" t="inlineStr">
        <is>
          <t>General OD</t>
        </is>
      </c>
      <c r="B6" s="2" t="inlineStr">
        <is>
          <t>FocalNet-H (DINO)</t>
        </is>
      </c>
      <c r="C6" s="2" t="n"/>
      <c r="D6" s="2" t="inlineStr">
        <is>
          <t>COCO test-dev</t>
        </is>
      </c>
      <c r="E6" s="2" t="n"/>
      <c r="F6" s="2" t="inlineStr">
        <is>
          <t>已發表</t>
        </is>
      </c>
      <c r="G6" s="2" t="n">
        <v>64.3</v>
      </c>
      <c r="H6" s="2" t="inlineStr">
        <is>
          <t>AP=64.3</t>
        </is>
      </c>
      <c r="I6" s="2" t="n"/>
      <c r="J6" s="2" t="n"/>
      <c r="K6" s="2" t="inlineStr">
        <is>
          <t>✅ verified (read from B-paper InternImage CVPR23 Table 4): COCO test-dev box AP=64.3. test-dev 僅報單一 AP（完整 6 指標分解在 COCO val）</t>
        </is>
      </c>
      <c r="L6" s="9" t="inlineStr">
        <is>
          <t>https://arxiv.org/abs/2211.05778</t>
        </is>
      </c>
      <c r="M6" s="9" t="inlineStr">
        <is>
          <t>https://github.com/IDEA-Research/DINO</t>
        </is>
      </c>
    </row>
    <row r="7" ht="48" customHeight="1">
      <c r="A7" s="2" t="inlineStr">
        <is>
          <t>General OD</t>
        </is>
      </c>
      <c r="B7" s="2" t="inlineStr">
        <is>
          <t>FD-SwinV2-G (HTC++)</t>
        </is>
      </c>
      <c r="C7" s="2" t="n"/>
      <c r="D7" s="2" t="inlineStr">
        <is>
          <t>COCO test-dev</t>
        </is>
      </c>
      <c r="E7" s="2" t="n"/>
      <c r="F7" s="2" t="inlineStr">
        <is>
          <t>已發表</t>
        </is>
      </c>
      <c r="G7" s="2" t="n">
        <v>64.2</v>
      </c>
      <c r="H7" s="2" t="inlineStr">
        <is>
          <t>AP=64.2</t>
        </is>
      </c>
      <c r="I7" s="2" t="n"/>
      <c r="J7" s="2" t="n"/>
      <c r="K7" s="2" t="inlineStr">
        <is>
          <t>✅ verified (read from B-paper InternImage CVPR23 Table 4): COCO test-dev box AP=64.2. test-dev 僅報單一 AP（完整 6 指標分解在 COCO val）</t>
        </is>
      </c>
      <c r="L7" s="9" t="inlineStr">
        <is>
          <t>https://arxiv.org/abs/2211.05778</t>
        </is>
      </c>
      <c r="M7" s="9" t="inlineStr">
        <is>
          <t>https://github.com/facebookresearch/detectron2</t>
        </is>
      </c>
    </row>
    <row r="8" ht="48" customHeight="1">
      <c r="A8" s="2" t="inlineStr">
        <is>
          <t>General OD</t>
        </is>
      </c>
      <c r="B8" s="2" t="inlineStr">
        <is>
          <t>BEiT-3 (ViTDet)</t>
        </is>
      </c>
      <c r="C8" s="2" t="n"/>
      <c r="D8" s="2" t="inlineStr">
        <is>
          <t>COCO test-dev</t>
        </is>
      </c>
      <c r="E8" s="2" t="n"/>
      <c r="F8" s="2" t="inlineStr">
        <is>
          <t>已發表</t>
        </is>
      </c>
      <c r="G8" s="2" t="n">
        <v>63.7</v>
      </c>
      <c r="H8" s="2" t="inlineStr">
        <is>
          <t>AP=63.7</t>
        </is>
      </c>
      <c r="I8" s="2" t="n"/>
      <c r="J8" s="2" t="n"/>
      <c r="K8" s="2" t="inlineStr">
        <is>
          <t>✅ verified (read from B-paper InternImage CVPR23 Table 4): COCO test-dev box AP=63.7. test-dev 僅報單一 AP（完整 6 指標分解在 COCO val）</t>
        </is>
      </c>
      <c r="L8" s="9" t="inlineStr">
        <is>
          <t>https://arxiv.org/abs/2211.05778</t>
        </is>
      </c>
      <c r="M8" s="9" t="inlineStr">
        <is>
          <t>https://github.com/microsoft/Swin-Transformer</t>
        </is>
      </c>
    </row>
    <row r="9" ht="48" customHeight="1">
      <c r="A9" s="2" t="inlineStr">
        <is>
          <t>General OD</t>
        </is>
      </c>
      <c r="B9" s="2" t="inlineStr">
        <is>
          <t>Relation-DETR (FocalNet-L)</t>
        </is>
      </c>
      <c r="C9" s="2" t="inlineStr">
        <is>
          <t>Hou et al.</t>
        </is>
      </c>
      <c r="D9" s="2" t="inlineStr">
        <is>
          <t>ECCV</t>
        </is>
      </c>
      <c r="E9" s="2" t="inlineStr">
        <is>
          <t>2024-09</t>
        </is>
      </c>
      <c r="F9" s="2" t="inlineStr">
        <is>
          <t>Published</t>
        </is>
      </c>
      <c r="G9" s="2" t="n">
        <v>63.5</v>
      </c>
      <c r="H9" s="2" t="inlineStr">
        <is>
          <t>AP=63.5</t>
        </is>
      </c>
      <c r="I9" s="2" t="inlineStr">
        <is>
          <t>N/A</t>
        </is>
      </c>
      <c r="J9" s="2" t="inlineStr">
        <is>
          <t>N/A</t>
        </is>
      </c>
      <c r="K9" s="2" t="inlineStr">
        <is>
          <t>✅ verified (Relation-DETR ECCV24, arxiv 2407.11699): 63.5 box AP on COCO test-dev (FocalNet-L backbone)</t>
        </is>
      </c>
      <c r="L9" s="9" t="inlineStr">
        <is>
          <t>https://arxiv.org/abs/2407.11699</t>
        </is>
      </c>
      <c r="M9" s="9" t="inlineStr">
        <is>
          <t>https://github.com/microsoft/FocalNet</t>
        </is>
      </c>
    </row>
    <row r="10" ht="48" customHeight="1">
      <c r="A10" s="2" t="inlineStr">
        <is>
          <t>General OD</t>
        </is>
      </c>
      <c r="B10" s="2" t="inlineStr">
        <is>
          <t>DINO (Swin-L)</t>
        </is>
      </c>
      <c r="C10" s="2" t="inlineStr">
        <is>
          <t>Zhang et al.</t>
        </is>
      </c>
      <c r="D10" s="2" t="inlineStr">
        <is>
          <t>ICLR</t>
        </is>
      </c>
      <c r="E10" s="2" t="inlineStr">
        <is>
          <t>2023-03</t>
        </is>
      </c>
      <c r="F10" s="2" t="inlineStr">
        <is>
          <t>Published</t>
        </is>
      </c>
      <c r="G10" s="2" t="n">
        <v>63.3</v>
      </c>
      <c r="H10" s="2" t="inlineStr">
        <is>
          <t>AP=63.3</t>
        </is>
      </c>
      <c r="I10" s="2" t="inlineStr">
        <is>
          <t>N/A</t>
        </is>
      </c>
      <c r="J10" s="2" t="inlineStr">
        <is>
          <t>218M</t>
        </is>
      </c>
      <c r="K10" s="2" t="inlineStr">
        <is>
          <t>✅ verified (DINO ICLR23, arxiv 2203.03605 abstract): 63.3 box AP on COCO test-dev (Swin-L, 4-scale)</t>
        </is>
      </c>
      <c r="L10" s="9" t="inlineStr">
        <is>
          <t>https://arxiv.org/abs/2203.03605</t>
        </is>
      </c>
      <c r="M10" s="9" t="inlineStr">
        <is>
          <t>https://github.com/facebookresearch/ConvNeXt</t>
        </is>
      </c>
    </row>
    <row r="11" ht="48" customHeight="1">
      <c r="A11" s="2" t="inlineStr">
        <is>
          <t>General OD</t>
        </is>
      </c>
      <c r="B11" s="2" t="inlineStr">
        <is>
          <t>SwinV2-G (HTC++)</t>
        </is>
      </c>
      <c r="C11" s="2" t="n"/>
      <c r="D11" s="2" t="inlineStr">
        <is>
          <t>COCO test-dev</t>
        </is>
      </c>
      <c r="E11" s="2" t="n"/>
      <c r="F11" s="2" t="inlineStr">
        <is>
          <t>已發表</t>
        </is>
      </c>
      <c r="G11" s="2" t="n">
        <v>63.1</v>
      </c>
      <c r="H11" s="2" t="inlineStr">
        <is>
          <t>AP=63.1</t>
        </is>
      </c>
      <c r="I11" s="2" t="n"/>
      <c r="J11" s="2" t="n"/>
      <c r="K11" s="2" t="inlineStr">
        <is>
          <t>✅ verified (read from B-paper InternImage CVPR23 Table 4): COCO test-dev box AP=63.1. test-dev 僅報單一 AP（完整 6 指標分解在 COCO val）</t>
        </is>
      </c>
      <c r="L11" s="9" t="inlineStr">
        <is>
          <t>https://arxiv.org/abs/2211.05778</t>
        </is>
      </c>
      <c r="M11" s="9" t="inlineStr">
        <is>
          <t>https://github.com/google-research/maxvit</t>
        </is>
      </c>
    </row>
    <row r="12" ht="48" customHeight="1">
      <c r="A12" s="2" t="inlineStr">
        <is>
          <t>General OD</t>
        </is>
      </c>
      <c r="B12" s="2" t="inlineStr">
        <is>
          <t>ViT-Adapter (ViT-L, BEiT)</t>
        </is>
      </c>
      <c r="C12" s="2" t="n"/>
      <c r="D12" s="2" t="inlineStr">
        <is>
          <t>COCO test-dev</t>
        </is>
      </c>
      <c r="E12" s="2" t="n"/>
      <c r="F12" s="2" t="inlineStr">
        <is>
          <t>已發表</t>
        </is>
      </c>
      <c r="G12" s="2" t="n">
        <v>62.6</v>
      </c>
      <c r="H12" s="2" t="inlineStr">
        <is>
          <t>AP=62.6</t>
        </is>
      </c>
      <c r="I12" s="2" t="n"/>
      <c r="J12" s="2" t="n"/>
      <c r="K12" s="2" t="inlineStr">
        <is>
          <t>✅ verified (read from B-paper InternImage CVPR23 Table 4): COCO test-dev box AP=62.6. test-dev 僅報單一 AP（完整 6 指標分解在 COCO val）</t>
        </is>
      </c>
      <c r="L12" s="9" t="inlineStr">
        <is>
          <t>https://arxiv.org/abs/2211.05778</t>
        </is>
      </c>
      <c r="M12" s="9" t="inlineStr">
        <is>
          <t>https://github.com/fundamentalvision/Deformable-DETR</t>
        </is>
      </c>
    </row>
    <row r="13" ht="48" customHeight="1">
      <c r="A13" s="2" t="inlineStr">
        <is>
          <t>General OD</t>
        </is>
      </c>
      <c r="B13" s="2" t="inlineStr">
        <is>
          <t>Florence-CoSwin-H (DyHead)</t>
        </is>
      </c>
      <c r="C13" s="2" t="n"/>
      <c r="D13" s="2" t="inlineStr">
        <is>
          <t>COCO test-dev</t>
        </is>
      </c>
      <c r="E13" s="2" t="n"/>
      <c r="F13" s="2" t="inlineStr">
        <is>
          <t>已發表</t>
        </is>
      </c>
      <c r="G13" s="2" t="n">
        <v>62.4</v>
      </c>
      <c r="H13" s="2" t="inlineStr">
        <is>
          <t>AP=62.4</t>
        </is>
      </c>
      <c r="I13" s="2" t="n"/>
      <c r="J13" s="2" t="n"/>
      <c r="K13" s="2" t="inlineStr">
        <is>
          <t>✅ verified (read from B-paper InternImage CVPR23 Table 4): COCO test-dev box AP=62.4. test-dev 僅報單一 AP（完整 6 指標分解在 COCO val）</t>
        </is>
      </c>
      <c r="L13" s="9" t="inlineStr">
        <is>
          <t>https://arxiv.org/abs/2211.05778</t>
        </is>
      </c>
      <c r="M13" s="9" t="inlineStr">
        <is>
          <t>https://github.com/facebookresearch/detr</t>
        </is>
      </c>
    </row>
    <row r="14">
      <c r="A14" s="2" t="inlineStr">
        <is>
          <t>General OD</t>
        </is>
      </c>
      <c r="B14" s="2" t="inlineStr">
        <is>
          <t>ViTDet-H</t>
        </is>
      </c>
      <c r="C14" s="2" t="inlineStr">
        <is>
          <t>Li et al.</t>
        </is>
      </c>
      <c r="D14" s="2" t="inlineStr">
        <is>
          <t>ECCV</t>
        </is>
      </c>
      <c r="E14" s="2" t="inlineStr">
        <is>
          <t>2022-09</t>
        </is>
      </c>
      <c r="F14" s="2" t="inlineStr">
        <is>
          <t>Published</t>
        </is>
      </c>
      <c r="G14" s="2" t="n">
        <v>61.3</v>
      </c>
      <c r="H14" s="2" t="inlineStr">
        <is>
          <t>AP=61.3</t>
        </is>
      </c>
      <c r="I14" s="2" t="inlineStr">
        <is>
          <t>N/A</t>
        </is>
      </c>
      <c r="J14" s="2" t="inlineStr">
        <is>
          <t>≈630M</t>
        </is>
      </c>
      <c r="K14" s="2" t="inlineStr">
        <is>
          <t>✅ verified (ViTDet ECCV22, arxiv 2203.16527): 61.3 box AP on COCO test-dev (ViT-H + cascade)</t>
        </is>
      </c>
      <c r="L14" s="9" t="inlineStr">
        <is>
          <t>https://arxiv.org/abs/2203.16527</t>
        </is>
      </c>
      <c r="M14" s="9" t="inlineStr">
        <is>
          <t>https://github.com/IDEA-Research/GroundingDINO</t>
        </is>
      </c>
    </row>
    <row r="15">
      <c r="A15" s="2" t="inlineStr">
        <is>
          <t>General OD</t>
        </is>
      </c>
      <c r="B15" s="2" t="inlineStr">
        <is>
          <t>Soft-Teacher + Swin-L (HTC++)</t>
        </is>
      </c>
      <c r="C15" s="2" t="n"/>
      <c r="D15" s="2" t="inlineStr">
        <is>
          <t>COCO test-dev</t>
        </is>
      </c>
      <c r="E15" s="2" t="n"/>
      <c r="F15" s="2" t="inlineStr">
        <is>
          <t>已發表</t>
        </is>
      </c>
      <c r="G15" s="2" t="n">
        <v>61.3</v>
      </c>
      <c r="H15" s="2" t="inlineStr">
        <is>
          <t>AP=61.3</t>
        </is>
      </c>
      <c r="I15" s="2" t="n"/>
      <c r="J15" s="2" t="n"/>
      <c r="K15" s="2" t="inlineStr">
        <is>
          <t>✅ verified (read from B-paper InternImage CVPR23 Table 4): COCO test-dev box AP=61.3. test-dev 僅報單一 AP（完整 6 指標分解在 COCO val）</t>
        </is>
      </c>
      <c r="L15" s="9" t="inlineStr">
        <is>
          <t>https://arxiv.org/abs/2211.05778</t>
        </is>
      </c>
      <c r="M15" s="9" t="inlineStr">
        <is>
          <t>https://github.com/lyuwenyu/RT-DETR</t>
        </is>
      </c>
    </row>
    <row r="16">
      <c r="A16" s="2" t="inlineStr">
        <is>
          <t>General OD</t>
        </is>
      </c>
      <c r="B16" s="2" t="inlineStr">
        <is>
          <t>Swin-L Cascade Mask R-CNN (HTC)</t>
        </is>
      </c>
      <c r="C16" s="2" t="inlineStr">
        <is>
          <t>Liu et al.</t>
        </is>
      </c>
      <c r="D16" s="2" t="inlineStr">
        <is>
          <t>ICCV</t>
        </is>
      </c>
      <c r="E16" s="2" t="inlineStr">
        <is>
          <t>2021-08</t>
        </is>
      </c>
      <c r="F16" s="2" t="inlineStr">
        <is>
          <t>Published</t>
        </is>
      </c>
      <c r="G16" s="2" t="n">
        <v>58.7</v>
      </c>
      <c r="H16" s="2" t="inlineStr">
        <is>
          <t>AP=58.7</t>
        </is>
      </c>
      <c r="I16" s="2" t="inlineStr">
        <is>
          <t>N/A</t>
        </is>
      </c>
      <c r="J16" s="2" t="inlineStr">
        <is>
          <t>284M</t>
        </is>
      </c>
      <c r="K16" s="2" t="inlineStr">
        <is>
          <t>✅ verified (Swin Transformer ICCV21, arxiv 2103.14030): 58.7 box AP on COCO test-dev (Swin-L + HTC cascade)</t>
        </is>
      </c>
      <c r="L16" s="9" t="inlineStr">
        <is>
          <t>https://arxiv.org/abs/2103.14030</t>
        </is>
      </c>
      <c r="M16" s="9" t="inlineStr">
        <is>
          <t>https://github.com/PaddlePaddle/PaddleDetection</t>
        </is>
      </c>
    </row>
    <row r="17">
      <c r="A17" s="2" t="inlineStr">
        <is>
          <t>General OD</t>
        </is>
      </c>
      <c r="B17" s="2" t="inlineStr">
        <is>
          <t>Focal-L DINO</t>
        </is>
      </c>
      <c r="C17" s="2" t="inlineStr">
        <is>
          <t>Yang et al.</t>
        </is>
      </c>
      <c r="D17" s="2" t="inlineStr">
        <is>
          <t>ICCV</t>
        </is>
      </c>
      <c r="E17" s="2" t="inlineStr">
        <is>
          <t>2022-03</t>
        </is>
      </c>
      <c r="F17" s="2" t="inlineStr">
        <is>
          <t>Published</t>
        </is>
      </c>
      <c r="G17" s="2" t="n">
        <v>58.4</v>
      </c>
      <c r="H17" s="2" t="inlineStr">
        <is>
          <t>AP=58.4</t>
        </is>
      </c>
      <c r="I17" s="2" t="inlineStr">
        <is>
          <t>N/A</t>
        </is>
      </c>
      <c r="J17" s="2" t="inlineStr">
        <is>
          <t>267M</t>
        </is>
      </c>
      <c r="K17" s="2" t="inlineStr">
        <is>
          <t>⚠️ Focal-L DINO: 值 58.4 無法從 FocalNet 論文 (arxiv 2203.11926) 確認；該論文 FocalNet+DINO 結果為 FocalNet-H DINO 64.4 test-dev/64.3 minival（已另列為 FocalNet-H (DINO) 64.3）。此條目疑似冗餘/誤標，58.4 無可靠來源</t>
        </is>
      </c>
      <c r="L17" s="9" t="inlineStr">
        <is>
          <t>https://arxiv.org/abs/2203.11926</t>
        </is>
      </c>
      <c r="M17" s="9" t="inlineStr">
        <is>
          <t>https://github.com/PeizeSun/SparseR-CNN</t>
        </is>
      </c>
    </row>
    <row r="18">
      <c r="A18" s="2" t="inlineStr">
        <is>
          <t>General OD</t>
        </is>
      </c>
      <c r="B18" s="2" t="inlineStr">
        <is>
          <t>ConvNeXt-XL Cascade</t>
        </is>
      </c>
      <c r="C18" s="2" t="inlineStr">
        <is>
          <t>Liu et al.</t>
        </is>
      </c>
      <c r="D18" s="2" t="inlineStr">
        <is>
          <t>CVPR</t>
        </is>
      </c>
      <c r="E18" s="2" t="inlineStr">
        <is>
          <t>2022-03</t>
        </is>
      </c>
      <c r="F18" s="2" t="inlineStr">
        <is>
          <t>Published</t>
        </is>
      </c>
      <c r="G18" s="2" t="n">
        <v>55.2</v>
      </c>
      <c r="H18" s="2" t="inlineStr">
        <is>
          <t>AP=55.2</t>
        </is>
      </c>
      <c r="I18" s="2" t="inlineStr">
        <is>
          <t>N/A</t>
        </is>
      </c>
      <c r="J18" s="2" t="inlineStr">
        <is>
          <t>350M</t>
        </is>
      </c>
      <c r="K18" s="2" t="inlineStr">
        <is>
          <t>✅ verified (ConvNeXt CVPR22, arxiv 2201.03545 Table 4): 55.2 box AP on COCO test-dev (ConvNeXt-XL + Cascade Mask R-CNN)</t>
        </is>
      </c>
      <c r="L18" s="9" t="inlineStr">
        <is>
          <t>https://arxiv.org/abs/2201.03545</t>
        </is>
      </c>
      <c r="M18" s="9" t="inlineStr">
        <is>
          <t>https://github.com/google/automl/tree/master/efficientdet</t>
        </is>
      </c>
    </row>
    <row r="19">
      <c r="A19" s="2" t="inlineStr">
        <is>
          <t>Real-Time OD</t>
        </is>
      </c>
      <c r="B19" s="2" t="inlineStr">
        <is>
          <t>EfficientDet-D7</t>
        </is>
      </c>
      <c r="C19" s="2" t="inlineStr">
        <is>
          <t>Tan et al.</t>
        </is>
      </c>
      <c r="D19" s="2" t="inlineStr">
        <is>
          <t>CVPR</t>
        </is>
      </c>
      <c r="E19" s="2" t="inlineStr">
        <is>
          <t>2020-06</t>
        </is>
      </c>
      <c r="F19" s="2" t="inlineStr">
        <is>
          <t>Preprint</t>
        </is>
      </c>
      <c r="G19" s="2" t="n">
        <v>55.1</v>
      </c>
      <c r="H19" s="2" t="inlineStr">
        <is>
          <t>AP=55.1</t>
        </is>
      </c>
      <c r="I19" s="2" t="n"/>
      <c r="J19" s="2" t="n"/>
      <c r="K19" s="2" t="inlineStr">
        <is>
          <t>✅ 已驗證 (EfficientDet CVPR20 paper abstract)：EfficientDet-D7 55.1% AP, 77M params, 410B FLOPs [Real-Time OD]</t>
        </is>
      </c>
      <c r="L19" s="9" t="inlineStr">
        <is>
          <t>https://arxiv.org/abs/1911.09070</t>
        </is>
      </c>
      <c r="M19" s="9" t="inlineStr">
        <is>
          <t>https://github.com/xingyizhou/CenterNet</t>
        </is>
      </c>
    </row>
    <row r="20">
      <c r="A20" s="2" t="inlineStr">
        <is>
          <t>Real-Time OD</t>
        </is>
      </c>
      <c r="B20" s="2" t="inlineStr">
        <is>
          <t>PP-YOLOE+ (X)</t>
        </is>
      </c>
      <c r="C20" s="2" t="inlineStr">
        <is>
          <t>Xu et al.</t>
        </is>
      </c>
      <c r="D20" s="2" t="inlineStr">
        <is>
          <t>arXiv</t>
        </is>
      </c>
      <c r="E20" s="2" t="inlineStr">
        <is>
          <t>2022-07</t>
        </is>
      </c>
      <c r="F20" s="2" t="inlineStr">
        <is>
          <t>Preprint</t>
        </is>
      </c>
      <c r="G20" s="2" t="n">
        <v>54.7</v>
      </c>
      <c r="H20" s="2" t="inlineStr">
        <is>
          <t>AP=54.7</t>
        </is>
      </c>
      <c r="I20" s="2" t="n"/>
      <c r="J20" s="2" t="n"/>
      <c r="K20" s="2" t="inlineStr">
        <is>
          <t>✅ 已驗證 (PP-YOLOE+ arXiv22 Table 1)：PP-YOLOE+-X 54.7% AP COCO test-dev [Real-Time OD]</t>
        </is>
      </c>
      <c r="L20" s="9" t="inlineStr">
        <is>
          <t>https://arxiv.org/abs/2203.16250</t>
        </is>
      </c>
      <c r="M20" s="9" t="inlineStr">
        <is>
          <t>https://github.com/zhaoweicai/cascade-rcnn</t>
        </is>
      </c>
    </row>
    <row r="21">
      <c r="A21" s="2" t="inlineStr">
        <is>
          <t>Real-Time OD</t>
        </is>
      </c>
      <c r="B21" s="2" t="inlineStr">
        <is>
          <t>RT-DETR-R101</t>
        </is>
      </c>
      <c r="C21" s="2" t="inlineStr">
        <is>
          <t>Zhao et al.</t>
        </is>
      </c>
      <c r="D21" s="2" t="inlineStr">
        <is>
          <t>CVPR</t>
        </is>
      </c>
      <c r="E21" s="2" t="inlineStr">
        <is>
          <t>2024-06</t>
        </is>
      </c>
      <c r="F21" s="2" t="inlineStr">
        <is>
          <t>Preprint</t>
        </is>
      </c>
      <c r="G21" s="2" t="n">
        <v>54.3</v>
      </c>
      <c r="H21" s="2" t="inlineStr">
        <is>
          <t>AP=54.3</t>
        </is>
      </c>
      <c r="I21" s="2" t="n"/>
      <c r="J21" s="2" t="n"/>
      <c r="K21" s="2" t="inlineStr">
        <is>
          <t>✅ 已驗證 (RT-DETR CVPR24 abstract)：RT-DETR-R101 achieves 54.3% AP on COCO, 74 FPS T4 [Real-Time DETR]</t>
        </is>
      </c>
      <c r="L21" s="9" t="inlineStr">
        <is>
          <t>https://arxiv.org/abs/2304.08069</t>
        </is>
      </c>
      <c r="M21" s="9" t="inlineStr">
        <is>
          <t>https://github.com/facebookresearch/Detectron</t>
        </is>
      </c>
    </row>
    <row r="22">
      <c r="A22" s="2" t="inlineStr">
        <is>
          <t>General OD</t>
        </is>
      </c>
      <c r="B22" s="2" t="inlineStr">
        <is>
          <t>MaxViT-XL Cascade</t>
        </is>
      </c>
      <c r="C22" s="2" t="inlineStr">
        <is>
          <t>Tu et al.</t>
        </is>
      </c>
      <c r="D22" s="2" t="inlineStr">
        <is>
          <t>ECCV</t>
        </is>
      </c>
      <c r="E22" s="2" t="inlineStr">
        <is>
          <t>2022-09</t>
        </is>
      </c>
      <c r="F22" s="2" t="inlineStr">
        <is>
          <t>Published</t>
        </is>
      </c>
      <c r="G22" s="2" t="n">
        <v>53.4</v>
      </c>
      <c r="H22" s="2" t="inlineStr">
        <is>
          <t>AP=53.4</t>
        </is>
      </c>
      <c r="I22" s="2" t="inlineStr">
        <is>
          <t>N/A</t>
        </is>
      </c>
      <c r="J22" s="2" t="inlineStr">
        <is>
          <t>475M</t>
        </is>
      </c>
      <c r="K22" s="2" t="inlineStr">
        <is>
          <t>✅ verified (MaxViT ECCV22, arxiv 2204.01697): 53.4 box AP on COCO (MaxViT-XL + Cascade Mask R-CNN)</t>
        </is>
      </c>
      <c r="L22" s="9" t="inlineStr">
        <is>
          <t>https://arxiv.org/abs/2204.01697</t>
        </is>
      </c>
      <c r="M22" s="9" t="inlineStr">
        <is>
          <t>https://github.com/facebookresearch/maskrcnn-benchmark</t>
        </is>
      </c>
    </row>
    <row r="23">
      <c r="A23" s="2" t="inlineStr">
        <is>
          <t>Few-Shot OD</t>
        </is>
      </c>
      <c r="B23" s="2" t="inlineStr">
        <is>
          <t>Grounding DINO</t>
        </is>
      </c>
      <c r="C23" s="2" t="inlineStr">
        <is>
          <t>Liu et al.</t>
        </is>
      </c>
      <c r="D23" s="2" t="inlineStr">
        <is>
          <t>ECCV</t>
        </is>
      </c>
      <c r="E23" s="2" t="inlineStr">
        <is>
          <t>2024-10</t>
        </is>
      </c>
      <c r="F23" s="2" t="inlineStr">
        <is>
          <t>Preprint</t>
        </is>
      </c>
      <c r="G23" s="2" t="n">
        <v>52.5</v>
      </c>
      <c r="H23" s="2" t="inlineStr">
        <is>
          <t>AP=52.5</t>
        </is>
      </c>
      <c r="I23" s="2" t="n"/>
      <c r="J23" s="2" t="n"/>
      <c r="K23" s="2" t="inlineStr">
        <is>
          <t>✅ 已驗證 (Grounding DINO Table 2, COCO zero-shot)：Grounding DINO-L 52.5% AP zero-shot [Open-Vocab OD]</t>
        </is>
      </c>
      <c r="L23" s="9" t="inlineStr">
        <is>
          <t>https://arxiv.org/abs/2303.05499</t>
        </is>
      </c>
      <c r="M23" s="9" t="inlineStr">
        <is>
          <t>https://github.com/rbgirshick/py-faster-rcnn</t>
        </is>
      </c>
    </row>
    <row r="24">
      <c r="A24" t="inlineStr">
        <is>
          <t>General OD</t>
        </is>
      </c>
      <c r="B24" t="inlineStr">
        <is>
          <t>Sparse R-CNN (R101)</t>
        </is>
      </c>
      <c r="C24" t="inlineStr">
        <is>
          <t>Sun et al.</t>
        </is>
      </c>
      <c r="D24" t="inlineStr">
        <is>
          <t>CVPR</t>
        </is>
      </c>
      <c r="E24" t="inlineStr">
        <is>
          <t>2021-01</t>
        </is>
      </c>
      <c r="F24" t="inlineStr">
        <is>
          <t>Preprint</t>
        </is>
      </c>
      <c r="G24" t="n">
        <v>46.4</v>
      </c>
      <c r="H24" t="inlineStr">
        <is>
          <t>AP=46.4</t>
        </is>
      </c>
      <c r="K24" t="inlineStr">
        <is>
          <t>✅ 已驗證 (Sparse R-CNN CVPR21 Table 1 R101 300 proposals val)：~46.4 AP；test-dev not directly published for R101 (only ResNeXt-101=46.9)</t>
        </is>
      </c>
      <c r="L24" t="inlineStr">
        <is>
          <t>https://arxiv.org/abs/2011.12450</t>
        </is>
      </c>
    </row>
    <row r="25">
      <c r="A25" t="inlineStr">
        <is>
          <t>General OD</t>
        </is>
      </c>
      <c r="B25" t="inlineStr">
        <is>
          <t>Deformable DETR (R50)</t>
        </is>
      </c>
      <c r="C25" t="inlineStr">
        <is>
          <t>Zhu et al.</t>
        </is>
      </c>
      <c r="D25" t="inlineStr">
        <is>
          <t>ICLR</t>
        </is>
      </c>
      <c r="E25" t="inlineStr">
        <is>
          <t>2021-05</t>
        </is>
      </c>
      <c r="F25" t="inlineStr">
        <is>
          <t>Published</t>
        </is>
      </c>
      <c r="G25" t="n">
        <v>46.2</v>
      </c>
      <c r="H25" t="inlineStr">
        <is>
          <t>AP=46.2</t>
        </is>
      </c>
      <c r="I25" t="inlineStr">
        <is>
          <t>19</t>
        </is>
      </c>
      <c r="J25" t="inlineStr">
        <is>
          <t>40M</t>
        </is>
      </c>
      <c r="K25" t="inlineStr">
        <is>
          <t>✅ verified (Deformable DETR ICLR21, arxiv 2010.04159 Table 1): 46.2 box AP on COCO val/test-dev (ResNet-50 + 2-stage + iterative refine)</t>
        </is>
      </c>
      <c r="L25" t="inlineStr">
        <is>
          <t>https://arxiv.org/abs/2010.04159</t>
        </is>
      </c>
    </row>
    <row r="26">
      <c r="A26" t="inlineStr">
        <is>
          <t>General OD</t>
        </is>
      </c>
      <c r="B26" t="inlineStr">
        <is>
          <t>DETR (R101)</t>
        </is>
      </c>
      <c r="C26" t="inlineStr">
        <is>
          <t>Carion et al.</t>
        </is>
      </c>
      <c r="D26" t="inlineStr">
        <is>
          <t>ECCV</t>
        </is>
      </c>
      <c r="E26" t="inlineStr">
        <is>
          <t>2020-09</t>
        </is>
      </c>
      <c r="F26" t="inlineStr">
        <is>
          <t>Published</t>
        </is>
      </c>
      <c r="G26" t="n">
        <v>43.5</v>
      </c>
      <c r="H26" t="inlineStr">
        <is>
          <t>AP=43.5</t>
        </is>
      </c>
      <c r="I26" t="inlineStr">
        <is>
          <t>20</t>
        </is>
      </c>
      <c r="J26" t="inlineStr">
        <is>
          <t>60M</t>
        </is>
      </c>
      <c r="K26" t="inlineStr">
        <is>
          <t>✅ verified (DETR ECCV20, arxiv 2005.12872 Table 1): 43.5 box AP on COCO val (ResNet-101 backbone) — note: original DETR paper reports val, test-dev value approximately same</t>
        </is>
      </c>
      <c r="L26" t="inlineStr">
        <is>
          <t>https://arxiv.org/abs/2005.12872</t>
        </is>
      </c>
    </row>
    <row r="27">
      <c r="A27" t="inlineStr">
        <is>
          <t>General OD</t>
        </is>
      </c>
      <c r="B27" t="inlineStr">
        <is>
          <t>Cascade R-CNN (R101-FPN)</t>
        </is>
      </c>
      <c r="C27" t="inlineStr">
        <is>
          <t>Cai &amp; Vasconcelos</t>
        </is>
      </c>
      <c r="D27" t="inlineStr">
        <is>
          <t>CVPR</t>
        </is>
      </c>
      <c r="E27" t="inlineStr">
        <is>
          <t>2018-06</t>
        </is>
      </c>
      <c r="F27" t="inlineStr">
        <is>
          <t>Preprint</t>
        </is>
      </c>
      <c r="G27" t="n">
        <v>42.8</v>
      </c>
      <c r="H27" t="inlineStr">
        <is>
          <t>AP=42.8</t>
        </is>
      </c>
      <c r="K27" t="inlineStr">
        <is>
          <t>✅ 已驗證 (Cascade R-CNN CVPR18 Table 5)：ResNet-101 backbone 42.8% AP test-dev [Two-Stage Cascade OD]</t>
        </is>
      </c>
      <c r="L27" t="inlineStr">
        <is>
          <t>https://arxiv.org/abs/1712.00726</t>
        </is>
      </c>
    </row>
    <row r="28">
      <c r="A28" t="inlineStr">
        <is>
          <t>General OD</t>
        </is>
      </c>
      <c r="B28" t="inlineStr">
        <is>
          <t>CenterNet</t>
        </is>
      </c>
      <c r="C28" t="inlineStr">
        <is>
          <t>Zhou et al.</t>
        </is>
      </c>
      <c r="D28" t="inlineStr">
        <is>
          <t>arXiv</t>
        </is>
      </c>
      <c r="E28" t="inlineStr">
        <is>
          <t>2019-04</t>
        </is>
      </c>
      <c r="F28" t="inlineStr">
        <is>
          <t>Preprint</t>
        </is>
      </c>
      <c r="G28" t="n">
        <v>42.1</v>
      </c>
      <c r="H28" t="inlineStr">
        <is>
          <t>AP=42.1</t>
        </is>
      </c>
      <c r="K28" t="inlineStr">
        <is>
          <t>✅ 已驗證 (CenterNet ICCV19 Table 2)：Hourglass-104 backbone 42.1% AP single-scale test-dev (45.1 multi-scale) [Anchor-free OD]</t>
        </is>
      </c>
      <c r="L28" t="inlineStr">
        <is>
          <t>https://arxiv.org/abs/1904.07850</t>
        </is>
      </c>
    </row>
    <row r="29">
      <c r="A29" t="inlineStr">
        <is>
          <t>General OD</t>
        </is>
      </c>
      <c r="B29" t="inlineStr">
        <is>
          <t>RetinaNet (R101)</t>
        </is>
      </c>
      <c r="C29" t="inlineStr">
        <is>
          <t>Lin et al.</t>
        </is>
      </c>
      <c r="D29" t="inlineStr">
        <is>
          <t>ICCV</t>
        </is>
      </c>
      <c r="E29" t="inlineStr">
        <is>
          <t>2017-10</t>
        </is>
      </c>
      <c r="F29" t="inlineStr">
        <is>
          <t>Preprint</t>
        </is>
      </c>
      <c r="G29" t="n">
        <v>39.1</v>
      </c>
      <c r="H29" t="inlineStr">
        <is>
          <t>AP=39.1</t>
        </is>
      </c>
      <c r="K29" t="inlineStr">
        <is>
          <t>✅ 已驗證 (RetinaNet ICCV17 Table 2)：ResNet-101-FPN 39.1% AP test-dev (40.8 with ResNeXt-101) [Focal Loss OD]</t>
        </is>
      </c>
      <c r="L29" t="inlineStr">
        <is>
          <t>https://arxiv.org/abs/1708.02002</t>
        </is>
      </c>
    </row>
    <row r="30">
      <c r="A30" t="inlineStr">
        <is>
          <t>General OD</t>
        </is>
      </c>
      <c r="B30" t="inlineStr">
        <is>
          <t>Faster R-CNN (R50-FPN)</t>
        </is>
      </c>
      <c r="C30" t="inlineStr">
        <is>
          <t>Ren et al.</t>
        </is>
      </c>
      <c r="D30" t="inlineStr">
        <is>
          <t>NeurIPS</t>
        </is>
      </c>
      <c r="E30" t="inlineStr">
        <is>
          <t>2015-06</t>
        </is>
      </c>
      <c r="F30" t="inlineStr">
        <is>
          <t>Preprint</t>
        </is>
      </c>
      <c r="G30" t="n">
        <v>37.4</v>
      </c>
      <c r="H30" t="inlineStr">
        <is>
          <t>AP=37.4</t>
        </is>
      </c>
      <c r="K30" t="inlineStr">
        <is>
          <t>✅ 已驗證 (Detectron2 model zoo R50-FPN)：Faster R-CNN R50-FPN ~37.4 box AP COCO val (Detectron2 reference, paper itself uses VGG)</t>
        </is>
      </c>
      <c r="L30" t="inlineStr">
        <is>
          <t>https://arxiv.org/abs/1506.01497</t>
        </is>
      </c>
    </row>
    <row r="31">
      <c r="A31" t="inlineStr">
        <is>
          <t>General OD</t>
        </is>
      </c>
      <c r="B31" t="inlineStr">
        <is>
          <t>Mask R-CNN (R50-FPN)</t>
        </is>
      </c>
      <c r="C31" t="inlineStr">
        <is>
          <t>He et al.</t>
        </is>
      </c>
      <c r="D31" t="inlineStr">
        <is>
          <t>ICCV</t>
        </is>
      </c>
      <c r="E31" t="inlineStr">
        <is>
          <t>2017-10</t>
        </is>
      </c>
      <c r="F31" t="inlineStr">
        <is>
          <t>Preprint</t>
        </is>
      </c>
      <c r="G31" t="n">
        <v>37.3</v>
      </c>
      <c r="H31" t="inlineStr">
        <is>
          <t>AP=37.3</t>
        </is>
      </c>
      <c r="K31" t="inlineStr">
        <is>
          <t>✅ 已驗證 (Detectron2 model zoo R50-FPN approximate; Mask R-CNN paper Table 3 only directly lists R101-FPN=38.2 box AP)</t>
        </is>
      </c>
      <c r="L31" t="inlineStr">
        <is>
          <t>https://arxiv.org/abs/1703.06870</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 xmlns:r="http://schemas.openxmlformats.org/officeDocument/2006/relationships" ref="L14" r:id="rId25"/>
    <hyperlink xmlns:r="http://schemas.openxmlformats.org/officeDocument/2006/relationships" ref="L15" r:id="rId26"/>
    <hyperlink xmlns:r="http://schemas.openxmlformats.org/officeDocument/2006/relationships" ref="L16" r:id="rId27"/>
    <hyperlink xmlns:r="http://schemas.openxmlformats.org/officeDocument/2006/relationships" ref="L17" r:id="rId28"/>
    <hyperlink xmlns:r="http://schemas.openxmlformats.org/officeDocument/2006/relationships" ref="L18" r:id="rId29"/>
    <hyperlink xmlns:r="http://schemas.openxmlformats.org/officeDocument/2006/relationships" ref="L22" r:id="rId30"/>
    <hyperlink xmlns:r="http://schemas.openxmlformats.org/officeDocument/2006/relationships" ref="L25" r:id="rId31"/>
    <hyperlink xmlns:r="http://schemas.openxmlformats.org/officeDocument/2006/relationships" ref="L26"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2"/>
  <sheetViews>
    <sheetView workbookViewId="0">
      <pane ySplit="1" topLeftCell="A4"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minival ≈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minival</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minival</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minival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63.3</v>
      </c>
      <c r="H6" s="2" t="inlineStr">
        <is>
          <t>AP=63.3</t>
        </is>
      </c>
      <c r="I6" s="2" t="inlineStr">
        <is>
          <t>N/A</t>
        </is>
      </c>
      <c r="J6" s="2" t="inlineStr">
        <is>
          <t>218M</t>
        </is>
      </c>
      <c r="K6" s="2" t="inlineStr">
        <is>
          <t>✅ verified (DINO ICLR23, arxiv 2203.03605): 63.3 box AP COCO minival (Swin-L)</t>
        </is>
      </c>
      <c r="L6" s="9" t="inlineStr">
        <is>
          <t>https://arxiv.org/abs/2203.03605</t>
        </is>
      </c>
      <c r="M6" s="9" t="inlineStr">
        <is>
          <t>https://github.com/IDEA-Research/DINO</t>
        </is>
      </c>
    </row>
    <row r="7" ht="48" customHeight="1">
      <c r="A7" s="2" t="inlineStr">
        <is>
          <t>General OD</t>
        </is>
      </c>
      <c r="B7" s="2" t="inlineStr">
        <is>
          <t>H-DETR (Swin-L)</t>
        </is>
      </c>
      <c r="C7" s="2" t="inlineStr">
        <is>
          <t>Jia et al.</t>
        </is>
      </c>
      <c r="D7" s="2" t="inlineStr">
        <is>
          <t>CVPR</t>
        </is>
      </c>
      <c r="E7" s="2" t="inlineStr">
        <is>
          <t>2023-06</t>
        </is>
      </c>
      <c r="F7" s="2" t="inlineStr">
        <is>
          <t>Published</t>
        </is>
      </c>
      <c r="G7" s="2" t="n">
        <v>57.4</v>
      </c>
      <c r="H7" s="2" t="inlineStr">
        <is>
          <t>AP=57.4</t>
        </is>
      </c>
      <c r="I7" s="2" t="inlineStr">
        <is>
          <t>N/A</t>
        </is>
      </c>
      <c r="J7" s="2" t="inlineStr">
        <is>
          <t>218M</t>
        </is>
      </c>
      <c r="K7" s="2" t="inlineStr">
        <is>
          <t>✅ verified (H-DETR CVPR23, arxiv 2207.13080 Table 5): 57.4 box AP COCO val (Swin-L, 36 epochs)</t>
        </is>
      </c>
      <c r="L7" s="9" t="inlineStr">
        <is>
          <t>https://arxiv.org/abs/2207.13080</t>
        </is>
      </c>
      <c r="M7" s="9" t="inlineStr">
        <is>
          <t>https://github.com/HDETR/H-Deformable-DETR</t>
        </is>
      </c>
    </row>
    <row r="8" ht="48" customHeight="1">
      <c r="A8" s="3" t="inlineStr">
        <is>
          <t>Real-Time OD</t>
        </is>
      </c>
      <c r="B8" s="3" t="inlineStr">
        <is>
          <t>RT-DETRv4 (X)</t>
        </is>
      </c>
      <c r="C8" s="3" t="inlineStr">
        <is>
          <t>RT-DETRs</t>
        </is>
      </c>
      <c r="D8" s="3" t="inlineStr">
        <is>
          <t>arXiv</t>
        </is>
      </c>
      <c r="E8" s="3" t="inlineStr">
        <is>
          <t>2025-10</t>
        </is>
      </c>
      <c r="F8" s="3" t="inlineStr">
        <is>
          <t>Preprint</t>
        </is>
      </c>
      <c r="G8" s="3" t="n">
        <v>57</v>
      </c>
      <c r="H8" s="3" t="inlineStr">
        <is>
          <t>AP=57.0 | AP50=74.6 | AP75=62.1 | APS=39.5 | APM=61.9 | APL=74.8</t>
        </is>
      </c>
      <c r="I8" s="3" t="inlineStr">
        <is>
          <t>78 T4</t>
        </is>
      </c>
      <c r="J8" s="3" t="inlineStr">
        <is>
          <t>N/A</t>
        </is>
      </c>
      <c r="K8" s="3" t="inlineStr">
        <is>
          <t>✅ verified (RT-DETRv4 arxiv 2510.25257 Table (COCO val)): full COCO val breakdown AP=57.0 | AP50=74.6 | AP75=62.1 | APS=39.5 | APM=61.9 | APL=74.8</t>
        </is>
      </c>
      <c r="L8" s="6" t="inlineStr">
        <is>
          <t>https://arxiv.org/abs/2510.25257</t>
        </is>
      </c>
      <c r="M8" s="6" t="inlineStr">
        <is>
          <t>https://github.com/RT-DETRs/RT-DETRv4</t>
        </is>
      </c>
    </row>
    <row r="9" ht="48" customHeight="1">
      <c r="A9" s="3" t="inlineStr">
        <is>
          <t>Real-Time OD</t>
        </is>
      </c>
      <c r="B9" s="3" t="inlineStr">
        <is>
          <t>DEIM-D-FINE-X</t>
        </is>
      </c>
      <c r="C9" s="3" t="inlineStr">
        <is>
          <t>Huang et al.</t>
        </is>
      </c>
      <c r="D9" s="3" t="inlineStr">
        <is>
          <t>CVPR</t>
        </is>
      </c>
      <c r="E9" s="3" t="inlineStr">
        <is>
          <t>2025-06</t>
        </is>
      </c>
      <c r="F9" s="3" t="inlineStr">
        <is>
          <t>Published</t>
        </is>
      </c>
      <c r="G9" s="3" t="n">
        <v>56.5</v>
      </c>
      <c r="H9" s="3" t="inlineStr">
        <is>
          <t>AP=56.5 | AP50=74.0 | AP75=61.5 | APS=38.8 | APM=61.4 | APL=74.2</t>
        </is>
      </c>
      <c r="I9" s="3" t="inlineStr">
        <is>
          <t>78 T4</t>
        </is>
      </c>
      <c r="J9" s="3" t="inlineStr">
        <is>
          <t>N/A</t>
        </is>
      </c>
      <c r="K9" s="3" t="inlineStr">
        <is>
          <t>✅ verified (DEIM arxiv 2412.04234 Table (COCO val)): full COCO val breakdown AP=56.5 | AP50=74.0 | AP75=61.5 | APS=38.8 | APM=61.4 | APL=74.2</t>
        </is>
      </c>
      <c r="L9" s="6" t="inlineStr">
        <is>
          <t>https://arxiv.org/abs/2412.04234</t>
        </is>
      </c>
      <c r="M9" s="6" t="inlineStr">
        <is>
          <t>https://github.com/Intellindust-AI-Lab/DEIM</t>
        </is>
      </c>
    </row>
    <row r="10" ht="48" customHeight="1">
      <c r="A10" s="2" t="inlineStr">
        <is>
          <t>General OD</t>
        </is>
      </c>
      <c r="B10" s="2" t="inlineStr">
        <is>
          <t>DN-DETR</t>
        </is>
      </c>
      <c r="C10" s="2" t="inlineStr">
        <is>
          <t>Li et al.</t>
        </is>
      </c>
      <c r="D10" s="2" t="inlineStr">
        <is>
          <t>CVPR</t>
        </is>
      </c>
      <c r="E10" s="2" t="inlineStr">
        <is>
          <t>2022-03</t>
        </is>
      </c>
      <c r="F10" s="2" t="inlineStr">
        <is>
          <t>Published</t>
        </is>
      </c>
      <c r="G10" s="2" t="n">
        <v>48.6</v>
      </c>
      <c r="H10" s="2" t="inlineStr">
        <is>
          <t>AP=48.6</t>
        </is>
      </c>
      <c r="I10" s="2" t="inlineStr">
        <is>
          <t>N/A</t>
        </is>
      </c>
      <c r="J10" s="2" t="inlineStr">
        <is>
          <t>48M</t>
        </is>
      </c>
      <c r="K10" s="2" t="inlineStr">
        <is>
          <t>✅ verified (DN-DETR CVPR22, arxiv 2203.01305 Table 2): 48.6 box AP on COCO val (ResNet-50, 50 epochs)</t>
        </is>
      </c>
      <c r="L10" s="9" t="inlineStr">
        <is>
          <t>https://arxiv.org/abs/2203.01305</t>
        </is>
      </c>
      <c r="M10" s="9" t="inlineStr">
        <is>
          <t>https://github.com/IDEA-Research/DN-DETR</t>
        </is>
      </c>
    </row>
    <row r="11" ht="48" customHeight="1">
      <c r="A11" s="2" t="inlineStr">
        <is>
          <t>General OD</t>
        </is>
      </c>
      <c r="B11" s="2" t="inlineStr">
        <is>
          <t>DAB-DETR</t>
        </is>
      </c>
      <c r="C11" s="2" t="inlineStr">
        <is>
          <t>Liu et al.</t>
        </is>
      </c>
      <c r="D11" s="2" t="inlineStr">
        <is>
          <t>ICLR</t>
        </is>
      </c>
      <c r="E11" s="2" t="inlineStr">
        <is>
          <t>2022-03</t>
        </is>
      </c>
      <c r="F11" s="2" t="inlineStr">
        <is>
          <t>Published</t>
        </is>
      </c>
      <c r="G11" s="2" t="n">
        <v>45.7</v>
      </c>
      <c r="H11" s="2" t="inlineStr">
        <is>
          <t>AP=45.7</t>
        </is>
      </c>
      <c r="I11" s="2" t="inlineStr">
        <is>
          <t>N/A</t>
        </is>
      </c>
      <c r="J11" s="2" t="inlineStr">
        <is>
          <t>48M</t>
        </is>
      </c>
      <c r="K11" s="2" t="inlineStr">
        <is>
          <t>✅ verified (DAB-DETR ICLR22, arxiv 2201.12329 Table 2): 45.7 box AP on COCO val (ResNet-50, 50 epochs)</t>
        </is>
      </c>
      <c r="L11" s="9" t="inlineStr">
        <is>
          <t>https://arxiv.org/abs/2201.12329</t>
        </is>
      </c>
      <c r="M11" s="9" t="inlineStr">
        <is>
          <t>https://github.com/IDEA-Research/DAB-DETR</t>
        </is>
      </c>
    </row>
    <row r="12" ht="48" customHeight="1">
      <c r="A12" s="2" t="inlineStr">
        <is>
          <t>General OD</t>
        </is>
      </c>
      <c r="B12" s="2" t="inlineStr">
        <is>
          <t>DETR (R101)</t>
        </is>
      </c>
      <c r="C12" s="2" t="inlineStr">
        <is>
          <t>Carion et al.</t>
        </is>
      </c>
      <c r="D12" s="2" t="inlineStr">
        <is>
          <t>ECCV</t>
        </is>
      </c>
      <c r="E12" s="2" t="inlineStr">
        <is>
          <t>2020-09</t>
        </is>
      </c>
      <c r="F12" s="2" t="inlineStr">
        <is>
          <t>Published</t>
        </is>
      </c>
      <c r="G12" s="2" t="n">
        <v>43.5</v>
      </c>
      <c r="H12" s="2" t="inlineStr">
        <is>
          <t>AP=43.5</t>
        </is>
      </c>
      <c r="I12" s="2" t="inlineStr">
        <is>
          <t>20</t>
        </is>
      </c>
      <c r="J12" s="2" t="inlineStr">
        <is>
          <t>60M</t>
        </is>
      </c>
      <c r="K12" s="2" t="inlineStr">
        <is>
          <t>✅ verified (DETR ECCV20, arxiv 2005.12872 Table 1): 43.5 box AP on COCO val (ResNet-101)</t>
        </is>
      </c>
      <c r="L12" s="9" t="inlineStr">
        <is>
          <t>https://arxiv.org/abs/2005.12872</t>
        </is>
      </c>
      <c r="M12" s="9" t="inlineStr">
        <is>
          <t>https://github.com/facebookresearch/detr</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2"/>
  <sheetViews>
    <sheetView workbookViewId="0">
      <pane ySplit="1" topLeftCell="A2"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on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Table 7): 65.0 box AP on COCO val2017 (InternImage-H)</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on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on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on COCO val2017 (Swin-L, 4-scale)</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Real-Time OD</t>
        </is>
      </c>
      <c r="B10" s="3" t="inlineStr">
        <is>
          <t>DEIMv2 (DINOv3)</t>
        </is>
      </c>
      <c r="C10" s="3" t="inlineStr">
        <is>
          <t>Huang et al.</t>
        </is>
      </c>
      <c r="D10" s="3" t="inlineStr">
        <is>
          <t>arXiv</t>
        </is>
      </c>
      <c r="E10" s="3" t="inlineStr">
        <is>
          <t>2025-09</t>
        </is>
      </c>
      <c r="F10" s="3" t="inlineStr">
        <is>
          <t>Preprint</t>
        </is>
      </c>
      <c r="G10" s="3" t="n">
        <v>57.8</v>
      </c>
      <c r="H10" s="3" t="inlineStr">
        <is>
          <t>AP=57.8</t>
        </is>
      </c>
      <c r="I10" s="3" t="n"/>
      <c r="J10" s="3" t="n"/>
      <c r="K10" s="3" t="inlineStr">
        <is>
          <t>✅ 已驗證 (DEIMv2 arXiv25 Table 3, COCO val2017)：DEIMv2-X 57.8% AP, DINOv3 backbone [End-to-end RT-OD]</t>
        </is>
      </c>
      <c r="L10" s="6" t="inlineStr">
        <is>
          <t>https://arxiv.org/abs/2509.20787</t>
        </is>
      </c>
      <c r="M10" s="6" t="inlineStr">
        <is>
          <t>https://github.com/Peterande/D-FINE</t>
        </is>
      </c>
    </row>
    <row r="11" ht="48" customHeight="1">
      <c r="A11" s="3" t="inlineStr">
        <is>
          <t>Real-Time OD</t>
        </is>
      </c>
      <c r="B11" s="3" t="inlineStr">
        <is>
          <t>RT-DETRv4 (X)</t>
        </is>
      </c>
      <c r="C11" s="3" t="inlineStr">
        <is>
          <t>RT-DETRs</t>
        </is>
      </c>
      <c r="D11" s="3" t="inlineStr">
        <is>
          <t>arXiv</t>
        </is>
      </c>
      <c r="E11" s="3" t="inlineStr">
        <is>
          <t>2025-10</t>
        </is>
      </c>
      <c r="F11" s="3" t="inlineStr">
        <is>
          <t>Preprint</t>
        </is>
      </c>
      <c r="G11" s="3" t="n">
        <v>57</v>
      </c>
      <c r="H11" s="3" t="inlineStr">
        <is>
          <t>AP=57.0 | AP50=74.6 | AP75=62.1 | APS=39.5 | APM=61.9 | APL=74.8</t>
        </is>
      </c>
      <c r="I11" s="3" t="inlineStr">
        <is>
          <t>T4 78</t>
        </is>
      </c>
      <c r="J11" s="3" t="inlineStr">
        <is>
          <t>N/A</t>
        </is>
      </c>
      <c r="K11" s="3" t="inlineStr">
        <is>
          <t>✅ verified (RT-DETRv4 arxiv 2510.25257 Table (COCO val)): full COCO val breakdown AP=57.0 | AP50=74.6 | AP75=62.1 | APS=39.5 | APM=61.9 | APL=74.8</t>
        </is>
      </c>
      <c r="L11" s="6" t="inlineStr">
        <is>
          <t>https://arxiv.org/abs/2510.25257</t>
        </is>
      </c>
      <c r="M11" s="6" t="inlineStr">
        <is>
          <t>https://github.com/WongKinYiu/yolov9</t>
        </is>
      </c>
    </row>
    <row r="12" ht="48" customHeight="1">
      <c r="A12" s="3" t="inlineStr">
        <is>
          <t>Real-Time OD</t>
        </is>
      </c>
      <c r="B12" s="3" t="inlineStr">
        <is>
          <t>RF-DETR (Large)</t>
        </is>
      </c>
      <c r="C12" s="3" t="inlineStr">
        <is>
          <t>Roboflow</t>
        </is>
      </c>
      <c r="D12" s="3" t="inlineStr">
        <is>
          <t>ICLR</t>
        </is>
      </c>
      <c r="E12" s="3" t="inlineStr">
        <is>
          <t>2026-04</t>
        </is>
      </c>
      <c r="F12" s="3" t="inlineStr">
        <is>
          <t>Accepted</t>
        </is>
      </c>
      <c r="G12" s="3" t="n">
        <v>56.5</v>
      </c>
      <c r="H12" s="3" t="inlineStr">
        <is>
          <t>AP=56.5 | AP50=75.1 | AP75=61.3 | APS=39.0 | APM=61.0 | APL=73.9</t>
        </is>
      </c>
      <c r="I12" s="3" t="inlineStr">
        <is>
          <t>T4 25</t>
        </is>
      </c>
      <c r="J12" s="3" t="inlineStr">
        <is>
          <t>N/A</t>
        </is>
      </c>
      <c r="K12" s="3" t="inlineStr">
        <is>
          <t>✅ verified+corrected (RF-DETR arxiv 2511.09554 Table, COCO val): RF-DETR-Large AP=56.5 (sheet had 60.5 which matches no RF-DETR variant: L=56.5/XL=58.6/2XL=60.1). AP=56.5 | AP50=75.1 | AP75=61.3 | APS=39.0 | APM=61.0 | APL=73.9</t>
        </is>
      </c>
      <c r="L12" s="6" t="inlineStr">
        <is>
          <t>https://arxiv.org/abs/2511.09554</t>
        </is>
      </c>
      <c r="M12" s="6" t="inlineStr">
        <is>
          <t>https://github.com/sunsmarterjie/yolov12</t>
        </is>
      </c>
    </row>
    <row r="13" ht="48" customHeight="1">
      <c r="A13" s="3" t="inlineStr">
        <is>
          <t>Real-Time OD</t>
        </is>
      </c>
      <c r="B13" s="3" t="inlineStr">
        <is>
          <t>DEIM-D-FINE-X</t>
        </is>
      </c>
      <c r="C13" s="3" t="inlineStr">
        <is>
          <t>Huang et al.</t>
        </is>
      </c>
      <c r="D13" s="3" t="inlineStr">
        <is>
          <t>CVPR</t>
        </is>
      </c>
      <c r="E13" s="3" t="inlineStr">
        <is>
          <t>2025-06</t>
        </is>
      </c>
      <c r="F13" s="3" t="inlineStr">
        <is>
          <t>Published</t>
        </is>
      </c>
      <c r="G13" s="3" t="n">
        <v>56.5</v>
      </c>
      <c r="H13" s="3" t="inlineStr">
        <is>
          <t>AP=56.5 | AP50=74.0 | AP75=61.5 | APS=38.8 | APM=61.4 | APL=74.2</t>
        </is>
      </c>
      <c r="I13" s="3" t="inlineStr">
        <is>
          <t>T4 78</t>
        </is>
      </c>
      <c r="J13" s="3" t="inlineStr">
        <is>
          <t>N/A</t>
        </is>
      </c>
      <c r="K13" s="3" t="inlineStr">
        <is>
          <t>✅ verified (DEIM arxiv 2412.04234 Table (COCO val)): full COCO val breakdown AP=56.5 | AP50=74.0 | AP75=61.5 | APS=38.8 | APM=61.4 | APL=74.2</t>
        </is>
      </c>
      <c r="L13" s="6" t="inlineStr">
        <is>
          <t>https://arxiv.org/abs/2412.04234</t>
        </is>
      </c>
      <c r="M13" s="6" t="inlineStr">
        <is>
          <t>https://github.com/ultralytics/ultralytics</t>
        </is>
      </c>
    </row>
    <row r="14">
      <c r="A14" s="3" t="inlineStr">
        <is>
          <t>General OD</t>
        </is>
      </c>
      <c r="B14" s="3" t="inlineStr">
        <is>
          <t>DEIM</t>
        </is>
      </c>
      <c r="C14" s="3" t="inlineStr">
        <is>
          <t>—</t>
        </is>
      </c>
      <c r="D14" s="3" t="inlineStr">
        <is>
          <t>CVPR 2025</t>
        </is>
      </c>
      <c r="E14" s="3" t="inlineStr">
        <is>
          <t>2025-06</t>
        </is>
      </c>
      <c r="F14" s="3" t="inlineStr">
        <is>
          <t>Preprint</t>
        </is>
      </c>
      <c r="G14" s="3" t="n">
        <v>56.5</v>
      </c>
      <c r="H14" s="3" t="inlineStr">
        <is>
          <t>AP=56.5 | AP50=74.0 | AP75=61.5 | APS=38.8 | APM=61.4 | APL=74.2</t>
        </is>
      </c>
      <c r="I14" s="3" t="n"/>
      <c r="J14" s="3" t="n"/>
      <c r="K14" s="3" t="inlineStr">
        <is>
          <t>✅ verified (DEIM CVPR25 arxiv 2412.04234 Table, DEIM-X best, COCO val): 56.5/74.0/61.5/38.8/61.4/74.2</t>
        </is>
      </c>
      <c r="L14" s="6" t="inlineStr">
        <is>
          <t>https://openaccess.thecvf.com/content/CVPR2025/html/Huang_DEIM_DETR_with_Improved_Matching_for_Fast_Convergence_CVPR_2025_paper.html</t>
        </is>
      </c>
      <c r="M14" s="6" t="n"/>
    </row>
    <row r="15">
      <c r="A15" s="3" t="inlineStr">
        <is>
          <t>Real-Time OD</t>
        </is>
      </c>
      <c r="B15" s="3" t="inlineStr">
        <is>
          <t>D-FINE-X</t>
        </is>
      </c>
      <c r="C15" s="3" t="inlineStr">
        <is>
          <t>Peng et al.</t>
        </is>
      </c>
      <c r="D15" s="3" t="inlineStr">
        <is>
          <t>ICLR</t>
        </is>
      </c>
      <c r="E15" s="3" t="inlineStr">
        <is>
          <t>2025-04</t>
        </is>
      </c>
      <c r="F15" s="3" t="inlineStr">
        <is>
          <t>Accepted</t>
        </is>
      </c>
      <c r="G15" s="3" t="n">
        <v>55.8</v>
      </c>
      <c r="H15" s="3" t="inlineStr">
        <is>
          <t>AP=55.8 | AP50=73.7 | AP75=60.2 | APS=37.3 | APM=60.5 | APL=73.4</t>
        </is>
      </c>
      <c r="I15" s="3" t="inlineStr">
        <is>
          <t>T4 78</t>
        </is>
      </c>
      <c r="J15" s="3" t="inlineStr">
        <is>
          <t>N/A</t>
        </is>
      </c>
      <c r="K15" s="3" t="inlineStr">
        <is>
          <t>✅ verified (D-FINE arxiv 2410.13842 Table (COCO val)): full COCO val breakdown AP=55.8 | AP50=73.7 | AP75=60.2 | APS=37.3 | APM=60.5 | APL=73.4</t>
        </is>
      </c>
      <c r="L15" s="6" t="inlineStr">
        <is>
          <t>https://arxiv.org/abs/2410.13842</t>
        </is>
      </c>
      <c r="M15" s="6" t="n"/>
    </row>
    <row r="16">
      <c r="A16" s="3" t="inlineStr">
        <is>
          <t>Real-Time OD</t>
        </is>
      </c>
      <c r="B16" s="3" t="inlineStr">
        <is>
          <t>YOLOv9-E</t>
        </is>
      </c>
      <c r="C16" s="3" t="inlineStr">
        <is>
          <t>Wang et al.</t>
        </is>
      </c>
      <c r="D16" s="3" t="inlineStr">
        <is>
          <t>ECCV</t>
        </is>
      </c>
      <c r="E16" s="3" t="inlineStr">
        <is>
          <t>2024-09</t>
        </is>
      </c>
      <c r="F16" s="3" t="inlineStr">
        <is>
          <t>Published</t>
        </is>
      </c>
      <c r="G16" s="3" t="n">
        <v>55.6</v>
      </c>
      <c r="H16" s="3" t="inlineStr">
        <is>
          <t>AP=55.6</t>
        </is>
      </c>
      <c r="I16" s="3" t="inlineStr">
        <is>
          <t>57</t>
        </is>
      </c>
      <c r="J16" s="3" t="inlineStr">
        <is>
          <t>57.3M</t>
        </is>
      </c>
      <c r="K16" s="3" t="inlineStr">
        <is>
          <t>✅ verified (YOLOv9 ECCV24, arxiv 2402.13616 Table 1): 55.6 box AP on COCO val2017 (YOLOv9-E variant)</t>
        </is>
      </c>
      <c r="L16" s="6" t="inlineStr">
        <is>
          <t>https://arxiv.org/abs/2402.13616</t>
        </is>
      </c>
      <c r="M16" s="6" t="inlineStr">
        <is>
          <t>https://github.com/Intellindust-AI-Lab/DEIMv2</t>
        </is>
      </c>
    </row>
    <row r="17">
      <c r="A17" s="3" t="inlineStr">
        <is>
          <t>Real-Time OD</t>
        </is>
      </c>
      <c r="B17" s="3" t="inlineStr">
        <is>
          <t>YOLOv12-X</t>
        </is>
      </c>
      <c r="C17" s="3" t="inlineStr">
        <is>
          <t>Tian et al.</t>
        </is>
      </c>
      <c r="D17" s="3" t="inlineStr">
        <is>
          <t>NeurIPS</t>
        </is>
      </c>
      <c r="E17" s="3" t="inlineStr">
        <is>
          <t>2025-02</t>
        </is>
      </c>
      <c r="F17" s="3" t="inlineStr">
        <is>
          <t>Accepted</t>
        </is>
      </c>
      <c r="G17" s="3" t="n">
        <v>55.2</v>
      </c>
      <c r="H17" s="3" t="inlineStr">
        <is>
          <t>AP=55.2 | AP50=72.0 | AP75=60.2 | APS=39.6 | APM=60.7 | APL=70.9</t>
        </is>
      </c>
      <c r="I17" s="3" t="inlineStr">
        <is>
          <t>T4 ≈90</t>
        </is>
      </c>
      <c r="J17" s="3" t="inlineStr">
        <is>
          <t>59.1M</t>
        </is>
      </c>
      <c r="K17" s="3" t="inlineStr">
        <is>
          <t>✅ verified (YOLOv12 arxiv 2502.12524 Table (COCO val)): full COCO val breakdown AP=55.2 | AP50=72.0 | AP75=60.2 | APS=39.6 | APM=60.7 | APL=70.9</t>
        </is>
      </c>
      <c r="L17" s="6" t="inlineStr">
        <is>
          <t>https://arxiv.org/abs/2502.12524</t>
        </is>
      </c>
      <c r="M17" s="6" t="inlineStr">
        <is>
          <t>https://github.com/iMoonLab/yolov13</t>
        </is>
      </c>
    </row>
    <row r="18">
      <c r="A18" s="3" t="inlineStr">
        <is>
          <t>Real-Time OD</t>
        </is>
      </c>
      <c r="B18" s="3" t="inlineStr">
        <is>
          <t>YOLOv13-X</t>
        </is>
      </c>
      <c r="C18" s="3" t="inlineStr">
        <is>
          <t>iMoonLab</t>
        </is>
      </c>
      <c r="D18" s="3" t="inlineStr">
        <is>
          <t>arXiv</t>
        </is>
      </c>
      <c r="E18" s="3" t="inlineStr">
        <is>
          <t>2025-06</t>
        </is>
      </c>
      <c r="F18" s="3" t="inlineStr">
        <is>
          <t>Preprint</t>
        </is>
      </c>
      <c r="G18" s="3" t="n">
        <v>54.8</v>
      </c>
      <c r="H18" s="3" t="inlineStr">
        <is>
          <t>AP=54.8</t>
        </is>
      </c>
      <c r="I18" s="3" t="n"/>
      <c r="J18" s="3" t="n"/>
      <c r="K18" s="3" t="inlineStr">
        <is>
          <t>✅ 已驗證 (YOLOv13 Table I, COCO val2017)：YOLOv13-X 54.8% AP, 14.7ms latency [Real-Time OD]</t>
        </is>
      </c>
      <c r="L18" s="6" t="inlineStr">
        <is>
          <t>https://arxiv.org/abs/2506.17733</t>
        </is>
      </c>
      <c r="M18" s="6" t="inlineStr">
        <is>
          <t>https://github.com/Intellindust-AI-Lab/DEIM</t>
        </is>
      </c>
    </row>
    <row r="19">
      <c r="A19" s="3" t="inlineStr">
        <is>
          <t>Real-Time OD</t>
        </is>
      </c>
      <c r="B19" s="3" t="inlineStr">
        <is>
          <t>YOLO11x</t>
        </is>
      </c>
      <c r="C19" s="3" t="inlineStr">
        <is>
          <t>Ultralytics</t>
        </is>
      </c>
      <c r="D19" s="3" t="inlineStr">
        <is>
          <t>Official Docs</t>
        </is>
      </c>
      <c r="E19" s="3" t="inlineStr">
        <is>
          <t>2024-09</t>
        </is>
      </c>
      <c r="F19" s="3" t="inlineStr">
        <is>
          <t>Official Docs</t>
        </is>
      </c>
      <c r="G19" s="3" t="n">
        <v>54.7</v>
      </c>
      <c r="H19" s="3" t="inlineStr">
        <is>
          <t>AP=54.7</t>
        </is>
      </c>
      <c r="I19" s="3" t="inlineStr">
        <is>
          <t>T4 ≈110</t>
        </is>
      </c>
      <c r="J19" s="3" t="inlineStr">
        <is>
          <t>56.9M</t>
        </is>
      </c>
      <c r="K19" s="3" t="inlineStr">
        <is>
          <t>✅ verified (Ultralytics YOLO11 official docs): 54.7 box AP on COCO val2017 (YOLO11x model — community/official benchmark)</t>
        </is>
      </c>
      <c r="L19" s="6" t="inlineStr">
        <is>
          <t>https://docs.ultralytics.com/models/yolo11/</t>
        </is>
      </c>
      <c r="M19" s="6" t="inlineStr">
        <is>
          <t>https://github.com/Peterande/D-FINE</t>
        </is>
      </c>
    </row>
    <row r="20">
      <c r="A20" s="3" t="inlineStr">
        <is>
          <t>Real-Time OD</t>
        </is>
      </c>
      <c r="B20" s="3" t="inlineStr">
        <is>
          <t>DEIM-D-FINE-L</t>
        </is>
      </c>
      <c r="C20" s="3" t="inlineStr">
        <is>
          <t>Huang et al.</t>
        </is>
      </c>
      <c r="D20" s="3" t="inlineStr">
        <is>
          <t>CVPR</t>
        </is>
      </c>
      <c r="E20" s="3" t="inlineStr">
        <is>
          <t>2025-06</t>
        </is>
      </c>
      <c r="F20" s="3" t="inlineStr">
        <is>
          <t>Preprint</t>
        </is>
      </c>
      <c r="G20" s="3" t="n">
        <v>54.7</v>
      </c>
      <c r="H20" s="3" t="inlineStr">
        <is>
          <t>AP=54.7</t>
        </is>
      </c>
      <c r="I20" s="3" t="n"/>
      <c r="J20" s="3" t="n"/>
      <c r="K20" s="3" t="inlineStr">
        <is>
          <t>✅ 已驗證 (DEIM CVPR25 Table 1, COCO val2017)：DEIM-D-FINE-L 54.7% AP, 8.07ms [End-to-end RT-OD]</t>
        </is>
      </c>
      <c r="L20" s="6" t="inlineStr">
        <is>
          <t>https://arxiv.org/abs/2412.04234</t>
        </is>
      </c>
      <c r="M20" s="6" t="inlineStr">
        <is>
          <t>https://github.com/clxia12/RT-DETRv3</t>
        </is>
      </c>
    </row>
    <row r="21">
      <c r="A21" s="3" t="inlineStr">
        <is>
          <t>Real-Time OD</t>
        </is>
      </c>
      <c r="B21" s="3" t="inlineStr">
        <is>
          <t>RT-DETRv3-R101</t>
        </is>
      </c>
      <c r="C21" s="3" t="inlineStr">
        <is>
          <t>Wang et al.</t>
        </is>
      </c>
      <c r="D21" s="3" t="inlineStr">
        <is>
          <t>WACV</t>
        </is>
      </c>
      <c r="E21" s="3" t="inlineStr">
        <is>
          <t>2025-02</t>
        </is>
      </c>
      <c r="F21" s="3" t="inlineStr">
        <is>
          <t>Preprint</t>
        </is>
      </c>
      <c r="G21" s="3" t="n">
        <v>54.6</v>
      </c>
      <c r="H21" s="3" t="inlineStr">
        <is>
          <t>AP=54.6</t>
        </is>
      </c>
      <c r="I21" s="3" t="n"/>
      <c r="J21" s="3" t="n"/>
      <c r="K21" s="3" t="inlineStr">
        <is>
          <t>✅ 已驗證 (RT-DETRv3 Table 1, COCO val2017 6x)：RT-DETRv3-R101 54.6% AP, 13.5ms [End-to-end RT-OD]</t>
        </is>
      </c>
      <c r="L21" s="6" t="inlineStr">
        <is>
          <t>https://arxiv.org/abs/2409.08475</t>
        </is>
      </c>
      <c r="M21" s="6" t="inlineStr">
        <is>
          <t>https://github.com/IDEA-Research/GroundingDINO</t>
        </is>
      </c>
    </row>
    <row r="22">
      <c r="A22" s="3" t="inlineStr">
        <is>
          <t>Real-Time OD</t>
        </is>
      </c>
      <c r="B22" s="3" t="inlineStr">
        <is>
          <t>RT-DETRv3</t>
        </is>
      </c>
      <c r="C22" s="3" t="inlineStr">
        <is>
          <t>—</t>
        </is>
      </c>
      <c r="D22" s="3" t="inlineStr">
        <is>
          <t>WACV 2025</t>
        </is>
      </c>
      <c r="E22" s="3" t="inlineStr">
        <is>
          <t>2025-01</t>
        </is>
      </c>
      <c r="F22" s="3" t="inlineStr">
        <is>
          <t>Preprint</t>
        </is>
      </c>
      <c r="G22" s="3" t="n">
        <v>54.6</v>
      </c>
      <c r="H22" s="3" t="inlineStr">
        <is>
          <t>AP=54.6</t>
        </is>
      </c>
      <c r="I22" s="3" t="n"/>
      <c r="J22" s="3" t="n"/>
      <c r="K22" s="3" t="inlineStr">
        <is>
          <t>✅ 已驗證 (RT-DETRv3 Table 1)：headline number from R101 6x setting [End-to-end RT-OD]</t>
        </is>
      </c>
      <c r="L22" s="6" t="inlineStr">
        <is>
          <t>https://openaccess.thecvf.com/content/WACV2025/html/Wang_RT-DETRv3_Real-Time_End-to-End_Object_Detection_with_Hierarchical_Dense_Positive_Supervision_WACV_2025_paper.html</t>
        </is>
      </c>
      <c r="M22" s="6" t="inlineStr">
        <is>
          <t>https://github.com/lyuwenyu/RT-DETR</t>
        </is>
      </c>
    </row>
    <row r="23">
      <c r="A23" s="3" t="inlineStr">
        <is>
          <t>Real-Time OD</t>
        </is>
      </c>
      <c r="B23" s="3" t="inlineStr">
        <is>
          <t>RT-DETRv2-R101</t>
        </is>
      </c>
      <c r="C23" s="3" t="inlineStr">
        <is>
          <t>Lv et al.</t>
        </is>
      </c>
      <c r="D23" s="3" t="inlineStr">
        <is>
          <t>arXiv</t>
        </is>
      </c>
      <c r="E23" s="3" t="inlineStr">
        <is>
          <t>2024-07</t>
        </is>
      </c>
      <c r="F23" s="3" t="inlineStr">
        <is>
          <t>Preprint</t>
        </is>
      </c>
      <c r="G23" s="3" t="n">
        <v>54.3</v>
      </c>
      <c r="H23" s="3" t="inlineStr">
        <is>
          <t>AP=54.3</t>
        </is>
      </c>
      <c r="I23" s="3" t="n"/>
      <c r="J23" s="3" t="n"/>
      <c r="K23" s="3" t="inlineStr">
        <is>
          <t>✅ 已驗證 (D-FINE Table 1, COCO val2017)：RT-DETRv2-R101 54.3% AP, 13.66ms [Real-Time OD]</t>
        </is>
      </c>
      <c r="L23" s="6" t="inlineStr">
        <is>
          <t>https://arxiv.org/abs/2407.17140</t>
        </is>
      </c>
      <c r="M23" s="6" t="inlineStr">
        <is>
          <t>https://github.com/lyuwenyu/RT-DETR</t>
        </is>
      </c>
    </row>
    <row r="24">
      <c r="A24" s="3" t="inlineStr">
        <is>
          <t>Real-Time OD</t>
        </is>
      </c>
      <c r="B24" s="3" t="inlineStr">
        <is>
          <t>RT-DETR-R101</t>
        </is>
      </c>
      <c r="C24" s="3" t="inlineStr">
        <is>
          <t>Zhao et al.</t>
        </is>
      </c>
      <c r="D24" s="3" t="inlineStr">
        <is>
          <t>CVPR</t>
        </is>
      </c>
      <c r="E24" s="3" t="inlineStr">
        <is>
          <t>2024-06</t>
        </is>
      </c>
      <c r="F24" s="3" t="inlineStr">
        <is>
          <t>Preprint</t>
        </is>
      </c>
      <c r="G24" s="3" t="n">
        <v>54.3</v>
      </c>
      <c r="H24" s="3" t="inlineStr">
        <is>
          <t>AP=54.3</t>
        </is>
      </c>
      <c r="I24" s="3" t="n"/>
      <c r="J24" s="3" t="n"/>
      <c r="K24" s="3" t="inlineStr">
        <is>
          <t>✅ 已驗證 (D-FINE Table 1, COCO val2017)：RT-DETR-R101 54.3% AP, 13.61ms [Real-Time OD]</t>
        </is>
      </c>
      <c r="L24" s="6" t="inlineStr">
        <is>
          <t>https://arxiv.org/abs/2304.08069</t>
        </is>
      </c>
      <c r="M24" s="6" t="inlineStr">
        <is>
          <t>https://github.com/zhenyuw16/UniDetector</t>
        </is>
      </c>
    </row>
    <row r="25">
      <c r="A25" s="3" t="inlineStr">
        <is>
          <t>Real-Time OD</t>
        </is>
      </c>
      <c r="B25" s="3" t="inlineStr">
        <is>
          <t>D-FINE-L</t>
        </is>
      </c>
      <c r="C25" s="3" t="inlineStr">
        <is>
          <t>Peng et al.</t>
        </is>
      </c>
      <c r="D25" s="3" t="inlineStr">
        <is>
          <t>ICLR</t>
        </is>
      </c>
      <c r="E25" s="3" t="inlineStr">
        <is>
          <t>2025-04</t>
        </is>
      </c>
      <c r="F25" s="3" t="inlineStr">
        <is>
          <t>Preprint</t>
        </is>
      </c>
      <c r="G25" s="3" t="n">
        <v>54</v>
      </c>
      <c r="H25" s="3" t="inlineStr">
        <is>
          <t>AP=54.0</t>
        </is>
      </c>
      <c r="I25" s="3" t="n"/>
      <c r="J25" s="3" t="n"/>
      <c r="K25" s="3" t="inlineStr">
        <is>
          <t>✅ 已驗證 (D-FINE Table 1, COCO val2017)：D-FINE-L 54.0% AP, 8.07ms latency [Real-Time OD end-to-end]</t>
        </is>
      </c>
      <c r="L25" s="6" t="inlineStr">
        <is>
          <t>https://arxiv.org/abs/2410.13842</t>
        </is>
      </c>
      <c r="M25" s="6" t="inlineStr">
        <is>
          <t>https://github.com/open-mmlab/mmdetection</t>
        </is>
      </c>
    </row>
    <row r="26">
      <c r="A26" s="3" t="inlineStr">
        <is>
          <t>Real-Time OD</t>
        </is>
      </c>
      <c r="B26" s="3" t="inlineStr">
        <is>
          <t>RTMDet-X</t>
        </is>
      </c>
      <c r="C26" s="3" t="inlineStr">
        <is>
          <t>Lyu et al.</t>
        </is>
      </c>
      <c r="D26" s="3" t="inlineStr">
        <is>
          <t>arXiv</t>
        </is>
      </c>
      <c r="E26" s="3" t="inlineStr">
        <is>
          <t>2022-12</t>
        </is>
      </c>
      <c r="F26" s="3" t="inlineStr">
        <is>
          <t>Preprint</t>
        </is>
      </c>
      <c r="G26" s="3" t="n">
        <v>52.8</v>
      </c>
      <c r="H26" s="3" t="inlineStr">
        <is>
          <t>AP=52.8</t>
        </is>
      </c>
      <c r="I26" s="3" t="n"/>
      <c r="J26" s="3" t="n"/>
      <c r="K26" s="3" t="inlineStr">
        <is>
          <t>✅ 已驗證 (D-FINE Table 1, COCO val2017)：RTMDet-X 52.8% AP, 21.59ms [Real-Time OD]</t>
        </is>
      </c>
      <c r="L26" s="6" t="inlineStr">
        <is>
          <t>https://arxiv.org/abs/2212.07784</t>
        </is>
      </c>
      <c r="M26" s="6" t="inlineStr">
        <is>
          <t>https://github.com/facebookresearch/detectron2</t>
        </is>
      </c>
    </row>
    <row r="27">
      <c r="A27" s="3" t="inlineStr">
        <is>
          <t>Real-Time OD</t>
        </is>
      </c>
      <c r="B27" s="3" t="inlineStr">
        <is>
          <t>YOLOv6-L</t>
        </is>
      </c>
      <c r="C27" s="3" t="inlineStr">
        <is>
          <t>Li et al.</t>
        </is>
      </c>
      <c r="D27" s="3" t="inlineStr">
        <is>
          <t>arXiv</t>
        </is>
      </c>
      <c r="E27" s="3" t="inlineStr">
        <is>
          <t>2022-09</t>
        </is>
      </c>
      <c r="F27" s="3" t="inlineStr">
        <is>
          <t>Preprint</t>
        </is>
      </c>
      <c r="G27" s="3" t="n">
        <v>52.8</v>
      </c>
      <c r="H27" s="3" t="inlineStr">
        <is>
          <t>AP=52.8</t>
        </is>
      </c>
      <c r="I27" s="3" t="n"/>
      <c r="J27" s="3" t="n"/>
      <c r="K27" s="3" t="inlineStr">
        <is>
          <t>✅ 已驗證 (D-FINE Table 1, COCO val2017)：YOLOv6-L 52.8% AP, 9.04ms [Real-Time OD]</t>
        </is>
      </c>
      <c r="L27" s="6" t="inlineStr">
        <is>
          <t>https://arxiv.org/abs/2209.02976</t>
        </is>
      </c>
      <c r="M27" s="6" t="inlineStr">
        <is>
          <t>https://github.com/meituan/YOLOv6</t>
        </is>
      </c>
    </row>
    <row r="28">
      <c r="A28" s="3" t="inlineStr">
        <is>
          <t>Few-Shot OD</t>
        </is>
      </c>
      <c r="B28" s="3" t="inlineStr">
        <is>
          <t>Grounding DINO</t>
        </is>
      </c>
      <c r="C28" s="3" t="inlineStr">
        <is>
          <t>Liu et al.</t>
        </is>
      </c>
      <c r="D28" s="3" t="inlineStr">
        <is>
          <t>ECCV</t>
        </is>
      </c>
      <c r="E28" s="3" t="inlineStr">
        <is>
          <t>2024-10</t>
        </is>
      </c>
      <c r="F28" s="3" t="inlineStr">
        <is>
          <t>Preprint</t>
        </is>
      </c>
      <c r="G28" s="3" t="n">
        <v>52.5</v>
      </c>
      <c r="H28" s="3" t="inlineStr">
        <is>
          <t>AP=52.5</t>
        </is>
      </c>
      <c r="I28" s="3" t="n"/>
      <c r="J28" s="3" t="n"/>
      <c r="K28" s="3" t="inlineStr">
        <is>
          <t>✅ 已驗證 (Grounding DINO ECCV24)：52.5 AP zero-shot COCO transfer [Open-set OD]</t>
        </is>
      </c>
      <c r="L28" s="6" t="inlineStr">
        <is>
          <t>https://arxiv.org/abs/2303.05499</t>
        </is>
      </c>
      <c r="M28" s="6" t="inlineStr">
        <is>
          <t>https://github.com/amirbar/DETReg</t>
        </is>
      </c>
    </row>
    <row r="29">
      <c r="A29" s="3" t="inlineStr">
        <is>
          <t>Few-Shot OD</t>
        </is>
      </c>
      <c r="B29" s="3" t="inlineStr">
        <is>
          <t>UniFS (UniDetector)</t>
        </is>
      </c>
      <c r="C29" s="3" t="inlineStr">
        <is>
          <t>Wang et al.</t>
        </is>
      </c>
      <c r="D29" s="3" t="inlineStr">
        <is>
          <t>CVPR</t>
        </is>
      </c>
      <c r="E29" s="3" t="inlineStr">
        <is>
          <t>2023-06</t>
        </is>
      </c>
      <c r="F29" s="3" t="inlineStr">
        <is>
          <t>Preprint</t>
        </is>
      </c>
      <c r="G29" s="3" t="n">
        <v>49.3</v>
      </c>
      <c r="H29" s="3" t="inlineStr">
        <is>
          <t>AP=49.3</t>
        </is>
      </c>
      <c r="I29" s="3" t="n"/>
      <c r="J29" s="3" t="n"/>
      <c r="K29" s="3" t="inlineStr">
        <is>
          <t>✅ 已驗證 (UniDetector CVPR23 Table 2)：UniDetector ResNet-50 1× → 49.3 AP COCO val [Universal OD]</t>
        </is>
      </c>
      <c r="L29" s="6" t="inlineStr">
        <is>
          <t>https://arxiv.org/abs/2303.11749</t>
        </is>
      </c>
      <c r="M29" s="6" t="inlineStr">
        <is>
          <t>https://github.com/IDEA-Research/DN-DETR</t>
        </is>
      </c>
    </row>
    <row r="30">
      <c r="A30" s="3" t="inlineStr">
        <is>
          <t>General OD</t>
        </is>
      </c>
      <c r="B30" s="3" t="inlineStr">
        <is>
          <t>Deformable DETR (R50)</t>
        </is>
      </c>
      <c r="C30" s="3" t="inlineStr">
        <is>
          <t>Zhu et al.</t>
        </is>
      </c>
      <c r="D30" s="3" t="inlineStr">
        <is>
          <t>ICLR</t>
        </is>
      </c>
      <c r="E30" s="3" t="inlineStr">
        <is>
          <t>2021-05</t>
        </is>
      </c>
      <c r="F30" s="3" t="inlineStr">
        <is>
          <t>Preprint</t>
        </is>
      </c>
      <c r="G30" s="3" t="n">
        <v>46.9</v>
      </c>
      <c r="H30" s="3" t="inlineStr">
        <is>
          <t>AP=46.9</t>
        </is>
      </c>
      <c r="I30" s="3" t="n"/>
      <c r="J30" s="3" t="n"/>
      <c r="K30" s="3" t="inlineStr">
        <is>
          <t>✅ 已驗證 (Deformable DETR ICLR21 Table 3)：R50 backbone, 46.9% AP on COCO 2017 test-dev [DETR-based OD]</t>
        </is>
      </c>
      <c r="L30" s="6" t="inlineStr">
        <is>
          <t>https://arxiv.org/abs/2010.04159</t>
        </is>
      </c>
      <c r="M30" s="6" t="inlineStr">
        <is>
          <t>https://github.com/IDEA-Research/DAB-DETR</t>
        </is>
      </c>
    </row>
    <row r="31">
      <c r="A31" s="3" t="inlineStr">
        <is>
          <t>General OD</t>
        </is>
      </c>
      <c r="B31" s="3" t="inlineStr">
        <is>
          <t>DAB-DETR</t>
        </is>
      </c>
      <c r="C31" s="3" t="inlineStr">
        <is>
          <t>Liu et al.</t>
        </is>
      </c>
      <c r="D31" s="3" t="inlineStr">
        <is>
          <t>ICLR</t>
        </is>
      </c>
      <c r="E31" s="3" t="inlineStr">
        <is>
          <t>2022-03</t>
        </is>
      </c>
      <c r="F31" s="3" t="inlineStr">
        <is>
          <t>Preprint</t>
        </is>
      </c>
      <c r="G31" s="3" t="n">
        <v>46.8</v>
      </c>
      <c r="H31" s="3" t="inlineStr">
        <is>
          <t>AP=46.8</t>
        </is>
      </c>
      <c r="I31" s="3" t="n"/>
      <c r="J31" s="3" t="n"/>
      <c r="K31" s="3" t="inlineStr">
        <is>
          <t>✅ 已驗證 (DAB-DETR ICLR22 Table 2)：DAB-Deformable-DETR-R50 46.8% AP COCO val [DETR variant]</t>
        </is>
      </c>
      <c r="L31" s="6" t="inlineStr">
        <is>
          <t>https://arxiv.org/abs/2201.12329</t>
        </is>
      </c>
      <c r="M31" s="6" t="inlineStr">
        <is>
          <t>https://github.com/fundamentalvision/Deformable-DETR</t>
        </is>
      </c>
    </row>
    <row r="32">
      <c r="A32" s="3" t="inlineStr">
        <is>
          <t>Few-Shot OD</t>
        </is>
      </c>
      <c r="B32" s="3" t="inlineStr">
        <is>
          <t>DETReg</t>
        </is>
      </c>
      <c r="C32" s="3" t="inlineStr">
        <is>
          <t>Bar et al.</t>
        </is>
      </c>
      <c r="D32" s="3" t="inlineStr">
        <is>
          <t>CVPR</t>
        </is>
      </c>
      <c r="E32" s="3" t="inlineStr">
        <is>
          <t>2022-06</t>
        </is>
      </c>
      <c r="F32" s="3" t="inlineStr">
        <is>
          <t>Preprint</t>
        </is>
      </c>
      <c r="G32" s="3" t="n">
        <v>45.5</v>
      </c>
      <c r="H32" s="3" t="inlineStr">
        <is>
          <t>AP=45.5</t>
        </is>
      </c>
      <c r="I32" s="3" t="n"/>
      <c r="J32" s="3" t="n"/>
      <c r="K32" s="3" t="inlineStr">
        <is>
          <t>✅ 已驗證 (DETReg CVPR22 Table 1)：DETReg 45.5 AP COCO val under semi-supervised fine-tuning [Self-supervised pre-train OD]</t>
        </is>
      </c>
      <c r="L32" s="6" t="inlineStr">
        <is>
          <t>https://arxiv.org/abs/2106.04550</t>
        </is>
      </c>
      <c r="M32" s="6" t="inlineStr">
        <is>
          <t>https://github.com/PeizeSun/SparseR-CNN</t>
        </is>
      </c>
    </row>
    <row r="33">
      <c r="A33" s="3" t="inlineStr">
        <is>
          <t>General OD</t>
        </is>
      </c>
      <c r="B33" s="3" t="inlineStr">
        <is>
          <t>Brain-Inspired Spiking Neural Networks for Energy-Efficient</t>
        </is>
      </c>
      <c r="C33" s="3" t="inlineStr">
        <is>
          <t>—</t>
        </is>
      </c>
      <c r="D33" s="3" t="inlineStr">
        <is>
          <t>CVPR 2025</t>
        </is>
      </c>
      <c r="E33" s="3" t="inlineStr">
        <is>
          <t>2025-06</t>
        </is>
      </c>
      <c r="F33" s="3" t="inlineStr">
        <is>
          <t>Preprint</t>
        </is>
      </c>
      <c r="G33" s="3" t="n">
        <v>45.3</v>
      </c>
      <c r="H33" s="3" t="inlineStr">
        <is>
          <t>AP=45.3 | AP50=62.0</t>
        </is>
      </c>
      <c r="I33" s="3" t="n"/>
      <c r="J33" s="3" t="n"/>
      <c r="K33" s="3" t="inlineStr">
        <is>
          <t>✅ verified (Brain-Inspired Spiking NN CVPR25 CVF PDF): COCO val mAP@0.5:0.95=45.3 / mAP@50=62.0。註：脈衝神經網路 (SNN) 節能設定，與標準 ANN 偵測器非完全可比</t>
        </is>
      </c>
      <c r="L33" s="6" t="inlineStr">
        <is>
          <t>https://openaccess.thecvf.com/content/CVPR2025/html/Li_Brain-Inspired_Spiking_Neural_Networks_for_Energy-Efficient_Object_Detection_CVPR_2025_paper.html</t>
        </is>
      </c>
      <c r="M33" s="6" t="inlineStr">
        <is>
          <t>https://github.com/facebookresearch/detr</t>
        </is>
      </c>
    </row>
    <row r="34">
      <c r="A34" s="3" t="inlineStr">
        <is>
          <t>General OD</t>
        </is>
      </c>
      <c r="B34" s="3" t="inlineStr">
        <is>
          <t>Sparse R-CNN (R101)</t>
        </is>
      </c>
      <c r="C34" s="3" t="inlineStr">
        <is>
          <t>Sun et al.</t>
        </is>
      </c>
      <c r="D34" s="3" t="inlineStr">
        <is>
          <t>CVPR</t>
        </is>
      </c>
      <c r="E34" s="3" t="inlineStr">
        <is>
          <t>2021-01</t>
        </is>
      </c>
      <c r="F34" s="3" t="inlineStr">
        <is>
          <t>Preprint</t>
        </is>
      </c>
      <c r="G34" s="3" t="n">
        <v>44.1</v>
      </c>
      <c r="H34" s="3" t="inlineStr">
        <is>
          <t>AP=44.1</t>
        </is>
      </c>
      <c r="I34" s="3" t="n"/>
      <c r="J34" s="3" t="n"/>
      <c r="K34" s="3" t="inlineStr">
        <is>
          <t>✅ 已驗證 (Sparse R-CNN CVPR21 Table 1)：R101-FPN 44.1% AP val (46.4 with 300 proposals) [Sparse Query OD]</t>
        </is>
      </c>
      <c r="L34" s="6" t="inlineStr">
        <is>
          <t>https://arxiv.org/abs/2011.12450</t>
        </is>
      </c>
      <c r="M34" s="6" t="inlineStr">
        <is>
          <t>https://github.com/xingyizhou/CenterNet</t>
        </is>
      </c>
    </row>
    <row r="35">
      <c r="A35" s="3" t="inlineStr">
        <is>
          <t>General OD</t>
        </is>
      </c>
      <c r="B35" s="3" t="inlineStr">
        <is>
          <t>DETR (R101)</t>
        </is>
      </c>
      <c r="C35" s="3" t="inlineStr">
        <is>
          <t>Carion et al.</t>
        </is>
      </c>
      <c r="D35" s="3" t="inlineStr">
        <is>
          <t>ECCV</t>
        </is>
      </c>
      <c r="E35" s="3" t="inlineStr">
        <is>
          <t>2020-09</t>
        </is>
      </c>
      <c r="F35" s="3" t="inlineStr">
        <is>
          <t>Preprint</t>
        </is>
      </c>
      <c r="G35" s="3" t="n">
        <v>43.5</v>
      </c>
      <c r="H35" s="3" t="inlineStr">
        <is>
          <t>AP=43.5</t>
        </is>
      </c>
      <c r="I35" s="3" t="n"/>
      <c r="J35" s="3" t="n"/>
      <c r="K35" s="3" t="inlineStr">
        <is>
          <t>✅ 已驗證 (DETR ECCV20 Table 1)：DETR-R101 43.5% AP on COCO 2017 validation [DETR-based]</t>
        </is>
      </c>
      <c r="L35" s="6" t="inlineStr">
        <is>
          <t>https://arxiv.org/abs/2005.12872</t>
        </is>
      </c>
      <c r="M35" s="6" t="inlineStr">
        <is>
          <t>N/A</t>
        </is>
      </c>
    </row>
    <row r="36">
      <c r="A36" s="3" t="inlineStr">
        <is>
          <t>General OD</t>
        </is>
      </c>
      <c r="B36" s="3" t="inlineStr">
        <is>
          <t>DN-DETR</t>
        </is>
      </c>
      <c r="C36" s="3" t="inlineStr">
        <is>
          <t>Li et al.</t>
        </is>
      </c>
      <c r="D36" s="3" t="inlineStr">
        <is>
          <t>CVPR</t>
        </is>
      </c>
      <c r="E36" s="3" t="inlineStr">
        <is>
          <t>2022-03</t>
        </is>
      </c>
      <c r="F36" s="3" t="inlineStr">
        <is>
          <t>Preprint</t>
        </is>
      </c>
      <c r="G36" s="3" t="n">
        <v>43.4</v>
      </c>
      <c r="H36" s="3" t="inlineStr">
        <is>
          <t>AP=43.4</t>
        </is>
      </c>
      <c r="I36" s="3" t="n"/>
      <c r="J36" s="3" t="n"/>
      <c r="K36" s="3" t="inlineStr">
        <is>
          <t>✅ 已驗證 (DN-DETR CVPR22 Table 1)：DN-Deformable-DETR-R50 43.4% AP COCO val [DETR denoising training]</t>
        </is>
      </c>
      <c r="L36" s="6" t="inlineStr">
        <is>
          <t>https://arxiv.org/abs/2203.01305</t>
        </is>
      </c>
      <c r="M36" s="6" t="inlineStr">
        <is>
          <t>N/A</t>
        </is>
      </c>
    </row>
    <row r="37">
      <c r="A37" s="3" t="inlineStr">
        <is>
          <t>General OD</t>
        </is>
      </c>
      <c r="B37" s="3" t="inlineStr">
        <is>
          <t>CenterNet</t>
        </is>
      </c>
      <c r="C37" s="3" t="inlineStr">
        <is>
          <t>Zhou et al.</t>
        </is>
      </c>
      <c r="D37" s="3" t="inlineStr">
        <is>
          <t>arXiv</t>
        </is>
      </c>
      <c r="E37" s="3" t="inlineStr">
        <is>
          <t>2019-04</t>
        </is>
      </c>
      <c r="F37" s="3" t="inlineStr">
        <is>
          <t>Preprint</t>
        </is>
      </c>
      <c r="G37" s="3" t="n">
        <v>42.1</v>
      </c>
      <c r="H37" s="3" t="inlineStr">
        <is>
          <t>AP=42.1</t>
        </is>
      </c>
      <c r="I37" s="3" t="n"/>
      <c r="J37" s="3" t="n"/>
      <c r="K37" s="3" t="inlineStr">
        <is>
          <t>✅ 已驗證 (CenterNet ICCV19 Table 2)：Hourglass-104 42.1% AP test-dev/val [Anchor-free OD]</t>
        </is>
      </c>
      <c r="L37" s="6" t="inlineStr">
        <is>
          <t>https://arxiv.org/abs/1904.07850</t>
        </is>
      </c>
      <c r="M37" s="6" t="inlineStr">
        <is>
          <t>N/A</t>
        </is>
      </c>
    </row>
    <row r="38">
      <c r="A38" s="3" t="inlineStr">
        <is>
          <t>General OD</t>
        </is>
      </c>
      <c r="B38" s="3" t="inlineStr">
        <is>
          <t>VFM$^{4}$SDG: Unveiling the Power of VFMs for Single-Domain Generalized Object Detection</t>
        </is>
      </c>
      <c r="C38" s="3" t="inlineStr">
        <is>
          <t>Yupeng Zhang, Ruize Han, Ningnan Guo, Wei Feng, Song Wang, Liang Wan</t>
        </is>
      </c>
      <c r="D38" s="3" t="inlineStr">
        <is>
          <t>arXiv</t>
        </is>
      </c>
      <c r="E38" s="3" t="inlineStr">
        <is>
          <t>2026-04</t>
        </is>
      </c>
      <c r="F38" s="3" t="inlineStr">
        <is>
          <t>Preprint</t>
        </is>
      </c>
      <c r="G38" s="3" t="n"/>
      <c r="H38" s="3" t="n"/>
      <c r="I38" s="3" t="n"/>
      <c r="J38" s="3" t="n"/>
      <c r="K38" s="3" t="inlineStr">
        <is>
          <t>⚠️ VFM4SDG (arxiv 2604.21502): PDF 查證 COCO 0 次提及 — 為 domain-generalization 研究，未報標準 COCO val AP</t>
        </is>
      </c>
      <c r="L38" s="6" t="inlineStr">
        <is>
          <t>https://arxiv.org/abs/2604.21502</t>
        </is>
      </c>
      <c r="M38" s="6" t="inlineStr">
        <is>
          <t>N/A</t>
        </is>
      </c>
    </row>
    <row r="39">
      <c r="A39" s="3" t="inlineStr">
        <is>
          <t>General OD</t>
        </is>
      </c>
      <c r="B39" s="3" t="inlineStr">
        <is>
          <t>UHR-DETR: Efficient End-to-End Small Object Detection for Ultra-High-Resolution Remote Sen</t>
        </is>
      </c>
      <c r="C39" s="3" t="inlineStr">
        <is>
          <t>Jingfang Li, Haoran Zhu, Wen Yang, Jinrui Zhang, Fang Xu, Haijian Zhang, Gui-Song Xia</t>
        </is>
      </c>
      <c r="D39" s="3" t="inlineStr">
        <is>
          <t>arXiv</t>
        </is>
      </c>
      <c r="E39" s="3" t="inlineStr">
        <is>
          <t>2026-04</t>
        </is>
      </c>
      <c r="F39" s="3" t="inlineStr">
        <is>
          <t>Preprint</t>
        </is>
      </c>
      <c r="G39" s="3" t="n"/>
      <c r="H39" s="3" t="n"/>
      <c r="I39" s="3" t="n"/>
      <c r="J39" s="3" t="n"/>
      <c r="K39" s="3" t="inlineStr">
        <is>
          <t>⚠️ UHR-DETR (arxiv 2604.21435): PDF 查證 COCO 0 次提及 — 小物件偵測 (非標準 COCO val box AP)</t>
        </is>
      </c>
      <c r="L39" s="6" t="inlineStr">
        <is>
          <t>https://arxiv.org/abs/2604.21435</t>
        </is>
      </c>
      <c r="M39" s="6" t="inlineStr">
        <is>
          <t>N/A</t>
        </is>
      </c>
    </row>
    <row r="40">
      <c r="A40" s="3" t="inlineStr">
        <is>
          <t>General OD</t>
        </is>
      </c>
      <c r="B40" s="3" t="inlineStr">
        <is>
          <t>Search and Detect</t>
        </is>
      </c>
      <c r="C40" s="3" t="inlineStr">
        <is>
          <t>—</t>
        </is>
      </c>
      <c r="D40" s="3" t="inlineStr">
        <is>
          <t>CVPR 2025</t>
        </is>
      </c>
      <c r="E40" s="3" t="inlineStr">
        <is>
          <t>2025-06</t>
        </is>
      </c>
      <c r="F40" s="3" t="inlineStr">
        <is>
          <t>Preprint</t>
        </is>
      </c>
      <c r="G40" s="3" t="n"/>
      <c r="H40" s="3" t="n"/>
      <c r="I40" s="3" t="n"/>
      <c r="J40" s="3" t="n"/>
      <c r="K40" s="3" t="inlineStr">
        <is>
          <t>⚠️ SearchDet (CVPR25 CVF PDF): 訓練免費長尾 OD，評估於 COCO+LVIS 但報 LVIS-style AP splits，非單一標準 COCO val box AP</t>
        </is>
      </c>
      <c r="L40" s="6" t="inlineStr">
        <is>
          <t>https://openaccess.thecvf.com/content/CVPR2025/html/Sidhu_Search_and_Detect_Training-Free_Long_Tail_Object_Detection_via_Web-Image_CVPR_2025_paper.html</t>
        </is>
      </c>
      <c r="M40" s="6" t="inlineStr">
        <is>
          <t>N/A</t>
        </is>
      </c>
    </row>
    <row r="41">
      <c r="A41" s="3" t="inlineStr">
        <is>
          <t>General OD</t>
        </is>
      </c>
      <c r="B41" s="3" t="inlineStr">
        <is>
          <t>SET</t>
        </is>
      </c>
      <c r="C41" s="3" t="inlineStr">
        <is>
          <t>—</t>
        </is>
      </c>
      <c r="D41" s="3" t="inlineStr">
        <is>
          <t>CVPR 2025</t>
        </is>
      </c>
      <c r="E41" s="3" t="inlineStr">
        <is>
          <t>2025-06</t>
        </is>
      </c>
      <c r="F41" s="3" t="inlineStr">
        <is>
          <t>Preprint</t>
        </is>
      </c>
      <c r="G41" s="3" t="n"/>
      <c r="H41" s="3" t="n"/>
      <c r="I41" s="3" t="n"/>
      <c r="J41" s="3" t="n"/>
      <c r="K41" s="3" t="inlineStr">
        <is>
          <t>⚠️ SET (CVPR25 CVF PDF): 微小物件偵測，評估於 AI-TOD benchmark — 非標準 COCO val AP</t>
        </is>
      </c>
      <c r="L41" s="6" t="inlineStr">
        <is>
          <t>https://openaccess.thecvf.com/content/CVPR2025/html/Sun_SET_Spectral_Enhancement_for_Tiny_Object_Detection_CVPR_2025_paper.html</t>
        </is>
      </c>
      <c r="M41" s="6" t="inlineStr">
        <is>
          <t>N/A</t>
        </is>
      </c>
    </row>
    <row r="42">
      <c r="A42" s="3" t="inlineStr">
        <is>
          <t>General OD</t>
        </is>
      </c>
      <c r="B42" s="3" t="inlineStr">
        <is>
          <t>SimLTD</t>
        </is>
      </c>
      <c r="C42" s="3" t="inlineStr">
        <is>
          <t>—</t>
        </is>
      </c>
      <c r="D42" s="3" t="inlineStr">
        <is>
          <t>CVPR 2025</t>
        </is>
      </c>
      <c r="E42" s="3" t="inlineStr">
        <is>
          <t>2025-06</t>
        </is>
      </c>
      <c r="F42" s="3" t="inlineStr">
        <is>
          <t>Preprint</t>
        </is>
      </c>
      <c r="G42" s="3" t="n"/>
      <c r="H42" s="3" t="n"/>
      <c r="I42" s="3" t="n"/>
      <c r="J42" s="3" t="n"/>
      <c r="K42" s="3" t="inlineStr">
        <is>
          <t>⚠️ SimLTD (CVPR25 CVF PDF): 長尾 OD，記錄於 LVIS v1 benchmark — 非標準 COCO val AP</t>
        </is>
      </c>
      <c r="L42" s="6" t="inlineStr">
        <is>
          <t>https://openaccess.thecvf.com/content/CVPR2025/html/Tran_SimLTD_Simple_Supervised_and_Semi-Supervised_Long-Tailed_Object_Detection_CVPR_2025_paper.html</t>
        </is>
      </c>
      <c r="M42"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M13" r:id="rId20"/>
    <hyperlink xmlns:r="http://schemas.openxmlformats.org/officeDocument/2006/relationships" ref="L15" r:id="rId21"/>
    <hyperlink xmlns:r="http://schemas.openxmlformats.org/officeDocument/2006/relationships" ref="L16" r:id="rId22"/>
    <hyperlink xmlns:r="http://schemas.openxmlformats.org/officeDocument/2006/relationships" ref="L17" r:id="rId23"/>
    <hyperlink xmlns:r="http://schemas.openxmlformats.org/officeDocument/2006/relationships" ref="L19" r:id="rId2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99"/>
  <sheetViews>
    <sheetView workbookViewId="0">
      <pane ySplit="1" topLeftCell="A3" activePane="bottomLeft" state="frozen"/>
      <selection pane="bottomLeft" activeCell="B7" sqref="B7"/>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Published</t>
        </is>
      </c>
      <c r="G2" s="2" t="n">
        <v>65.90000000000001</v>
      </c>
      <c r="H2" s="2" t="inlineStr">
        <is>
          <t>AP=65.9</t>
        </is>
      </c>
      <c r="I2" s="2" t="inlineStr">
        <is>
          <t>N/A</t>
        </is>
      </c>
      <c r="J2" s="2" t="inlineStr">
        <is>
          <t>304M</t>
        </is>
      </c>
      <c r="K2" s="2" t="inlineStr">
        <is>
          <t>✅ verified (Co-DETR ICCV23, arxiv 2211.12860): 65.9 box AP COCO val2017 (ViT-L)</t>
        </is>
      </c>
      <c r="L2" s="9" t="inlineStr">
        <is>
          <t>https://arxiv.org/abs/2211.12860</t>
        </is>
      </c>
      <c r="M2" s="9" t="inlineStr">
        <is>
          <t>https://github.com/Sense-X/Co-DETR</t>
        </is>
      </c>
    </row>
    <row r="3" ht="48" customHeight="1">
      <c r="A3" s="2" t="inlineStr">
        <is>
          <t>General OD</t>
        </is>
      </c>
      <c r="B3" s="2" t="inlineStr">
        <is>
          <t>InternImage-H</t>
        </is>
      </c>
      <c r="C3" s="2" t="inlineStr">
        <is>
          <t>Wang et al.</t>
        </is>
      </c>
      <c r="D3" s="2" t="inlineStr">
        <is>
          <t>CVPR</t>
        </is>
      </c>
      <c r="E3" s="2" t="inlineStr">
        <is>
          <t>2023-06</t>
        </is>
      </c>
      <c r="F3" s="2" t="inlineStr">
        <is>
          <t>Published</t>
        </is>
      </c>
      <c r="G3" s="2" t="n">
        <v>65</v>
      </c>
      <c r="H3" s="2" t="inlineStr">
        <is>
          <t>AP=65.0</t>
        </is>
      </c>
      <c r="I3" s="2" t="inlineStr">
        <is>
          <t>N/A</t>
        </is>
      </c>
      <c r="J3" s="2" t="inlineStr">
        <is>
          <t>≈1.08B</t>
        </is>
      </c>
      <c r="K3" s="2" t="inlineStr">
        <is>
          <t>✅ verified (InternImage CVPR23, arxiv 2211.05778): 65.0 box AP COCO val2017</t>
        </is>
      </c>
      <c r="L3" s="9" t="inlineStr">
        <is>
          <t>https://arxiv.org/abs/2211.05778</t>
        </is>
      </c>
      <c r="M3" s="9" t="inlineStr">
        <is>
          <t>https://github.com/OpenGVLab/InternImage</t>
        </is>
      </c>
    </row>
    <row r="4" ht="48" customHeight="1">
      <c r="A4" s="2" t="inlineStr">
        <is>
          <t>General OD</t>
        </is>
      </c>
      <c r="B4" s="2" t="inlineStr">
        <is>
          <t>EVA-02-Det</t>
        </is>
      </c>
      <c r="C4" s="2" t="inlineStr">
        <is>
          <t>Fang et al.</t>
        </is>
      </c>
      <c r="D4" s="2" t="inlineStr">
        <is>
          <t>arXiv</t>
        </is>
      </c>
      <c r="E4" s="2" t="inlineStr">
        <is>
          <t>2023-10</t>
        </is>
      </c>
      <c r="F4" s="2" t="inlineStr">
        <is>
          <t>Published</t>
        </is>
      </c>
      <c r="G4" s="2" t="n">
        <v>64.09999999999999</v>
      </c>
      <c r="H4" s="2" t="inlineStr">
        <is>
          <t>AP=64.1</t>
        </is>
      </c>
      <c r="I4" s="2" t="inlineStr">
        <is>
          <t>N/A</t>
        </is>
      </c>
      <c r="J4" s="2" t="inlineStr">
        <is>
          <t>≈600M</t>
        </is>
      </c>
      <c r="K4" s="2" t="inlineStr">
        <is>
          <t>✅ verified (EVA-02 arxiv 2303.11331): 64.1 box AP COCO val2017</t>
        </is>
      </c>
      <c r="L4" s="9" t="inlineStr">
        <is>
          <t>https://arxiv.org/abs/2303.11331</t>
        </is>
      </c>
      <c r="M4" s="9" t="inlineStr">
        <is>
          <t>https://github.com/baaivision/EVA</t>
        </is>
      </c>
    </row>
    <row r="5" ht="48" customHeight="1">
      <c r="A5" s="2" t="inlineStr">
        <is>
          <t>General OD</t>
        </is>
      </c>
      <c r="B5" s="2" t="inlineStr">
        <is>
          <t>Relation-DETR (FocalNet-L)</t>
        </is>
      </c>
      <c r="C5" s="2" t="inlineStr">
        <is>
          <t>Hou et al.</t>
        </is>
      </c>
      <c r="D5" s="2" t="inlineStr">
        <is>
          <t>ECCV</t>
        </is>
      </c>
      <c r="E5" s="2" t="inlineStr">
        <is>
          <t>2024-09</t>
        </is>
      </c>
      <c r="F5" s="2" t="inlineStr">
        <is>
          <t>Published</t>
        </is>
      </c>
      <c r="G5" s="2" t="n">
        <v>63.5</v>
      </c>
      <c r="H5" s="2" t="inlineStr">
        <is>
          <t>AP=63.5</t>
        </is>
      </c>
      <c r="I5" s="2" t="inlineStr">
        <is>
          <t>N/A</t>
        </is>
      </c>
      <c r="J5" s="2" t="inlineStr">
        <is>
          <t>N/A</t>
        </is>
      </c>
      <c r="K5" s="2" t="inlineStr">
        <is>
          <t>✅ verified (Relation-DETR ECCV24, arxiv 2407.11699): 63.5 box AP COCO val (FocalNet-L)</t>
        </is>
      </c>
      <c r="L5" s="9" t="inlineStr">
        <is>
          <t>https://arxiv.org/abs/2407.11699</t>
        </is>
      </c>
      <c r="M5" s="9" t="inlineStr">
        <is>
          <t>https://github.com/xiuqhou/Relation-DETR</t>
        </is>
      </c>
    </row>
    <row r="6" ht="48" customHeight="1">
      <c r="A6" s="2" t="inlineStr">
        <is>
          <t>General OD</t>
        </is>
      </c>
      <c r="B6" s="2" t="inlineStr">
        <is>
          <t>DINO (Swin-L)</t>
        </is>
      </c>
      <c r="C6" s="2" t="inlineStr">
        <is>
          <t>Zhang et al.</t>
        </is>
      </c>
      <c r="D6" s="2" t="inlineStr">
        <is>
          <t>ICLR</t>
        </is>
      </c>
      <c r="E6" s="2" t="inlineStr">
        <is>
          <t>2023-03</t>
        </is>
      </c>
      <c r="F6" s="2" t="inlineStr">
        <is>
          <t>Published</t>
        </is>
      </c>
      <c r="G6" s="2" t="n">
        <v>63.2</v>
      </c>
      <c r="H6" s="2" t="inlineStr">
        <is>
          <t>AP=63.2</t>
        </is>
      </c>
      <c r="I6" s="2" t="inlineStr">
        <is>
          <t>N/A</t>
        </is>
      </c>
      <c r="J6" s="2" t="inlineStr">
        <is>
          <t>218M</t>
        </is>
      </c>
      <c r="K6" s="2" t="inlineStr">
        <is>
          <t>✅ verified (DINO ICLR23, arxiv 2203.03605): 63.2 box AP COCO val2017 (Swin-L)</t>
        </is>
      </c>
      <c r="L6" s="9" t="inlineStr">
        <is>
          <t>https://arxiv.org/abs/2203.03605</t>
        </is>
      </c>
      <c r="M6" s="9" t="inlineStr">
        <is>
          <t>https://github.com/IDEA-Research/DINO</t>
        </is>
      </c>
    </row>
    <row r="7" ht="48" customHeight="1">
      <c r="A7" s="3" t="inlineStr">
        <is>
          <t>General OD</t>
        </is>
      </c>
      <c r="B7" s="3" t="inlineStr">
        <is>
          <t>ViTDet (ViT-H, MAE)</t>
        </is>
      </c>
      <c r="C7" s="3" t="inlineStr">
        <is>
          <t>Li et al.</t>
        </is>
      </c>
      <c r="D7" s="3" t="inlineStr">
        <is>
          <t>ECCV</t>
        </is>
      </c>
      <c r="E7" s="3" t="inlineStr">
        <is>
          <t>2022-09</t>
        </is>
      </c>
      <c r="F7" s="3" t="inlineStr">
        <is>
          <t>Preprint</t>
        </is>
      </c>
      <c r="G7" s="3" t="n">
        <v>61.3</v>
      </c>
      <c r="H7" s="3" t="inlineStr">
        <is>
          <t>AP=61.3</t>
        </is>
      </c>
      <c r="I7" s="3" t="n"/>
      <c r="J7" s="3" t="n"/>
      <c r="K7" s="3" t="inlineStr">
        <is>
          <t>✅ 已驗證 (ViTDet ECCV22 abstract)：61.3 box AP on COCO with plain ViT-H, MAE pre-training [Plain ViT OD]</t>
        </is>
      </c>
      <c r="L7" s="6" t="inlineStr">
        <is>
          <t>https://arxiv.org/abs/2203.16527</t>
        </is>
      </c>
      <c r="M7" s="6" t="inlineStr">
        <is>
          <t>https://github.com/roboflow/rf-detr</t>
        </is>
      </c>
    </row>
    <row r="8" ht="48" customHeight="1">
      <c r="A8" s="3" t="inlineStr">
        <is>
          <t>General OD</t>
        </is>
      </c>
      <c r="B8" s="3" t="inlineStr">
        <is>
          <t>Mr. DETR</t>
        </is>
      </c>
      <c r="C8" s="3" t="inlineStr">
        <is>
          <t>—</t>
        </is>
      </c>
      <c r="D8" s="3" t="inlineStr">
        <is>
          <t>CVPR 2025</t>
        </is>
      </c>
      <c r="E8" s="3" t="inlineStr">
        <is>
          <t>2025-06</t>
        </is>
      </c>
      <c r="F8" s="3" t="inlineStr">
        <is>
          <t>Preprint</t>
        </is>
      </c>
      <c r="G8" s="3" t="n">
        <v>58.4</v>
      </c>
      <c r="H8" s="3" t="inlineStr">
        <is>
          <t>AP=58.4 | AP50=76.3 | AP75=63.9 | APS=40.8 | APM=62.8 | APL=75.3</t>
        </is>
      </c>
      <c r="I8" s="3" t="n"/>
      <c r="J8" s="3" t="n"/>
      <c r="K8" s="3" t="inlineStr">
        <is>
          <t>✅ verified (Mr. DETR CVPR25 CVF Table (Swin-L/DINO, COCO val)): AP=58.4 | AP50=76.3 | AP75=63.9 | APS=40.8 | APM=62.8 | APL=75.3</t>
        </is>
      </c>
      <c r="L8" s="6" t="inlineStr">
        <is>
          <t>https://openaccess.thecvf.com/content/CVPR2025/html/Zhang_Mr._DETR_Instructive_Multi-Route_Training_for_Detection_Transformers_CVPR_2025_paper.html</t>
        </is>
      </c>
      <c r="M8" s="6" t="inlineStr">
        <is>
          <t>https://github.com/RT-DETRs/RT-DETRv4</t>
        </is>
      </c>
    </row>
    <row r="9" ht="48" customHeight="1">
      <c r="A9" s="3" t="inlineStr">
        <is>
          <t>General OD</t>
        </is>
      </c>
      <c r="B9" s="3" t="inlineStr">
        <is>
          <t>MI-DETR</t>
        </is>
      </c>
      <c r="C9" s="3" t="inlineStr">
        <is>
          <t>—</t>
        </is>
      </c>
      <c r="D9" s="3" t="inlineStr">
        <is>
          <t>CVPR 2025</t>
        </is>
      </c>
      <c r="E9" s="3" t="inlineStr">
        <is>
          <t>2025-06</t>
        </is>
      </c>
      <c r="F9" s="3" t="inlineStr">
        <is>
          <t>Preprint</t>
        </is>
      </c>
      <c r="G9" s="3" t="n">
        <v>58.2</v>
      </c>
      <c r="H9" s="3" t="inlineStr">
        <is>
          <t>AP=58.2 | AP50=76.5 | AP75=63.4 | APS=42.5 | APM=62.8 | APL=74.6</t>
        </is>
      </c>
      <c r="I9" s="3" t="n"/>
      <c r="J9" s="3" t="n"/>
      <c r="K9" s="3" t="inlineStr">
        <is>
          <t>✅ verified (MI-DETR CVPR25 CVF Table (Swin-L, COCO val)): AP=58.2 | AP50=76.5 | AP75=63.4 | APS=42.5 | APM=62.8 | APL=74.6</t>
        </is>
      </c>
      <c r="L9" s="6" t="inlineStr">
        <is>
          <t>https://openaccess.thecvf.com/content/CVPR2025/html/Nan_MI-DETR_An_Object_Detection_Model_with_Multi-time_Inquiries_Mechanism_CVPR_2025_paper.html</t>
        </is>
      </c>
      <c r="M9" s="6" t="inlineStr">
        <is>
          <t>https://github.com/Intellindust-AI-Lab/DEIM</t>
        </is>
      </c>
    </row>
    <row r="10" ht="48" customHeight="1">
      <c r="A10" s="3" t="inlineStr">
        <is>
          <t>General OD</t>
        </is>
      </c>
      <c r="B10" s="3" t="inlineStr">
        <is>
          <t>Swin-L Cascade Mask R-CNN</t>
        </is>
      </c>
      <c r="C10" s="3" t="inlineStr">
        <is>
          <t>Liu et al.</t>
        </is>
      </c>
      <c r="D10" s="3" t="inlineStr">
        <is>
          <t>ICCV</t>
        </is>
      </c>
      <c r="E10" s="3" t="inlineStr">
        <is>
          <t>2021-08</t>
        </is>
      </c>
      <c r="F10" s="3" t="inlineStr">
        <is>
          <t>Preprint</t>
        </is>
      </c>
      <c r="G10" s="3" t="n">
        <v>58</v>
      </c>
      <c r="H10" s="3" t="inlineStr">
        <is>
          <t>AP=58.0</t>
        </is>
      </c>
      <c r="I10" s="3" t="n"/>
      <c r="J10" s="3" t="n"/>
      <c r="K10" s="3" t="inlineStr">
        <is>
          <t>✅ verified (Swin Transformer ICCV21 arxiv 2103.14030 Table: Swin-L HTC++ multi-scale): COCO val box AP 58.0 (test-dev 58.7)。完整 6 指標分解未於論文表列</t>
        </is>
      </c>
      <c r="L10" s="6" t="inlineStr">
        <is>
          <t>https://arxiv.org/abs/2103.14030</t>
        </is>
      </c>
      <c r="M10" s="6" t="inlineStr">
        <is>
          <t>https://github.com/Peterande/D-FINE</t>
        </is>
      </c>
    </row>
    <row r="11" ht="48" customHeight="1">
      <c r="A11" s="3" t="inlineStr">
        <is>
          <t>Real-Time OD</t>
        </is>
      </c>
      <c r="B11" s="3" t="inlineStr">
        <is>
          <t>DEIMv2 (DINOv3)</t>
        </is>
      </c>
      <c r="C11" s="3" t="inlineStr">
        <is>
          <t>Huang et al.</t>
        </is>
      </c>
      <c r="D11" s="3" t="inlineStr">
        <is>
          <t>arXiv</t>
        </is>
      </c>
      <c r="E11" s="3" t="inlineStr">
        <is>
          <t>2025-09</t>
        </is>
      </c>
      <c r="F11" s="3" t="inlineStr">
        <is>
          <t>Preprint</t>
        </is>
      </c>
      <c r="G11" s="3" t="n">
        <v>57.8</v>
      </c>
      <c r="H11" s="3" t="inlineStr">
        <is>
          <t>AP=57.8</t>
        </is>
      </c>
      <c r="I11" s="3" t="n"/>
      <c r="J11" s="3" t="n"/>
      <c r="K11" s="3" t="inlineStr">
        <is>
          <t>✅ 已驗證 (DEIMv2 arXiv25 Table 3, COCO val2017)：DEIMv2-X 57.8% AP, DINOv3 backbone [End-to-end RT-OD]</t>
        </is>
      </c>
      <c r="L11" s="6" t="inlineStr">
        <is>
          <t>https://arxiv.org/abs/2509.20787</t>
        </is>
      </c>
      <c r="M11" s="6" t="inlineStr">
        <is>
          <t>https://github.com/WongKinYiu/yolov9</t>
        </is>
      </c>
    </row>
    <row r="12" ht="48" customHeight="1">
      <c r="A12" s="3" t="inlineStr">
        <is>
          <t>Real-Time OD</t>
        </is>
      </c>
      <c r="B12" s="3" t="inlineStr">
        <is>
          <t>RT-DETRv4 (X)</t>
        </is>
      </c>
      <c r="C12" s="3" t="inlineStr">
        <is>
          <t>RT-DETRs</t>
        </is>
      </c>
      <c r="D12" s="3" t="inlineStr">
        <is>
          <t>arXiv</t>
        </is>
      </c>
      <c r="E12" s="3" t="inlineStr">
        <is>
          <t>2025-10</t>
        </is>
      </c>
      <c r="F12" s="3" t="inlineStr">
        <is>
          <t>Preprint</t>
        </is>
      </c>
      <c r="G12" s="3" t="n">
        <v>57</v>
      </c>
      <c r="H12" s="3" t="inlineStr">
        <is>
          <t>AP=57.0 | AP50=74.6 | AP75=62.1 | APS=39.5 | APM=61.9 | APL=74.8</t>
        </is>
      </c>
      <c r="I12" s="3" t="inlineStr">
        <is>
          <t>T4 78</t>
        </is>
      </c>
      <c r="J12" s="3" t="inlineStr">
        <is>
          <t>N/A</t>
        </is>
      </c>
      <c r="K12" s="3" t="inlineStr">
        <is>
          <t>✅ verified (RT-DETRv4 arxiv 2510.25257 Table (COCO val)): full COCO val breakdown AP=57.0 | AP50=74.6 | AP75=62.1 | APS=39.5 | APM=61.9 | APL=74.8</t>
        </is>
      </c>
      <c r="L12" s="6" t="inlineStr">
        <is>
          <t>https://arxiv.org/abs/2510.25257</t>
        </is>
      </c>
      <c r="M12" s="6" t="inlineStr">
        <is>
          <t>https://github.com/sunsmarterjie/yolov12</t>
        </is>
      </c>
    </row>
    <row r="13" ht="48" customHeight="1">
      <c r="A13" s="3" t="inlineStr">
        <is>
          <t>Real-Time OD</t>
        </is>
      </c>
      <c r="B13" s="3" t="inlineStr">
        <is>
          <t>RF-DETR (Large)</t>
        </is>
      </c>
      <c r="C13" s="3" t="inlineStr">
        <is>
          <t>Roboflow</t>
        </is>
      </c>
      <c r="D13" s="3" t="inlineStr">
        <is>
          <t>ICLR</t>
        </is>
      </c>
      <c r="E13" s="3" t="inlineStr">
        <is>
          <t>2026-04</t>
        </is>
      </c>
      <c r="F13" s="3" t="inlineStr">
        <is>
          <t>Accepted</t>
        </is>
      </c>
      <c r="G13" s="3" t="n">
        <v>56.5</v>
      </c>
      <c r="H13" s="3" t="inlineStr">
        <is>
          <t>AP=56.5 | AP50=75.1 | AP75=61.3 | APS=39.0 | APM=61.0 | APL=73.9</t>
        </is>
      </c>
      <c r="I13" s="3" t="inlineStr">
        <is>
          <t>T4 25</t>
        </is>
      </c>
      <c r="J13" s="3" t="inlineStr">
        <is>
          <t>N/A</t>
        </is>
      </c>
      <c r="K13" s="3" t="inlineStr">
        <is>
          <t>✅ verified+corrected (RF-DETR arxiv 2511.09554 Table, COCO val): RF-DETR-Large AP=56.5 (sheet had 60.5 which matches no RF-DETR variant: L=56.5/XL=58.6/2XL=60.1). AP=56.5 | AP50=75.1 | AP75=61.3 | APS=39.0 | APM=61.0 | APL=73.9</t>
        </is>
      </c>
      <c r="L13" s="6" t="inlineStr">
        <is>
          <t>https://arxiv.org/abs/2511.09554</t>
        </is>
      </c>
      <c r="M13" s="6" t="inlineStr">
        <is>
          <t>https://github.com/ultralytics/ultralytics</t>
        </is>
      </c>
    </row>
    <row r="14">
      <c r="A14" s="3" t="inlineStr">
        <is>
          <t>Real-Time OD</t>
        </is>
      </c>
      <c r="B14" s="3" t="inlineStr">
        <is>
          <t>DEIM-D-FINE-X</t>
        </is>
      </c>
      <c r="C14" s="3" t="inlineStr">
        <is>
          <t>Huang et al.</t>
        </is>
      </c>
      <c r="D14" s="3" t="inlineStr">
        <is>
          <t>CVPR</t>
        </is>
      </c>
      <c r="E14" s="3" t="inlineStr">
        <is>
          <t>2025-06</t>
        </is>
      </c>
      <c r="F14" s="3" t="inlineStr">
        <is>
          <t>Published</t>
        </is>
      </c>
      <c r="G14" s="3" t="n">
        <v>56.5</v>
      </c>
      <c r="H14" s="3" t="inlineStr">
        <is>
          <t>AP=56.5 | AP50=74.0 | AP75=61.5 | APS=38.8 | APM=61.4 | APL=74.2</t>
        </is>
      </c>
      <c r="I14" s="3" t="inlineStr">
        <is>
          <t>T4 78</t>
        </is>
      </c>
      <c r="J14" s="3" t="inlineStr">
        <is>
          <t>N/A</t>
        </is>
      </c>
      <c r="K14" s="3" t="inlineStr">
        <is>
          <t>✅ verified (DEIM arxiv 2412.04234 Table (COCO val)): full COCO val breakdown AP=56.5 | AP50=74.0 | AP75=61.5 | APS=38.8 | APM=61.4 | APL=74.2</t>
        </is>
      </c>
      <c r="L14" s="6" t="inlineStr">
        <is>
          <t>https://arxiv.org/abs/2412.04234</t>
        </is>
      </c>
      <c r="M14" s="6" t="inlineStr">
        <is>
          <t>https://github.com/roboflow/rf-detr</t>
        </is>
      </c>
    </row>
    <row r="15">
      <c r="A15" s="3" t="inlineStr">
        <is>
          <t>General OD</t>
        </is>
      </c>
      <c r="B15" s="3" t="inlineStr">
        <is>
          <t>DEIM</t>
        </is>
      </c>
      <c r="C15" s="3" t="inlineStr">
        <is>
          <t>—</t>
        </is>
      </c>
      <c r="D15" s="3" t="inlineStr">
        <is>
          <t>CVPR 2025</t>
        </is>
      </c>
      <c r="E15" s="3" t="inlineStr">
        <is>
          <t>2025-06</t>
        </is>
      </c>
      <c r="F15" s="3" t="inlineStr">
        <is>
          <t>Preprint</t>
        </is>
      </c>
      <c r="G15" s="3" t="n">
        <v>56.5</v>
      </c>
      <c r="H15" s="3" t="inlineStr">
        <is>
          <t>AP=56.5 | AP50=74.0 | AP75=61.5 | APS=38.8 | APM=61.4 | APL=74.2</t>
        </is>
      </c>
      <c r="I15" s="3" t="n"/>
      <c r="J15" s="3" t="n"/>
      <c r="K15" s="3" t="inlineStr">
        <is>
          <t>✅ verified (DEIM CVPR25 arxiv 2412.04234 Table, DEIM-X best, COCO val): 56.5/74.0/61.5/38.8/61.4/74.2</t>
        </is>
      </c>
      <c r="L15" s="6" t="inlineStr">
        <is>
          <t>https://openaccess.thecvf.com/content/CVPR2025/html/Huang_DEIM_DETR_with_Improved_Matching_for_Fast_Convergence_CVPR_2025_paper.html</t>
        </is>
      </c>
      <c r="M15" s="6" t="inlineStr">
        <is>
          <t>https://github.com/Intellindust-AI-Lab/DEIMv2</t>
        </is>
      </c>
    </row>
    <row r="16">
      <c r="A16" s="3" t="inlineStr">
        <is>
          <t>General OD</t>
        </is>
      </c>
      <c r="B16" s="3" t="inlineStr">
        <is>
          <t>DINO-X</t>
        </is>
      </c>
      <c r="C16" s="3" t="inlineStr">
        <is>
          <t>IDEA Research</t>
        </is>
      </c>
      <c r="D16" s="3" t="inlineStr">
        <is>
          <t>arXiv</t>
        </is>
      </c>
      <c r="E16" s="3" t="inlineStr">
        <is>
          <t>2024-11</t>
        </is>
      </c>
      <c r="F16" s="3" t="inlineStr">
        <is>
          <t>Preprint</t>
        </is>
      </c>
      <c r="G16" s="3" t="n">
        <v>56</v>
      </c>
      <c r="H16" s="3" t="inlineStr">
        <is>
          <t>AP=56.0</t>
        </is>
      </c>
      <c r="I16" s="3" t="n"/>
      <c r="J16" s="3" t="n"/>
      <c r="K16" s="3" t="inlineStr">
        <is>
          <t>✅ 已驗證 (DINO-X arXiv24 abstract)：DINO-X Pro 56.0% AP on COCO zero-shot transfer [Open-vocab Foundation Model]</t>
        </is>
      </c>
      <c r="L16" s="6" t="inlineStr">
        <is>
          <t>https://arxiv.org/abs/2411.14347</t>
        </is>
      </c>
      <c r="M16" s="6" t="inlineStr">
        <is>
          <t>https://github.com/iMoonLab/yolov13</t>
        </is>
      </c>
    </row>
    <row r="17">
      <c r="A17" s="3" t="inlineStr">
        <is>
          <t>Real-Time OD</t>
        </is>
      </c>
      <c r="B17" s="3" t="inlineStr">
        <is>
          <t>D-FINE-X</t>
        </is>
      </c>
      <c r="C17" s="3" t="inlineStr">
        <is>
          <t>Peng et al.</t>
        </is>
      </c>
      <c r="D17" s="3" t="inlineStr">
        <is>
          <t>ICLR</t>
        </is>
      </c>
      <c r="E17" s="3" t="inlineStr">
        <is>
          <t>2025-04</t>
        </is>
      </c>
      <c r="F17" s="3" t="inlineStr">
        <is>
          <t>Accepted</t>
        </is>
      </c>
      <c r="G17" s="3" t="n">
        <v>55.8</v>
      </c>
      <c r="H17" s="3" t="inlineStr">
        <is>
          <t>AP=55.8 | AP50=73.7 | AP75=60.2 | APS=37.3 | APM=60.5 | APL=73.4</t>
        </is>
      </c>
      <c r="I17" s="3" t="inlineStr">
        <is>
          <t>T4 78</t>
        </is>
      </c>
      <c r="J17" s="3" t="inlineStr">
        <is>
          <t>N/A</t>
        </is>
      </c>
      <c r="K17" s="3" t="inlineStr">
        <is>
          <t>✅ verified (D-FINE arxiv 2410.13842 Table (COCO val)): full COCO val breakdown AP=55.8 | AP50=73.7 | AP75=60.2 | APS=37.3 | APM=60.5 | APL=73.4</t>
        </is>
      </c>
      <c r="L17" s="6" t="inlineStr">
        <is>
          <t>https://arxiv.org/abs/2410.13842</t>
        </is>
      </c>
      <c r="M17" s="6" t="inlineStr">
        <is>
          <t>https://github.com/Intellindust-AI-Lab/DEIM</t>
        </is>
      </c>
    </row>
    <row r="18">
      <c r="A18" s="3" t="inlineStr">
        <is>
          <t>Real-Time OD</t>
        </is>
      </c>
      <c r="B18" s="3" t="inlineStr">
        <is>
          <t>YOLOv9-E</t>
        </is>
      </c>
      <c r="C18" s="3" t="inlineStr">
        <is>
          <t>Wang et al.</t>
        </is>
      </c>
      <c r="D18" s="3" t="inlineStr">
        <is>
          <t>ECCV</t>
        </is>
      </c>
      <c r="E18" s="3" t="inlineStr">
        <is>
          <t>2024-09</t>
        </is>
      </c>
      <c r="F18" s="3" t="inlineStr">
        <is>
          <t>Published</t>
        </is>
      </c>
      <c r="G18" s="3" t="n">
        <v>55.6</v>
      </c>
      <c r="H18" s="3" t="inlineStr">
        <is>
          <t>AP=55.6</t>
        </is>
      </c>
      <c r="I18" s="3" t="inlineStr">
        <is>
          <t>57</t>
        </is>
      </c>
      <c r="J18" s="3" t="inlineStr">
        <is>
          <t>57.3M</t>
        </is>
      </c>
      <c r="K18" s="3" t="inlineStr">
        <is>
          <t>✅ verified (YOLOv9 ECCV24, arxiv 2402.13616 Table 1): 55.6 box AP COCO val2017 (YOLOv9-E)</t>
        </is>
      </c>
      <c r="L18" s="6" t="inlineStr">
        <is>
          <t>https://arxiv.org/abs/2402.13616</t>
        </is>
      </c>
      <c r="M18" s="6" t="inlineStr">
        <is>
          <t>https://github.com/lovelyqian/NTIRE2025_CDFSOD</t>
        </is>
      </c>
    </row>
    <row r="19">
      <c r="A19" s="3" t="inlineStr">
        <is>
          <t>Real-Time OD</t>
        </is>
      </c>
      <c r="B19" s="3" t="inlineStr">
        <is>
          <t>YOLOv12-X</t>
        </is>
      </c>
      <c r="C19" s="3" t="inlineStr">
        <is>
          <t>Tian et al.</t>
        </is>
      </c>
      <c r="D19" s="3" t="inlineStr">
        <is>
          <t>NeurIPS</t>
        </is>
      </c>
      <c r="E19" s="3" t="inlineStr">
        <is>
          <t>2025-02</t>
        </is>
      </c>
      <c r="F19" s="3" t="inlineStr">
        <is>
          <t>Accepted</t>
        </is>
      </c>
      <c r="G19" s="3" t="n">
        <v>55.2</v>
      </c>
      <c r="H19" s="3" t="inlineStr">
        <is>
          <t>AP=55.2 | AP50=72.0 | AP75=60.2 | APS=39.6 | APM=60.7 | APL=70.9</t>
        </is>
      </c>
      <c r="I19" s="3" t="inlineStr">
        <is>
          <t>T4 ≈90</t>
        </is>
      </c>
      <c r="J19" s="3" t="inlineStr">
        <is>
          <t>59.1M</t>
        </is>
      </c>
      <c r="K19" s="3" t="inlineStr">
        <is>
          <t>✅ verified (YOLOv12 arxiv 2502.12524 Table (COCO val)): full COCO val breakdown AP=55.2 | AP50=72.0 | AP75=60.2 | APS=39.6 | APM=60.7 | APL=70.9</t>
        </is>
      </c>
      <c r="L19" s="6" t="inlineStr">
        <is>
          <t>https://arxiv.org/abs/2502.12524</t>
        </is>
      </c>
      <c r="M19" s="6" t="inlineStr">
        <is>
          <t>https://github.com/Peterande/D-FINE</t>
        </is>
      </c>
    </row>
    <row r="20">
      <c r="A20" s="3" t="inlineStr">
        <is>
          <t>General OD</t>
        </is>
      </c>
      <c r="B20" s="3" t="inlineStr">
        <is>
          <t>ConvNeXt-XL Cascade</t>
        </is>
      </c>
      <c r="C20" s="3" t="inlineStr">
        <is>
          <t>Liu et al.</t>
        </is>
      </c>
      <c r="D20" s="3" t="inlineStr">
        <is>
          <t>CVPR</t>
        </is>
      </c>
      <c r="E20" s="3" t="inlineStr">
        <is>
          <t>2022-03</t>
        </is>
      </c>
      <c r="F20" s="3" t="inlineStr">
        <is>
          <t>Preprint</t>
        </is>
      </c>
      <c r="G20" s="3" t="n">
        <v>55.2</v>
      </c>
      <c r="H20" s="3" t="inlineStr">
        <is>
          <t>AP=55.2</t>
        </is>
      </c>
      <c r="I20" s="3" t="n"/>
      <c r="J20" s="3" t="n"/>
      <c r="K20" s="3" t="inlineStr">
        <is>
          <t>✅ 已驗證 (ConvNeXt CVPR22 Table 8)：ConvNeXt-XL with Cascade Mask R-CNN 55.2 box AP COCO test-dev</t>
        </is>
      </c>
      <c r="L20" s="6" t="inlineStr">
        <is>
          <t>https://arxiv.org/abs/2201.03545</t>
        </is>
      </c>
      <c r="M20" s="6" t="inlineStr">
        <is>
          <t>https://github.com/clxia12/RT-DETRv3</t>
        </is>
      </c>
    </row>
    <row r="21">
      <c r="A21" s="3" t="inlineStr">
        <is>
          <t>Real-Time OD</t>
        </is>
      </c>
      <c r="B21" s="3" t="inlineStr">
        <is>
          <t>EfficientDet-D7</t>
        </is>
      </c>
      <c r="C21" s="3" t="inlineStr">
        <is>
          <t>Tan et al.</t>
        </is>
      </c>
      <c r="D21" s="3" t="inlineStr">
        <is>
          <t>CVPR</t>
        </is>
      </c>
      <c r="E21" s="3" t="inlineStr">
        <is>
          <t>2020-06</t>
        </is>
      </c>
      <c r="F21" s="3" t="inlineStr">
        <is>
          <t>Preprint</t>
        </is>
      </c>
      <c r="G21" s="3" t="n">
        <v>55.1</v>
      </c>
      <c r="H21" s="3" t="inlineStr">
        <is>
          <t>AP=55.1</t>
        </is>
      </c>
      <c r="I21" s="3" t="n"/>
      <c r="J21" s="3" t="n"/>
      <c r="K21" s="3" t="inlineStr">
        <is>
          <t>✅ 已驗證 (EfficientDet CVPR20 paper abstract)：EfficientDet-D7 55.1% AP on COCO test-dev, single-model single-scale [Real-Time OD]</t>
        </is>
      </c>
      <c r="L21" s="6" t="inlineStr">
        <is>
          <t>https://arxiv.org/abs/1911.09070</t>
        </is>
      </c>
      <c r="M21" s="6" t="inlineStr">
        <is>
          <t>https://github.com/THU-MIG/yolov10</t>
        </is>
      </c>
    </row>
    <row r="22">
      <c r="A22" s="3" t="inlineStr">
        <is>
          <t>Real-Time OD</t>
        </is>
      </c>
      <c r="B22" s="3" t="inlineStr">
        <is>
          <t>YOLOv13-X</t>
        </is>
      </c>
      <c r="C22" s="3" t="inlineStr">
        <is>
          <t>iMoonLab</t>
        </is>
      </c>
      <c r="D22" s="3" t="inlineStr">
        <is>
          <t>arXiv</t>
        </is>
      </c>
      <c r="E22" s="3" t="inlineStr">
        <is>
          <t>2025-06</t>
        </is>
      </c>
      <c r="F22" s="3" t="inlineStr">
        <is>
          <t>Preprint</t>
        </is>
      </c>
      <c r="G22" s="3" t="n">
        <v>54.8</v>
      </c>
      <c r="H22" s="3" t="inlineStr">
        <is>
          <t>AP=54.8</t>
        </is>
      </c>
      <c r="I22" s="3" t="n"/>
      <c r="J22" s="3" t="n"/>
      <c r="K22" s="3" t="inlineStr">
        <is>
          <t>✅ 已驗證 (YOLOv13 Table I, COCO val2017)：YOLOv13-X 54.8% AP [Real-Time OD]</t>
        </is>
      </c>
      <c r="L22" s="6" t="inlineStr">
        <is>
          <t>https://arxiv.org/abs/2506.17733</t>
        </is>
      </c>
      <c r="M22" s="6" t="inlineStr">
        <is>
          <t>https://github.com/IDEA-Research/DINO-X-API</t>
        </is>
      </c>
    </row>
    <row r="23">
      <c r="A23" s="3" t="inlineStr">
        <is>
          <t>Real-Time OD</t>
        </is>
      </c>
      <c r="B23" s="3" t="inlineStr">
        <is>
          <t>YOLO11x</t>
        </is>
      </c>
      <c r="C23" s="3" t="inlineStr">
        <is>
          <t>Ultralytics</t>
        </is>
      </c>
      <c r="D23" s="3" t="inlineStr">
        <is>
          <t>Official Docs</t>
        </is>
      </c>
      <c r="E23" s="3" t="inlineStr">
        <is>
          <t>2024-09</t>
        </is>
      </c>
      <c r="F23" s="3" t="inlineStr">
        <is>
          <t>Official Docs</t>
        </is>
      </c>
      <c r="G23" s="3" t="n">
        <v>54.7</v>
      </c>
      <c r="H23" s="3" t="inlineStr">
        <is>
          <t>AP=54.7</t>
        </is>
      </c>
      <c r="I23" s="3" t="inlineStr">
        <is>
          <t>T4 ≈110</t>
        </is>
      </c>
      <c r="J23" s="3" t="inlineStr">
        <is>
          <t>56.9M</t>
        </is>
      </c>
      <c r="K23" s="3" t="inlineStr">
        <is>
          <t>✅ verified (Ultralytics YOLO11 official docs): 54.7 box AP COCO val2017 (YOLO11x)</t>
        </is>
      </c>
      <c r="L23" s="6" t="inlineStr">
        <is>
          <t>https://docs.ultralytics.com/models/yolo11/</t>
        </is>
      </c>
      <c r="M23" s="6" t="inlineStr">
        <is>
          <t>https://github.com/IDEA-Research/GroundingDINO</t>
        </is>
      </c>
    </row>
    <row r="24">
      <c r="A24" s="3" t="inlineStr">
        <is>
          <t>Real-Time OD</t>
        </is>
      </c>
      <c r="B24" s="3" t="inlineStr">
        <is>
          <t>DEIM-D-FINE-L</t>
        </is>
      </c>
      <c r="C24" s="3" t="inlineStr">
        <is>
          <t>Huang et al.</t>
        </is>
      </c>
      <c r="D24" s="3" t="inlineStr">
        <is>
          <t>CVPR</t>
        </is>
      </c>
      <c r="E24" s="3" t="inlineStr">
        <is>
          <t>2025-06</t>
        </is>
      </c>
      <c r="F24" s="3" t="inlineStr">
        <is>
          <t>Preprint</t>
        </is>
      </c>
      <c r="G24" s="3" t="n">
        <v>54.7</v>
      </c>
      <c r="H24" s="3" t="inlineStr">
        <is>
          <t>AP=54.7</t>
        </is>
      </c>
      <c r="I24" s="3" t="n"/>
      <c r="J24" s="3" t="n"/>
      <c r="K24" s="3" t="inlineStr">
        <is>
          <t>✅ 已驗證 (DEIM CVPR25 Table 1, COCO val2017)：DEIM-D-FINE-L 54.7% AP [End-to-end RT-OD]</t>
        </is>
      </c>
      <c r="L24" s="6" t="inlineStr">
        <is>
          <t>https://arxiv.org/abs/2412.04234</t>
        </is>
      </c>
      <c r="M24" s="6" t="inlineStr">
        <is>
          <t>https://github.com/lovelyqian/CDFSOD-benchmark</t>
        </is>
      </c>
    </row>
    <row r="25">
      <c r="A25" s="3" t="inlineStr">
        <is>
          <t>Real-Time OD</t>
        </is>
      </c>
      <c r="B25" s="3" t="inlineStr">
        <is>
          <t>PP-YOLOE+ (X)</t>
        </is>
      </c>
      <c r="C25" s="3" t="inlineStr">
        <is>
          <t>Xu et al.</t>
        </is>
      </c>
      <c r="D25" s="3" t="inlineStr">
        <is>
          <t>arXiv</t>
        </is>
      </c>
      <c r="E25" s="3" t="inlineStr">
        <is>
          <t>2022-07</t>
        </is>
      </c>
      <c r="F25" s="3" t="inlineStr">
        <is>
          <t>Preprint</t>
        </is>
      </c>
      <c r="G25" s="3" t="n">
        <v>54.7</v>
      </c>
      <c r="H25" s="3" t="inlineStr">
        <is>
          <t>AP=54.7</t>
        </is>
      </c>
      <c r="I25" s="3" t="n"/>
      <c r="J25" s="3" t="n"/>
      <c r="K25" s="3" t="inlineStr">
        <is>
          <t>✅ 已驗證 (PP-YOLOE+ arXiv22 Table 1)：PP-YOLOE+-X 54.7% AP COCO test-dev [Real-Time OD]</t>
        </is>
      </c>
      <c r="L25" s="6" t="inlineStr">
        <is>
          <t>https://arxiv.org/abs/2203.16250</t>
        </is>
      </c>
      <c r="M25" s="6" t="inlineStr">
        <is>
          <t>https://github.com/lyuwenyu/RT-DETR</t>
        </is>
      </c>
    </row>
    <row r="26">
      <c r="A26" s="3" t="inlineStr">
        <is>
          <t>Real-Time OD</t>
        </is>
      </c>
      <c r="B26" s="3" t="inlineStr">
        <is>
          <t>RT-DETRv3-R101</t>
        </is>
      </c>
      <c r="C26" s="3" t="inlineStr">
        <is>
          <t>Wang et al.</t>
        </is>
      </c>
      <c r="D26" s="3" t="inlineStr">
        <is>
          <t>WACV</t>
        </is>
      </c>
      <c r="E26" s="3" t="inlineStr">
        <is>
          <t>2025-02</t>
        </is>
      </c>
      <c r="F26" s="3" t="inlineStr">
        <is>
          <t>Preprint</t>
        </is>
      </c>
      <c r="G26" s="3" t="n">
        <v>54.6</v>
      </c>
      <c r="H26" s="3" t="inlineStr">
        <is>
          <t>AP=54.6</t>
        </is>
      </c>
      <c r="I26" s="3" t="n"/>
      <c r="J26" s="3" t="n"/>
      <c r="K26" s="3" t="inlineStr">
        <is>
          <t>✅ 已驗證 (RT-DETRv3 Table 1, COCO val2017 6x)：RT-DETRv3-R101 54.6% AP [End-to-end RT-OD]</t>
        </is>
      </c>
      <c r="L26" s="6" t="inlineStr">
        <is>
          <t>https://arxiv.org/abs/2409.08475</t>
        </is>
      </c>
      <c r="M26" s="6" t="inlineStr">
        <is>
          <t>https://github.com/lyuwenyu/RT-DETR</t>
        </is>
      </c>
    </row>
    <row r="27">
      <c r="A27" s="3" t="inlineStr">
        <is>
          <t>Real-Time OD</t>
        </is>
      </c>
      <c r="B27" s="3" t="inlineStr">
        <is>
          <t>RT-DETRv3</t>
        </is>
      </c>
      <c r="C27" s="3" t="inlineStr">
        <is>
          <t>—</t>
        </is>
      </c>
      <c r="D27" s="3" t="inlineStr">
        <is>
          <t>WACV 2025</t>
        </is>
      </c>
      <c r="E27" s="3" t="inlineStr">
        <is>
          <t>2025-01</t>
        </is>
      </c>
      <c r="F27" s="3" t="inlineStr">
        <is>
          <t>Preprint</t>
        </is>
      </c>
      <c r="G27" s="3" t="n">
        <v>54.6</v>
      </c>
      <c r="H27" s="3" t="inlineStr">
        <is>
          <t>AP=54.6</t>
        </is>
      </c>
      <c r="I27" s="3" t="n"/>
      <c r="J27" s="3" t="n"/>
      <c r="K27" s="3" t="inlineStr">
        <is>
          <t>✅ 已驗證 (RT-DETRv3 Table 1)：headline number from R101 6x setting [End-to-end RT-OD]</t>
        </is>
      </c>
      <c r="L27" s="6" t="inlineStr">
        <is>
          <t>https://openaccess.thecvf.com/content/WACV2025/html/Wang_RT-DETRv3_Real-Time_End-to-End_Object_Detection_with_Hierarchical_Dense_Positive_Supervision_WACV_2025_paper.html</t>
        </is>
      </c>
      <c r="M27" s="6" t="inlineStr">
        <is>
          <t>https://github.com/IDEA-Research/Grounding-DINO-1.5-API</t>
        </is>
      </c>
    </row>
    <row r="28">
      <c r="A28" s="3" t="inlineStr">
        <is>
          <t>Real-Time OD</t>
        </is>
      </c>
      <c r="B28" s="3" t="inlineStr">
        <is>
          <t>YOLOv10-X</t>
        </is>
      </c>
      <c r="C28" s="3" t="inlineStr">
        <is>
          <t>Wang et al.</t>
        </is>
      </c>
      <c r="D28" s="3" t="inlineStr">
        <is>
          <t>NeurIPS</t>
        </is>
      </c>
      <c r="E28" s="3" t="inlineStr">
        <is>
          <t>2024-12</t>
        </is>
      </c>
      <c r="F28" s="3" t="inlineStr">
        <is>
          <t>Preprint</t>
        </is>
      </c>
      <c r="G28" s="3" t="n">
        <v>54.4</v>
      </c>
      <c r="H28" s="3" t="inlineStr">
        <is>
          <t>AP=54.4</t>
        </is>
      </c>
      <c r="I28" s="3" t="n"/>
      <c r="J28" s="3" t="n"/>
      <c r="K28" s="3" t="inlineStr">
        <is>
          <t>✅ 已驗證 (YOLOv13 Table I, COCO val2017)：YOLOv10-X 54.4% AP [Real-Time OD]</t>
        </is>
      </c>
      <c r="L28" s="6" t="inlineStr">
        <is>
          <t>https://arxiv.org/abs/2405.14458</t>
        </is>
      </c>
      <c r="M28" s="6" t="inlineStr">
        <is>
          <t>https://github.com/ZhengPeng7/BiRefNet</t>
        </is>
      </c>
    </row>
    <row r="29">
      <c r="A29" s="3" t="inlineStr">
        <is>
          <t>Real-Time OD</t>
        </is>
      </c>
      <c r="B29" s="3" t="inlineStr">
        <is>
          <t>RT-DETRv2-R101</t>
        </is>
      </c>
      <c r="C29" s="3" t="inlineStr">
        <is>
          <t>Lv et al.</t>
        </is>
      </c>
      <c r="D29" s="3" t="inlineStr">
        <is>
          <t>arXiv</t>
        </is>
      </c>
      <c r="E29" s="3" t="inlineStr">
        <is>
          <t>2024-07</t>
        </is>
      </c>
      <c r="F29" s="3" t="inlineStr">
        <is>
          <t>Preprint</t>
        </is>
      </c>
      <c r="G29" s="3" t="n">
        <v>54.3</v>
      </c>
      <c r="H29" s="3" t="inlineStr">
        <is>
          <t>AP=54.3</t>
        </is>
      </c>
      <c r="I29" s="3" t="n"/>
      <c r="J29" s="3" t="n"/>
      <c r="K29" s="3" t="inlineStr">
        <is>
          <t>✅ 已驗證 (D-FINE Table 1, COCO val2017)：RT-DETRv2-R101 54.3% AP [Real-Time OD]</t>
        </is>
      </c>
      <c r="L29" s="6" t="inlineStr">
        <is>
          <t>https://arxiv.org/abs/2407.17140</t>
        </is>
      </c>
      <c r="M29" s="6" t="inlineStr">
        <is>
          <t>https://github.com/WongKinYiu/yolov7</t>
        </is>
      </c>
    </row>
    <row r="30">
      <c r="A30" s="3" t="inlineStr">
        <is>
          <t>Real-Time OD</t>
        </is>
      </c>
      <c r="B30" s="3" t="inlineStr">
        <is>
          <t>RT-DETR-R101</t>
        </is>
      </c>
      <c r="C30" s="3" t="inlineStr">
        <is>
          <t>Zhao et al.</t>
        </is>
      </c>
      <c r="D30" s="3" t="inlineStr">
        <is>
          <t>CVPR</t>
        </is>
      </c>
      <c r="E30" s="3" t="inlineStr">
        <is>
          <t>2024-06</t>
        </is>
      </c>
      <c r="F30" s="3" t="inlineStr">
        <is>
          <t>Preprint</t>
        </is>
      </c>
      <c r="G30" s="3" t="n">
        <v>54.3</v>
      </c>
      <c r="H30" s="3" t="inlineStr">
        <is>
          <t>AP=54.3</t>
        </is>
      </c>
      <c r="I30" s="3" t="n"/>
      <c r="J30" s="3" t="n"/>
      <c r="K30" s="3" t="inlineStr">
        <is>
          <t>✅ 已驗證 (D-FINE Table 1, COCO val2017)：RT-DETR-R101 54.3% AP [Real-Time OD]</t>
        </is>
      </c>
      <c r="L30" s="6" t="inlineStr">
        <is>
          <t>https://arxiv.org/abs/2304.08069</t>
        </is>
      </c>
      <c r="M30" s="6" t="inlineStr">
        <is>
          <t>https://github.com/zhenyuw16/UniDetector</t>
        </is>
      </c>
    </row>
    <row r="31">
      <c r="A31" s="3" t="inlineStr">
        <is>
          <t>General OD</t>
        </is>
      </c>
      <c r="B31" s="3" t="inlineStr">
        <is>
          <t>Grounding DINO 1.5 Pro</t>
        </is>
      </c>
      <c r="C31" s="3" t="inlineStr">
        <is>
          <t>Ren et al.</t>
        </is>
      </c>
      <c r="D31" s="3" t="inlineStr">
        <is>
          <t>arXiv</t>
        </is>
      </c>
      <c r="E31" s="3" t="inlineStr">
        <is>
          <t>2024-05</t>
        </is>
      </c>
      <c r="F31" s="3" t="inlineStr">
        <is>
          <t>Preprint</t>
        </is>
      </c>
      <c r="G31" s="3" t="n">
        <v>54.3</v>
      </c>
      <c r="H31" s="3" t="inlineStr">
        <is>
          <t>AP=54.3</t>
        </is>
      </c>
      <c r="I31" s="3" t="n"/>
      <c r="J31" s="3" t="n"/>
      <c r="K31" s="3" t="inlineStr">
        <is>
          <t>✅ 已驗證 (Grounding DINO 1.5 Pro Table 1)：54.3 AP zero-shot COCO transfer (paper text "achieves a 54.3 AP, improving upon GD Swin-L by 1.8 AP") [Open-set OD]</t>
        </is>
      </c>
      <c r="L31" s="6" t="inlineStr">
        <is>
          <t>https://arxiv.org/abs/2405.10300</t>
        </is>
      </c>
      <c r="M31" s="6" t="inlineStr">
        <is>
          <t>https://github.com/open-mmlab/mmdetection</t>
        </is>
      </c>
    </row>
    <row r="32">
      <c r="A32" s="3" t="inlineStr">
        <is>
          <t>Real-Time OD</t>
        </is>
      </c>
      <c r="B32" s="3" t="inlineStr">
        <is>
          <t>D-FINE-L</t>
        </is>
      </c>
      <c r="C32" s="3" t="inlineStr">
        <is>
          <t>Peng et al.</t>
        </is>
      </c>
      <c r="D32" s="3" t="inlineStr">
        <is>
          <t>ICLR</t>
        </is>
      </c>
      <c r="E32" s="3" t="inlineStr">
        <is>
          <t>2025-04</t>
        </is>
      </c>
      <c r="F32" s="3" t="inlineStr">
        <is>
          <t>Preprint</t>
        </is>
      </c>
      <c r="G32" s="3" t="n">
        <v>54</v>
      </c>
      <c r="H32" s="3" t="inlineStr">
        <is>
          <t>AP=54.0</t>
        </is>
      </c>
      <c r="I32" s="3" t="n"/>
      <c r="J32" s="3" t="n"/>
      <c r="K32" s="3" t="inlineStr">
        <is>
          <t>✅ 已驗證 (D-FINE Table 1, COCO val2017)：D-FINE-L 54.0% AP [Real-Time OD]</t>
        </is>
      </c>
      <c r="L32" s="6" t="inlineStr">
        <is>
          <t>https://arxiv.org/abs/2410.13842</t>
        </is>
      </c>
      <c r="M32" s="6" t="inlineStr">
        <is>
          <t>https://github.com/tinyvision/damo-yolo</t>
        </is>
      </c>
    </row>
    <row r="33">
      <c r="A33" s="3" t="inlineStr">
        <is>
          <t>General OD</t>
        </is>
      </c>
      <c r="B33" s="3" t="inlineStr">
        <is>
          <t>MaxViT-XL Cascade</t>
        </is>
      </c>
      <c r="C33" s="3" t="inlineStr">
        <is>
          <t>Tu et al.</t>
        </is>
      </c>
      <c r="D33" s="3" t="inlineStr">
        <is>
          <t>ECCV</t>
        </is>
      </c>
      <c r="E33" s="3" t="inlineStr">
        <is>
          <t>2022-09</t>
        </is>
      </c>
      <c r="F33" s="3" t="inlineStr">
        <is>
          <t>Preprint</t>
        </is>
      </c>
      <c r="G33" s="3" t="n">
        <v>53.4</v>
      </c>
      <c r="H33" s="3" t="inlineStr">
        <is>
          <t>AP=53.4 | AP50=72.9 | AP75=58.1</t>
        </is>
      </c>
      <c r="I33" s="3" t="n"/>
      <c r="J33" s="3" t="n"/>
      <c r="K33" s="3" t="inlineStr">
        <is>
          <t>✅ verified+corrected (MaxViT ECCV22 arxiv 2204.01697 Table, Cascade Mask R-CNN, COCO val): box AP 53.4/AP50 72.9/AP75 58.1. 註：偵測用 MaxViT-B（非 XL；XL 僅分類）；原 45.7/70.3/50.0 為 mask 指標非 APS/APM/APL</t>
        </is>
      </c>
      <c r="L33" s="6" t="inlineStr">
        <is>
          <t>https://arxiv.org/abs/2204.01697</t>
        </is>
      </c>
      <c r="M33" s="6" t="inlineStr">
        <is>
          <t>https://github.com/facebookresearch/detectron2</t>
        </is>
      </c>
    </row>
    <row r="34">
      <c r="A34" s="3" t="inlineStr">
        <is>
          <t>Real-Time OD</t>
        </is>
      </c>
      <c r="B34" s="3" t="inlineStr">
        <is>
          <t>YOLOv7-X</t>
        </is>
      </c>
      <c r="C34" s="3" t="inlineStr">
        <is>
          <t>Wang et al.</t>
        </is>
      </c>
      <c r="D34" s="3" t="inlineStr">
        <is>
          <t>CVPR</t>
        </is>
      </c>
      <c r="E34" s="3" t="inlineStr">
        <is>
          <t>2023-06</t>
        </is>
      </c>
      <c r="F34" s="3" t="inlineStr">
        <is>
          <t>Preprint</t>
        </is>
      </c>
      <c r="G34" s="3" t="n">
        <v>52.9</v>
      </c>
      <c r="H34" s="3" t="inlineStr">
        <is>
          <t>AP=52.9</t>
        </is>
      </c>
      <c r="I34" s="3" t="n"/>
      <c r="J34" s="3" t="n"/>
      <c r="K34" s="3" t="inlineStr">
        <is>
          <t>✅ 已驗證 (D-FINE Table 1, COCO val2017)：YOLOv7-X 52.9% AP [Real-Time OD]</t>
        </is>
      </c>
      <c r="L34" s="6" t="inlineStr">
        <is>
          <t>https://arxiv.org/abs/2207.02696</t>
        </is>
      </c>
      <c r="M34" s="6" t="inlineStr">
        <is>
          <t>https://github.com/google-research/maxvit</t>
        </is>
      </c>
    </row>
    <row r="35">
      <c r="A35" s="3" t="inlineStr">
        <is>
          <t>Real-Time OD</t>
        </is>
      </c>
      <c r="B35" s="3" t="inlineStr">
        <is>
          <t>RTMDet-X</t>
        </is>
      </c>
      <c r="C35" s="3" t="inlineStr">
        <is>
          <t>Lyu et al.</t>
        </is>
      </c>
      <c r="D35" s="3" t="inlineStr">
        <is>
          <t>arXiv</t>
        </is>
      </c>
      <c r="E35" s="3" t="inlineStr">
        <is>
          <t>2022-12</t>
        </is>
      </c>
      <c r="F35" s="3" t="inlineStr">
        <is>
          <t>Preprint</t>
        </is>
      </c>
      <c r="G35" s="3" t="n">
        <v>52.8</v>
      </c>
      <c r="H35" s="3" t="inlineStr">
        <is>
          <t>AP=52.8</t>
        </is>
      </c>
      <c r="I35" s="3" t="n"/>
      <c r="J35" s="3" t="n"/>
      <c r="K35" s="3" t="inlineStr">
        <is>
          <t>✅ 已驗證 (D-FINE Table 1, COCO val2017)：RTMDet-X 52.8% AP [Real-Time OD]</t>
        </is>
      </c>
      <c r="L35" s="6" t="inlineStr">
        <is>
          <t>https://arxiv.org/abs/2212.07784</t>
        </is>
      </c>
      <c r="M35" s="6" t="inlineStr">
        <is>
          <t>https://github.com/meituan/YOLOv6</t>
        </is>
      </c>
    </row>
    <row r="36">
      <c r="A36" s="3" t="inlineStr">
        <is>
          <t>Real-Time OD</t>
        </is>
      </c>
      <c r="B36" s="3" t="inlineStr">
        <is>
          <t>YOLOv6-L</t>
        </is>
      </c>
      <c r="C36" s="3" t="inlineStr">
        <is>
          <t>Li et al.</t>
        </is>
      </c>
      <c r="D36" s="3" t="inlineStr">
        <is>
          <t>arXiv</t>
        </is>
      </c>
      <c r="E36" s="3" t="inlineStr">
        <is>
          <t>2022-09</t>
        </is>
      </c>
      <c r="F36" s="3" t="inlineStr">
        <is>
          <t>Preprint</t>
        </is>
      </c>
      <c r="G36" s="3" t="n">
        <v>52.8</v>
      </c>
      <c r="H36" s="3" t="inlineStr">
        <is>
          <t>AP=52.8</t>
        </is>
      </c>
      <c r="I36" s="3" t="n"/>
      <c r="J36" s="3" t="n"/>
      <c r="K36" s="3" t="inlineStr">
        <is>
          <t>✅ 已驗證 (D-FINE Table 1, COCO val2017)：YOLOv6-L 52.8% AP [Real-Time OD]</t>
        </is>
      </c>
      <c r="L36" s="6" t="inlineStr">
        <is>
          <t>https://arxiv.org/abs/2209.02976</t>
        </is>
      </c>
      <c r="M36" s="6" t="inlineStr">
        <is>
          <t>https://github.com/ZhangGongjie/Meta-DETR</t>
        </is>
      </c>
    </row>
    <row r="37">
      <c r="A37" s="3" t="inlineStr">
        <is>
          <t>Few-Shot OD</t>
        </is>
      </c>
      <c r="B37" s="3" t="inlineStr">
        <is>
          <t>Grounding DINO</t>
        </is>
      </c>
      <c r="C37" s="3" t="inlineStr">
        <is>
          <t>Liu et al.</t>
        </is>
      </c>
      <c r="D37" s="3" t="inlineStr">
        <is>
          <t>ECCV</t>
        </is>
      </c>
      <c r="E37" s="3" t="inlineStr">
        <is>
          <t>2024-10</t>
        </is>
      </c>
      <c r="F37" s="3" t="inlineStr">
        <is>
          <t>Preprint</t>
        </is>
      </c>
      <c r="G37" s="3" t="n">
        <v>52.5</v>
      </c>
      <c r="H37" s="3" t="inlineStr">
        <is>
          <t>AP=52.5</t>
        </is>
      </c>
      <c r="I37" s="3" t="n"/>
      <c r="J37" s="3" t="n"/>
      <c r="K37" s="3" t="inlineStr">
        <is>
          <t>✅ 已驗證 (Grounding DINO ECCV24 paper)：52.5 AP on COCO zero-shot transfer [Open-set OD]</t>
        </is>
      </c>
      <c r="L37" s="6" t="inlineStr">
        <is>
          <t>https://arxiv.org/abs/2303.05499</t>
        </is>
      </c>
      <c r="M37" s="6" t="inlineStr">
        <is>
          <t>https://github.com/PaddlePaddle/PaddleDetection</t>
        </is>
      </c>
    </row>
    <row r="38">
      <c r="A38" s="3" t="inlineStr">
        <is>
          <t>Real-Time OD</t>
        </is>
      </c>
      <c r="B38" s="3" t="inlineStr">
        <is>
          <t>YOLOX-X</t>
        </is>
      </c>
      <c r="C38" s="3" t="inlineStr">
        <is>
          <t>Ge et al.</t>
        </is>
      </c>
      <c r="D38" s="3" t="inlineStr">
        <is>
          <t>arXiv</t>
        </is>
      </c>
      <c r="E38" s="3" t="inlineStr">
        <is>
          <t>2021-08</t>
        </is>
      </c>
      <c r="F38" s="3" t="inlineStr">
        <is>
          <t>Preprint</t>
        </is>
      </c>
      <c r="G38" s="3" t="n">
        <v>51.2</v>
      </c>
      <c r="H38" s="3" t="inlineStr">
        <is>
          <t>AP=51.2</t>
        </is>
      </c>
      <c r="I38" s="3" t="n"/>
      <c r="J38" s="3" t="n"/>
      <c r="K38" s="3" t="inlineStr">
        <is>
          <t>✅ 已驗證 (YOLOX arXiv21 Table 3, COCO val)：YOLOX-X 51.2% AP, 99.1M params [Real-Time OD]</t>
        </is>
      </c>
      <c r="L38" s="6" t="inlineStr">
        <is>
          <t>https://arxiv.org/abs/2107.08430</t>
        </is>
      </c>
      <c r="M38" s="6" t="inlineStr">
        <is>
          <t>https://github.com/amirbar/DETReg</t>
        </is>
      </c>
    </row>
    <row r="39">
      <c r="A39" s="3" t="inlineStr">
        <is>
          <t>Real-Time OD</t>
        </is>
      </c>
      <c r="B39" s="3" t="inlineStr">
        <is>
          <t>DAMO-YOLO-l</t>
        </is>
      </c>
      <c r="C39" s="3" t="inlineStr">
        <is>
          <t>Xu et al.</t>
        </is>
      </c>
      <c r="D39" s="3" t="inlineStr">
        <is>
          <t>arXiv</t>
        </is>
      </c>
      <c r="E39" s="3" t="inlineStr">
        <is>
          <t>2022-12</t>
        </is>
      </c>
      <c r="F39" s="3" t="inlineStr">
        <is>
          <t>Preprint</t>
        </is>
      </c>
      <c r="G39" s="3" t="n">
        <v>50.8</v>
      </c>
      <c r="H39" s="3" t="inlineStr">
        <is>
          <t>AP=50.8</t>
        </is>
      </c>
      <c r="I39" s="3" t="n"/>
      <c r="J39" s="3" t="n"/>
      <c r="K39" s="3" t="inlineStr">
        <is>
          <t>✅ 已驗證 (DAMO-YOLO arXiv22 Table 1)：DAMO-YOLO-L 50.8% AP COCO test-dev, 42ms@T4 [Real-Time OD]</t>
        </is>
      </c>
      <c r="L39" s="6" t="inlineStr">
        <is>
          <t>https://arxiv.org/abs/2211.15444</t>
        </is>
      </c>
      <c r="M39" s="6" t="inlineStr">
        <is>
          <t>https://github.com/facebookresearch/ConvNeXt</t>
        </is>
      </c>
    </row>
    <row r="40">
      <c r="A40" s="3" t="inlineStr">
        <is>
          <t>Few-Shot OD</t>
        </is>
      </c>
      <c r="B40" s="3" t="inlineStr">
        <is>
          <t>UniFS (UniDetector)</t>
        </is>
      </c>
      <c r="C40" s="3" t="inlineStr">
        <is>
          <t>Wang et al.</t>
        </is>
      </c>
      <c r="D40" s="3" t="inlineStr">
        <is>
          <t>CVPR</t>
        </is>
      </c>
      <c r="E40" s="3" t="inlineStr">
        <is>
          <t>2023-06</t>
        </is>
      </c>
      <c r="F40" s="3" t="inlineStr">
        <is>
          <t>Preprint</t>
        </is>
      </c>
      <c r="G40" s="3" t="n">
        <v>49.3</v>
      </c>
      <c r="H40" s="3" t="inlineStr">
        <is>
          <t>AP=49.3</t>
        </is>
      </c>
      <c r="I40" s="3" t="n"/>
      <c r="J40" s="3" t="n"/>
      <c r="K40" s="3" t="inlineStr">
        <is>
          <t>✅ 已驗證 (UniDetector CVPR23 Table 2)：UniDetector ResNet-50 1× → 49.3 AP COCO val [Universal OD]</t>
        </is>
      </c>
      <c r="L40" s="6" t="inlineStr">
        <is>
          <t>https://arxiv.org/abs/2303.11749</t>
        </is>
      </c>
      <c r="M40" s="6" t="inlineStr">
        <is>
          <t>https://github.com/IDEA-Research/DN-DETR</t>
        </is>
      </c>
    </row>
    <row r="41">
      <c r="A41" s="3" t="inlineStr">
        <is>
          <t>Real-Time OD</t>
        </is>
      </c>
      <c r="B41" s="3" t="inlineStr">
        <is>
          <t>RF-DETR (Nano)</t>
        </is>
      </c>
      <c r="C41" s="3" t="inlineStr">
        <is>
          <t>Roboflow</t>
        </is>
      </c>
      <c r="D41" s="3" t="inlineStr">
        <is>
          <t>ICLR</t>
        </is>
      </c>
      <c r="E41" s="3" t="inlineStr">
        <is>
          <t>2026-04</t>
        </is>
      </c>
      <c r="F41" s="3" t="inlineStr">
        <is>
          <t>Preprint</t>
        </is>
      </c>
      <c r="G41" s="3" t="n">
        <v>48</v>
      </c>
      <c r="H41" s="3" t="inlineStr">
        <is>
          <t>AP=48.0</t>
        </is>
      </c>
      <c r="I41" s="3" t="n"/>
      <c r="J41" s="3" t="n"/>
      <c r="K41" s="3" t="inlineStr">
        <is>
          <t>✅ 已驗證 (RF-DETR arXiv25 abstract)：RF-DETR nano 48.0 AP COCO, beats D-FINE nano by 5.0 [End-to-end RT-OD]</t>
        </is>
      </c>
      <c r="L41" s="6" t="inlineStr">
        <is>
          <t>https://arxiv.org/abs/2511.09554</t>
        </is>
      </c>
      <c r="M41" s="6" t="inlineStr">
        <is>
          <t>https://github.com/IDEA-Research/DAB-DETR</t>
        </is>
      </c>
    </row>
    <row r="42">
      <c r="A42" s="3" t="inlineStr">
        <is>
          <t>General OD</t>
        </is>
      </c>
      <c r="B42" s="3" t="inlineStr">
        <is>
          <t>Deformable DETR (R50)</t>
        </is>
      </c>
      <c r="C42" s="3" t="inlineStr">
        <is>
          <t>Zhu et al.</t>
        </is>
      </c>
      <c r="D42" s="3" t="inlineStr">
        <is>
          <t>ICLR</t>
        </is>
      </c>
      <c r="E42" s="3" t="inlineStr">
        <is>
          <t>2021-05</t>
        </is>
      </c>
      <c r="F42" s="3" t="inlineStr">
        <is>
          <t>Preprint</t>
        </is>
      </c>
      <c r="G42" s="3" t="n">
        <v>46.9</v>
      </c>
      <c r="H42" s="3" t="inlineStr">
        <is>
          <t>AP=46.9</t>
        </is>
      </c>
      <c r="I42" s="3" t="n"/>
      <c r="J42" s="3" t="n"/>
      <c r="K42" s="3" t="inlineStr">
        <is>
          <t>✅ 已驗證 (Deformable DETR ICLR21 Table 3)：R50 backbone, 46.9% AP, end-to-end transformer detector [DETR-based]</t>
        </is>
      </c>
      <c r="L42" s="6" t="inlineStr">
        <is>
          <t>https://arxiv.org/abs/2010.04159</t>
        </is>
      </c>
      <c r="M42" s="6" t="inlineStr">
        <is>
          <t>https://github.com/er-muyue/DeFRCN</t>
        </is>
      </c>
    </row>
    <row r="43">
      <c r="A43" s="3" t="inlineStr">
        <is>
          <t>General OD</t>
        </is>
      </c>
      <c r="B43" s="3" t="inlineStr">
        <is>
          <t>DAB-DETR</t>
        </is>
      </c>
      <c r="C43" s="3" t="inlineStr">
        <is>
          <t>Liu et al.</t>
        </is>
      </c>
      <c r="D43" s="3" t="inlineStr">
        <is>
          <t>ICLR</t>
        </is>
      </c>
      <c r="E43" s="3" t="inlineStr">
        <is>
          <t>2022-03</t>
        </is>
      </c>
      <c r="F43" s="3" t="inlineStr">
        <is>
          <t>Preprint</t>
        </is>
      </c>
      <c r="G43" s="3" t="n">
        <v>46.8</v>
      </c>
      <c r="H43" s="3" t="inlineStr">
        <is>
          <t>AP=46.8</t>
        </is>
      </c>
      <c r="I43" s="3" t="n"/>
      <c r="J43" s="3" t="n"/>
      <c r="K43" s="3" t="inlineStr">
        <is>
          <t>✅ 已驗證 (DAB-DETR ICLR22 Table 2)：DAB-Deformable-DETR-R50 46.8% AP COCO val (50 epochs) [DETR variant]</t>
        </is>
      </c>
      <c r="L43" s="6" t="inlineStr">
        <is>
          <t>https://arxiv.org/abs/2201.12329</t>
        </is>
      </c>
      <c r="M43" s="6" t="inlineStr">
        <is>
          <t>https://github.com/microsoft/Swin-Transformer</t>
        </is>
      </c>
    </row>
    <row r="44">
      <c r="A44" s="3" t="inlineStr">
        <is>
          <t>Few-Shot OD</t>
        </is>
      </c>
      <c r="B44" s="3" t="inlineStr">
        <is>
          <t>DETReg</t>
        </is>
      </c>
      <c r="C44" s="3" t="inlineStr">
        <is>
          <t>Bar et al.</t>
        </is>
      </c>
      <c r="D44" s="3" t="inlineStr">
        <is>
          <t>CVPR</t>
        </is>
      </c>
      <c r="E44" s="3" t="inlineStr">
        <is>
          <t>2022-06</t>
        </is>
      </c>
      <c r="F44" s="3" t="inlineStr">
        <is>
          <t>Preprint</t>
        </is>
      </c>
      <c r="G44" s="3" t="n">
        <v>45.5</v>
      </c>
      <c r="H44" s="3" t="inlineStr">
        <is>
          <t>AP=45.5</t>
        </is>
      </c>
      <c r="I44" s="3" t="n"/>
      <c r="J44" s="3" t="n"/>
      <c r="K44" s="3" t="inlineStr">
        <is>
          <t>✅ 已驗證 (DETReg CVPR22 Table 1)：DETReg 45.5 AP COCO val under semi-supervised fine-tuning [Self-supervised pre-train OD]</t>
        </is>
      </c>
      <c r="L44" s="6" t="inlineStr">
        <is>
          <t>https://arxiv.org/abs/2106.04550</t>
        </is>
      </c>
      <c r="M44" s="6" t="inlineStr">
        <is>
          <t>https://github.com/Megvii-BaseDetection/YOLOX</t>
        </is>
      </c>
    </row>
    <row r="45">
      <c r="A45" s="3" t="inlineStr">
        <is>
          <t>General OD</t>
        </is>
      </c>
      <c r="B45" s="3" t="inlineStr">
        <is>
          <t>Brain-Inspired Spiking Neural Networks for Energy-Efficient</t>
        </is>
      </c>
      <c r="C45" s="3" t="inlineStr">
        <is>
          <t>—</t>
        </is>
      </c>
      <c r="D45" s="3" t="inlineStr">
        <is>
          <t>CVPR 2025</t>
        </is>
      </c>
      <c r="E45" s="3" t="inlineStr">
        <is>
          <t>2025-06</t>
        </is>
      </c>
      <c r="F45" s="3" t="inlineStr">
        <is>
          <t>Preprint</t>
        </is>
      </c>
      <c r="G45" s="3" t="n">
        <v>45.3</v>
      </c>
      <c r="H45" s="3" t="inlineStr">
        <is>
          <t>AP=45.3 | AP50=62.0</t>
        </is>
      </c>
      <c r="I45" s="3" t="n"/>
      <c r="J45" s="3" t="n"/>
      <c r="K45" s="3" t="inlineStr">
        <is>
          <t>✅ verified (Brain-Inspired Spiking NN CVPR25 CVF PDF): COCO val mAP@0.5:0.95=45.3 / mAP@50=62.0。註：脈衝神經網路 (SNN) 節能設定，與標準 ANN 偵測器非完全可比</t>
        </is>
      </c>
      <c r="L45" s="6" t="inlineStr">
        <is>
          <t>https://openaccess.thecvf.com/content/CVPR2025/html/Li_Brain-Inspired_Spiking_Neural_Networks_for_Energy-Efficient_Object_Detection_CVPR_2025_paper.html</t>
        </is>
      </c>
      <c r="M45" s="6" t="inlineStr">
        <is>
          <t>https://github.com/megvii-research/FSCE</t>
        </is>
      </c>
    </row>
    <row r="46">
      <c r="A46" s="3" t="inlineStr">
        <is>
          <t>General OD</t>
        </is>
      </c>
      <c r="B46" s="3" t="inlineStr">
        <is>
          <t>Sparse R-CNN (R101)</t>
        </is>
      </c>
      <c r="C46" s="3" t="inlineStr">
        <is>
          <t>Sun et al.</t>
        </is>
      </c>
      <c r="D46" s="3" t="inlineStr">
        <is>
          <t>CVPR</t>
        </is>
      </c>
      <c r="E46" s="3" t="inlineStr">
        <is>
          <t>2021-01</t>
        </is>
      </c>
      <c r="F46" s="3" t="inlineStr">
        <is>
          <t>Preprint</t>
        </is>
      </c>
      <c r="G46" s="3" t="n">
        <v>44.1</v>
      </c>
      <c r="H46" s="3" t="inlineStr">
        <is>
          <t>AP=44.1</t>
        </is>
      </c>
      <c r="I46" s="3" t="n"/>
      <c r="J46" s="3" t="n"/>
      <c r="K46" s="3" t="inlineStr">
        <is>
          <t>✅ 已驗證 (Sparse R-CNN CVPR21 Table 1)：R101-FPN 44.1% AP [Sparse Query OD]</t>
        </is>
      </c>
      <c r="L46" s="6" t="inlineStr">
        <is>
          <t>https://arxiv.org/abs/2011.12450</t>
        </is>
      </c>
      <c r="M46" s="6" t="inlineStr">
        <is>
          <t>https://github.com/fundamentalvision/Deformable-DETR</t>
        </is>
      </c>
    </row>
    <row r="47">
      <c r="A47" s="3" t="inlineStr">
        <is>
          <t>General OD</t>
        </is>
      </c>
      <c r="B47" s="3" t="inlineStr">
        <is>
          <t>DETR (R101)</t>
        </is>
      </c>
      <c r="C47" s="3" t="inlineStr">
        <is>
          <t>Carion et al.</t>
        </is>
      </c>
      <c r="D47" s="3" t="inlineStr">
        <is>
          <t>ECCV</t>
        </is>
      </c>
      <c r="E47" s="3" t="inlineStr">
        <is>
          <t>2020-09</t>
        </is>
      </c>
      <c r="F47" s="3" t="inlineStr">
        <is>
          <t>Preprint</t>
        </is>
      </c>
      <c r="G47" s="3" t="n">
        <v>43.5</v>
      </c>
      <c r="H47" s="3" t="inlineStr">
        <is>
          <t>AP=43.5</t>
        </is>
      </c>
      <c r="I47" s="3" t="n"/>
      <c r="J47" s="3" t="n"/>
      <c r="K47" s="3" t="inlineStr">
        <is>
          <t>✅ 已驗證 (DETR ECCV20 Table 1)：DETR-R101 43.5% AP on COCO 2017 val [DETR-based OD]</t>
        </is>
      </c>
      <c r="L47" s="6" t="inlineStr">
        <is>
          <t>https://arxiv.org/abs/2005.12872</t>
        </is>
      </c>
      <c r="M47" s="6" t="inlineStr">
        <is>
          <t>https://github.com/PeizeSun/SparseR-CNN</t>
        </is>
      </c>
    </row>
    <row r="48">
      <c r="A48" s="3" t="inlineStr">
        <is>
          <t>General OD</t>
        </is>
      </c>
      <c r="B48" s="3" t="inlineStr">
        <is>
          <t>DN-DETR</t>
        </is>
      </c>
      <c r="C48" s="3" t="inlineStr">
        <is>
          <t>Li et al.</t>
        </is>
      </c>
      <c r="D48" s="3" t="inlineStr">
        <is>
          <t>CVPR</t>
        </is>
      </c>
      <c r="E48" s="3" t="inlineStr">
        <is>
          <t>2022-03</t>
        </is>
      </c>
      <c r="F48" s="3" t="inlineStr">
        <is>
          <t>Preprint</t>
        </is>
      </c>
      <c r="G48" s="3" t="n">
        <v>43.4</v>
      </c>
      <c r="H48" s="3" t="inlineStr">
        <is>
          <t>AP=43.4</t>
        </is>
      </c>
      <c r="I48" s="3" t="n"/>
      <c r="J48" s="3" t="n"/>
      <c r="K48" s="3" t="inlineStr">
        <is>
          <t>✅ 已驗證 (DN-DETR CVPR22 Table 1)：DN-Deformable-DETR-R50 43.4% AP COCO val (12 epochs) [DETR denoising training]</t>
        </is>
      </c>
      <c r="L48" s="6" t="inlineStr">
        <is>
          <t>https://arxiv.org/abs/2203.01305</t>
        </is>
      </c>
      <c r="M48" s="6" t="inlineStr">
        <is>
          <t>https://github.com/facebookresearch/detr</t>
        </is>
      </c>
    </row>
    <row r="49">
      <c r="A49" s="3" t="inlineStr">
        <is>
          <t>General OD</t>
        </is>
      </c>
      <c r="B49" s="3" t="inlineStr">
        <is>
          <t>Cascade R-CNN (R101-FPN)</t>
        </is>
      </c>
      <c r="C49" s="3" t="inlineStr">
        <is>
          <t>Cai &amp; Vasconcelos</t>
        </is>
      </c>
      <c r="D49" s="3" t="inlineStr">
        <is>
          <t>CVPR</t>
        </is>
      </c>
      <c r="E49" s="3" t="inlineStr">
        <is>
          <t>2018-06</t>
        </is>
      </c>
      <c r="F49" s="3" t="inlineStr">
        <is>
          <t>Preprint</t>
        </is>
      </c>
      <c r="G49" s="3" t="n">
        <v>42.8</v>
      </c>
      <c r="H49" s="3" t="inlineStr">
        <is>
          <t>AP=42.8</t>
        </is>
      </c>
      <c r="I49" s="3" t="n"/>
      <c r="J49" s="3" t="n"/>
      <c r="K49" s="3" t="inlineStr">
        <is>
          <t>✅ 已驗證 (Cascade R-CNN CVPR18 Table 5)：ResNet-101 42.8% AP [Two-Stage Cascade OD]</t>
        </is>
      </c>
      <c r="L49" s="6" t="inlineStr">
        <is>
          <t>https://arxiv.org/abs/1712.00726</t>
        </is>
      </c>
      <c r="M49" s="6" t="inlineStr">
        <is>
          <t>https://github.com/jiaxi-wu/MPSR</t>
        </is>
      </c>
    </row>
    <row r="50">
      <c r="A50" s="3" t="inlineStr">
        <is>
          <t>General OD</t>
        </is>
      </c>
      <c r="B50" s="3" t="inlineStr">
        <is>
          <t>CenterNet</t>
        </is>
      </c>
      <c r="C50" s="3" t="inlineStr">
        <is>
          <t>Zhou et al.</t>
        </is>
      </c>
      <c r="D50" s="3" t="inlineStr">
        <is>
          <t>arXiv</t>
        </is>
      </c>
      <c r="E50" s="3" t="inlineStr">
        <is>
          <t>2019-04</t>
        </is>
      </c>
      <c r="F50" s="3" t="inlineStr">
        <is>
          <t>Preprint</t>
        </is>
      </c>
      <c r="G50" s="3" t="n">
        <v>42.1</v>
      </c>
      <c r="H50" s="3" t="inlineStr">
        <is>
          <t>AP=42.1</t>
        </is>
      </c>
      <c r="I50" s="3" t="n"/>
      <c r="J50" s="3" t="n"/>
      <c r="K50" s="3" t="inlineStr">
        <is>
          <t>✅ 已驗證 (CenterNet ICCV19 Table 2)：Hourglass-104 42.1% AP [Anchor-free OD]</t>
        </is>
      </c>
      <c r="L50" s="6" t="inlineStr">
        <is>
          <t>https://arxiv.org/abs/1904.07850</t>
        </is>
      </c>
      <c r="M50" s="6" t="inlineStr">
        <is>
          <t>https://github.com/ucbdrive/few-shot-object-detection</t>
        </is>
      </c>
    </row>
    <row r="51">
      <c r="A51" s="3" t="inlineStr">
        <is>
          <t>General OD</t>
        </is>
      </c>
      <c r="B51" s="3" t="inlineStr">
        <is>
          <t>FCOS (R101)</t>
        </is>
      </c>
      <c r="C51" s="3" t="inlineStr">
        <is>
          <t>Tian et al.</t>
        </is>
      </c>
      <c r="D51" s="3" t="inlineStr">
        <is>
          <t>ICCV</t>
        </is>
      </c>
      <c r="E51" s="3" t="inlineStr">
        <is>
          <t>2019-04</t>
        </is>
      </c>
      <c r="F51" s="3" t="inlineStr">
        <is>
          <t>Preprint</t>
        </is>
      </c>
      <c r="G51" s="3" t="n">
        <v>41.5</v>
      </c>
      <c r="H51" s="3" t="inlineStr">
        <is>
          <t>AP=41.5</t>
        </is>
      </c>
      <c r="I51" s="3" t="n"/>
      <c r="J51" s="3" t="n"/>
      <c r="K51" s="3" t="inlineStr">
        <is>
          <t>✅ 已驗證 (FCOS ICCV19 Table 4)：FCOS ResNet-101-FPN 41.5 AP COCO test-dev [Anchor-free OD]</t>
        </is>
      </c>
      <c r="L51" s="6" t="inlineStr">
        <is>
          <t>https://arxiv.org/abs/1904.01355</t>
        </is>
      </c>
      <c r="M51" s="6" t="inlineStr">
        <is>
          <t>https://github.com/google/automl/tree/master/efficientdet</t>
        </is>
      </c>
    </row>
    <row r="52">
      <c r="A52" s="3" t="inlineStr">
        <is>
          <t>General OD</t>
        </is>
      </c>
      <c r="B52" s="3" t="inlineStr">
        <is>
          <t>Faster R-CNN (R50-FPN)</t>
        </is>
      </c>
      <c r="C52" s="3" t="inlineStr">
        <is>
          <t>Ren et al.</t>
        </is>
      </c>
      <c r="D52" s="3" t="inlineStr">
        <is>
          <t>NeurIPS</t>
        </is>
      </c>
      <c r="E52" s="3" t="inlineStr">
        <is>
          <t>2015-06</t>
        </is>
      </c>
      <c r="F52" s="3" t="inlineStr">
        <is>
          <t>Preprint</t>
        </is>
      </c>
      <c r="G52" s="3" t="n">
        <v>40.2</v>
      </c>
      <c r="H52" s="3" t="inlineStr">
        <is>
          <t>AP=40.2</t>
        </is>
      </c>
      <c r="I52" s="3" t="n"/>
      <c r="J52" s="3" t="n"/>
      <c r="K52" s="3" t="inlineStr">
        <is>
          <t>✅ 已驗證 (DETR Table 1 cites Detectron2 baseline)：Faster R-CNN R50-FPN 40.2% AP on COCO 2017 val [Two-Stage OD baseline]</t>
        </is>
      </c>
      <c r="L52" s="6" t="inlineStr">
        <is>
          <t>https://arxiv.org/abs/1506.01497</t>
        </is>
      </c>
      <c r="M52" s="6" t="inlineStr">
        <is>
          <t>https://github.com/yanxp/MetaR-CNN</t>
        </is>
      </c>
    </row>
    <row r="53">
      <c r="A53" s="3" t="inlineStr">
        <is>
          <t>General OD</t>
        </is>
      </c>
      <c r="B53" s="3" t="inlineStr">
        <is>
          <t>RetinaNet (R101)</t>
        </is>
      </c>
      <c r="C53" s="3" t="inlineStr">
        <is>
          <t>Lin et al.</t>
        </is>
      </c>
      <c r="D53" s="3" t="inlineStr">
        <is>
          <t>ICCV</t>
        </is>
      </c>
      <c r="E53" s="3" t="inlineStr">
        <is>
          <t>2017-10</t>
        </is>
      </c>
      <c r="F53" s="3" t="inlineStr">
        <is>
          <t>Preprint</t>
        </is>
      </c>
      <c r="G53" s="3" t="n">
        <v>39.1</v>
      </c>
      <c r="H53" s="3" t="inlineStr">
        <is>
          <t>AP=39.1</t>
        </is>
      </c>
      <c r="I53" s="3" t="n"/>
      <c r="J53" s="3" t="n"/>
      <c r="K53" s="3" t="inlineStr">
        <is>
          <t>✅ 已驗證 (RetinaNet ICCV17 Table 2)：ResNet-101-FPN 39.1% AP [Focal Loss OD]</t>
        </is>
      </c>
      <c r="L53" s="6" t="inlineStr">
        <is>
          <t>https://arxiv.org/abs/1708.02002</t>
        </is>
      </c>
      <c r="M53" s="6" t="inlineStr">
        <is>
          <t>https://github.com/bingykang/Fewshot_Detection</t>
        </is>
      </c>
    </row>
    <row r="54">
      <c r="A54" s="3" t="inlineStr">
        <is>
          <t>General OD</t>
        </is>
      </c>
      <c r="B54" s="3" t="inlineStr">
        <is>
          <t>Mask R-CNN (R50-FPN)</t>
        </is>
      </c>
      <c r="C54" s="3" t="inlineStr">
        <is>
          <t>He et al.</t>
        </is>
      </c>
      <c r="D54" s="3" t="inlineStr">
        <is>
          <t>ICCV</t>
        </is>
      </c>
      <c r="E54" s="3" t="inlineStr">
        <is>
          <t>2017-10</t>
        </is>
      </c>
      <c r="F54" s="3" t="inlineStr">
        <is>
          <t>Preprint</t>
        </is>
      </c>
      <c r="G54" s="3" t="n">
        <v>38.6</v>
      </c>
      <c r="H54" s="3" t="inlineStr">
        <is>
          <t>AP=38.6</t>
        </is>
      </c>
      <c r="I54" s="3" t="n"/>
      <c r="J54" s="3" t="n"/>
      <c r="K54" s="3" t="inlineStr">
        <is>
          <t>✅ 已驗證 (Mask R-CNN paper Table 3 + Detectron2 model zoo)：Mask R-CNN R50-FPN ~38.6 box AP COCO val (R101 paper Table 3: 38.2 test-dev box)</t>
        </is>
      </c>
      <c r="L54" s="6" t="inlineStr">
        <is>
          <t>https://arxiv.org/abs/1703.06870</t>
        </is>
      </c>
      <c r="M54" s="6" t="inlineStr">
        <is>
          <t>https://github.com/xingyizhou/CenterNet</t>
        </is>
      </c>
    </row>
    <row r="55">
      <c r="A55" s="3" t="inlineStr">
        <is>
          <t>Few-Shot OD</t>
        </is>
      </c>
      <c r="B55" s="3" t="inlineStr">
        <is>
          <t>NTIRE 2025 CD-FSOD top method</t>
        </is>
      </c>
      <c r="C55" s="3" t="inlineStr">
        <is>
          <t>Various teams</t>
        </is>
      </c>
      <c r="D55" s="3" t="inlineStr">
        <is>
          <t>CVPR Workshop</t>
        </is>
      </c>
      <c r="E55" s="3" t="inlineStr">
        <is>
          <t>2025-06</t>
        </is>
      </c>
      <c r="F55" s="3" t="inlineStr">
        <is>
          <t>Preprint</t>
        </is>
      </c>
      <c r="G55" s="3" t="n"/>
      <c r="H55" s="3" t="n"/>
      <c r="I55" s="3" t="n"/>
      <c r="J55" s="3" t="n"/>
      <c r="K55" s="3" t="inlineStr">
        <is>
          <t>⚠️ NTIRE 2025 CD-FSOD top method (arxiv 2504.10685): 跨域少樣本 OD，COCO 作為 source domain 之一，非標準 COCO val box AP</t>
        </is>
      </c>
      <c r="L55" s="6" t="inlineStr">
        <is>
          <t>https://arxiv.org/abs/2504.10685</t>
        </is>
      </c>
      <c r="M55" s="6" t="inlineStr">
        <is>
          <t>https://github.com/tianzhi0549/FCOS</t>
        </is>
      </c>
    </row>
    <row r="56">
      <c r="A56" s="3" t="inlineStr">
        <is>
          <t>Few-Shot OD</t>
        </is>
      </c>
      <c r="B56" s="3" t="inlineStr">
        <is>
          <t>CD-ViTO</t>
        </is>
      </c>
      <c r="C56" s="3" t="inlineStr">
        <is>
          <t>Fu et al.</t>
        </is>
      </c>
      <c r="D56" s="3" t="inlineStr">
        <is>
          <t>ECCV</t>
        </is>
      </c>
      <c r="E56" s="3" t="inlineStr">
        <is>
          <t>2024-10</t>
        </is>
      </c>
      <c r="F56" s="3" t="inlineStr">
        <is>
          <t>Preprint</t>
        </is>
      </c>
      <c r="G56" s="3" t="n"/>
      <c r="H56" s="3" t="n"/>
      <c r="I56" s="3" t="n"/>
      <c r="J56" s="3" t="n"/>
      <c r="K56" s="3" t="inlineStr">
        <is>
          <t>⚠️ CD-ViTO (arxiv 2402.03094): 跨域少樣本 OD (CD-FSOD)，報目標域 K-shot AP，非標準 COCO 2017 val box AP — 誤放</t>
        </is>
      </c>
      <c r="L56" s="6" t="inlineStr">
        <is>
          <t>https://arxiv.org/abs/2402.03094</t>
        </is>
      </c>
      <c r="M56" s="6" t="inlineStr">
        <is>
          <t>https://github.com/zhaoweicai/cascade-rcnn</t>
        </is>
      </c>
    </row>
    <row r="57">
      <c r="A57" s="3" t="inlineStr">
        <is>
          <t>RGB Salient OD</t>
        </is>
      </c>
      <c r="B57" s="3" t="inlineStr">
        <is>
          <t>BiRefNet</t>
        </is>
      </c>
      <c r="C57" s="3" t="inlineStr">
        <is>
          <t>Zheng et al.</t>
        </is>
      </c>
      <c r="D57" s="3" t="inlineStr">
        <is>
          <t>CAAI AIR</t>
        </is>
      </c>
      <c r="E57" s="3" t="inlineStr">
        <is>
          <t>2024-04</t>
        </is>
      </c>
      <c r="F57" s="3" t="inlineStr">
        <is>
          <t>Preprint</t>
        </is>
      </c>
      <c r="G57" s="3" t="n"/>
      <c r="H57" s="3" t="n"/>
      <c r="I57" s="3" t="n"/>
      <c r="J57" s="3" t="n"/>
      <c r="K57" s="3" t="inlineStr">
        <is>
          <t>⚠️ BiRefNet (arxiv 2401.03407): dichotomous/salient object segmentation (DIS-5K/SOD，S-measure/MAE/maxF)，非 COCO box AP — 誤放</t>
        </is>
      </c>
      <c r="L57" s="6" t="inlineStr">
        <is>
          <t>https://arxiv.org/abs/2401.03407</t>
        </is>
      </c>
      <c r="M57" s="6" t="inlineStr">
        <is>
          <t>https://github.com/facebookresearch/Detectron</t>
        </is>
      </c>
    </row>
    <row r="58">
      <c r="A58" s="3" t="inlineStr">
        <is>
          <t>Few-Shot OD</t>
        </is>
      </c>
      <c r="B58" s="3" t="inlineStr">
        <is>
          <t>Meta-DETR</t>
        </is>
      </c>
      <c r="C58" s="3" t="inlineStr">
        <is>
          <t>Zhang et al.</t>
        </is>
      </c>
      <c r="D58" s="3" t="inlineStr">
        <is>
          <t>TPAMI</t>
        </is>
      </c>
      <c r="E58" s="3" t="inlineStr">
        <is>
          <t>2022-08</t>
        </is>
      </c>
      <c r="F58" s="3" t="inlineStr">
        <is>
          <t>Preprint</t>
        </is>
      </c>
      <c r="G58" s="3" t="n"/>
      <c r="H58" s="3" t="n"/>
      <c r="I58" s="3" t="n"/>
      <c r="J58" s="3" t="n"/>
      <c r="K58" s="3" t="inlineStr">
        <is>
          <t>⚠️ Meta-DETR (arxiv 2208.00219): few-shot OD，報 MS-COCO K-shot novel AP（見 few-shot sheets），非標準 COCO val box AP — 誤放</t>
        </is>
      </c>
      <c r="L58" s="6" t="inlineStr">
        <is>
          <t>https://arxiv.org/abs/2208.00219</t>
        </is>
      </c>
      <c r="M58" s="6" t="inlineStr">
        <is>
          <t>https://github.com/facebookresearch/maskrcnn-benchmark</t>
        </is>
      </c>
    </row>
    <row r="59">
      <c r="A59" s="3" t="inlineStr">
        <is>
          <t>Few-Shot OD</t>
        </is>
      </c>
      <c r="B59" s="3" t="inlineStr">
        <is>
          <t>DeFRCN</t>
        </is>
      </c>
      <c r="C59" s="3" t="inlineStr">
        <is>
          <t>Qiao et al.</t>
        </is>
      </c>
      <c r="D59" s="3" t="inlineStr">
        <is>
          <t>ICCV</t>
        </is>
      </c>
      <c r="E59" s="3" t="inlineStr">
        <is>
          <t>2021-10</t>
        </is>
      </c>
      <c r="F59" s="3" t="inlineStr">
        <is>
          <t>Preprint</t>
        </is>
      </c>
      <c r="G59" s="3" t="n"/>
      <c r="H59" s="3" t="n"/>
      <c r="I59" s="3" t="n"/>
      <c r="J59" s="3" t="n"/>
      <c r="K59" s="3" t="inlineStr">
        <is>
          <t>⚠️ DeFRCN (arxiv 2108.09017): few-shot OD，報 K-shot novel AP，非標準 COCO val box AP — 誤放</t>
        </is>
      </c>
      <c r="L59" s="6" t="inlineStr">
        <is>
          <t>https://arxiv.org/abs/2108.09017</t>
        </is>
      </c>
      <c r="M59" s="6" t="inlineStr">
        <is>
          <t>https://github.com/rbgirshick/py-faster-rcnn</t>
        </is>
      </c>
    </row>
    <row r="60">
      <c r="A60" s="3" t="inlineStr">
        <is>
          <t>Few-Shot OD</t>
        </is>
      </c>
      <c r="B60" s="3" t="inlineStr">
        <is>
          <t>FSCE</t>
        </is>
      </c>
      <c r="C60" s="3" t="inlineStr">
        <is>
          <t>Sun et al.</t>
        </is>
      </c>
      <c r="D60" s="3" t="inlineStr">
        <is>
          <t>CVPR</t>
        </is>
      </c>
      <c r="E60" s="3" t="inlineStr">
        <is>
          <t>2021-06</t>
        </is>
      </c>
      <c r="F60" s="3" t="inlineStr">
        <is>
          <t>Preprint</t>
        </is>
      </c>
      <c r="G60" s="3" t="n"/>
      <c r="H60" s="3" t="n"/>
      <c r="I60" s="3" t="n"/>
      <c r="J60" s="3" t="n"/>
      <c r="K60" s="3" t="inlineStr">
        <is>
          <t>⚠️ FSCE (arxiv 2103.05950): few-shot OD，報 10/30-shot novel AP，非標準 COCO val box AP — 誤放</t>
        </is>
      </c>
      <c r="L60" s="6" t="inlineStr">
        <is>
          <t>https://arxiv.org/abs/2103.05950</t>
        </is>
      </c>
      <c r="M60" s="6" t="inlineStr">
        <is>
          <t>N/A</t>
        </is>
      </c>
    </row>
    <row r="61">
      <c r="A61" s="3" t="inlineStr">
        <is>
          <t>Few-Shot OD</t>
        </is>
      </c>
      <c r="B61" s="3" t="inlineStr">
        <is>
          <t>MPSR</t>
        </is>
      </c>
      <c r="C61" s="3" t="inlineStr">
        <is>
          <t>Wu et al.</t>
        </is>
      </c>
      <c r="D61" s="3" t="inlineStr">
        <is>
          <t>ECCV</t>
        </is>
      </c>
      <c r="E61" s="3" t="inlineStr">
        <is>
          <t>2020-08</t>
        </is>
      </c>
      <c r="F61" s="3" t="inlineStr">
        <is>
          <t>Preprint</t>
        </is>
      </c>
      <c r="G61" s="3" t="n"/>
      <c r="H61" s="3" t="n"/>
      <c r="I61" s="3" t="n"/>
      <c r="J61" s="3" t="n"/>
      <c r="K61" s="3" t="inlineStr">
        <is>
          <t>⚠️ MPSR (arxiv 2007.09384): few-shot OD，報 K-shot novel AP，非標準 COCO val box AP — 誤放</t>
        </is>
      </c>
      <c r="L61" s="6" t="inlineStr">
        <is>
          <t>https://arxiv.org/abs/2007.09384</t>
        </is>
      </c>
      <c r="M61" s="6" t="inlineStr">
        <is>
          <t>N/A</t>
        </is>
      </c>
    </row>
    <row r="62">
      <c r="A62" s="3" t="inlineStr">
        <is>
          <t>Few-Shot OD</t>
        </is>
      </c>
      <c r="B62" s="3" t="inlineStr">
        <is>
          <t>TFA w/cos</t>
        </is>
      </c>
      <c r="C62" s="3" t="inlineStr">
        <is>
          <t>Wang et al.</t>
        </is>
      </c>
      <c r="D62" s="3" t="inlineStr">
        <is>
          <t>ICML</t>
        </is>
      </c>
      <c r="E62" s="3" t="inlineStr">
        <is>
          <t>2020-07</t>
        </is>
      </c>
      <c r="F62" s="3" t="inlineStr">
        <is>
          <t>Preprint</t>
        </is>
      </c>
      <c r="G62" s="3" t="n"/>
      <c r="H62" s="3" t="n"/>
      <c r="I62" s="3" t="n"/>
      <c r="J62" s="3" t="n"/>
      <c r="K62" s="3" t="inlineStr">
        <is>
          <t>⚠️ TFA w/cos (arxiv 2003.06957): few-shot OD，報 K-shot novel AP，非標準 COCO val box AP — 誤放</t>
        </is>
      </c>
      <c r="L62" s="6" t="inlineStr">
        <is>
          <t>https://arxiv.org/abs/2003.06957</t>
        </is>
      </c>
      <c r="M62" s="6" t="inlineStr">
        <is>
          <t>N/A</t>
        </is>
      </c>
    </row>
    <row r="63">
      <c r="A63" s="3" t="inlineStr">
        <is>
          <t>Few-Shot OD</t>
        </is>
      </c>
      <c r="B63" s="3" t="inlineStr">
        <is>
          <t>Meta R-CNN</t>
        </is>
      </c>
      <c r="C63" s="3" t="inlineStr">
        <is>
          <t>Yan et al.</t>
        </is>
      </c>
      <c r="D63" s="3" t="inlineStr">
        <is>
          <t>ICCV</t>
        </is>
      </c>
      <c r="E63" s="3" t="inlineStr">
        <is>
          <t>2019-10</t>
        </is>
      </c>
      <c r="F63" s="3" t="inlineStr">
        <is>
          <t>Preprint</t>
        </is>
      </c>
      <c r="G63" s="3" t="n"/>
      <c r="H63" s="3" t="n"/>
      <c r="I63" s="3" t="n"/>
      <c r="J63" s="3" t="n"/>
      <c r="K63" s="3" t="inlineStr">
        <is>
          <t>⚠️ Meta R-CNN (arxiv 1909.13032): few-shot OD，報 K-shot novel AP，非標準 COCO val box AP — 誤放</t>
        </is>
      </c>
      <c r="L63" s="6" t="inlineStr">
        <is>
          <t>https://arxiv.org/abs/1909.13032</t>
        </is>
      </c>
      <c r="M63" s="6" t="inlineStr">
        <is>
          <t>N/A</t>
        </is>
      </c>
    </row>
    <row r="64">
      <c r="A64" s="3" t="inlineStr">
        <is>
          <t>Few-Shot OD</t>
        </is>
      </c>
      <c r="B64" s="3" t="inlineStr">
        <is>
          <t>FSRW</t>
        </is>
      </c>
      <c r="C64" s="3" t="inlineStr">
        <is>
          <t>Kang et al.</t>
        </is>
      </c>
      <c r="D64" s="3" t="inlineStr">
        <is>
          <t>ICCV</t>
        </is>
      </c>
      <c r="E64" s="3" t="inlineStr">
        <is>
          <t>2019-10</t>
        </is>
      </c>
      <c r="F64" s="3" t="inlineStr">
        <is>
          <t>Preprint</t>
        </is>
      </c>
      <c r="G64" s="3" t="n"/>
      <c r="H64" s="3" t="n"/>
      <c r="I64" s="3" t="n"/>
      <c r="J64" s="3" t="n"/>
      <c r="K64" s="3" t="inlineStr">
        <is>
          <t>⚠️ FSRW/Meta-YOLO (arxiv 1812.01866): few-shot OD，報 K-shot novel AP，非標準 COCO val box AP — 誤放</t>
        </is>
      </c>
      <c r="L64" s="6" t="inlineStr">
        <is>
          <t>https://arxiv.org/abs/1812.01866</t>
        </is>
      </c>
      <c r="M64" s="6" t="inlineStr">
        <is>
          <t>N/A</t>
        </is>
      </c>
    </row>
    <row r="65">
      <c r="A65" s="3" t="inlineStr">
        <is>
          <t>Few-Shot OD</t>
        </is>
      </c>
      <c r="B65" s="3" t="inlineStr">
        <is>
          <t>Exploring Hierarchical Consistency and Unbiased Objectness for Open-Vocabulary Object Dete</t>
        </is>
      </c>
      <c r="C65" s="3" t="inlineStr">
        <is>
          <t>Sanghoon Lee, Geon Lee, Hyekang Park, Bumsub Ham</t>
        </is>
      </c>
      <c r="D65" s="3" t="inlineStr">
        <is>
          <t>arXiv</t>
        </is>
      </c>
      <c r="E65" s="3" t="inlineStr">
        <is>
          <t>2026-04</t>
        </is>
      </c>
      <c r="F65" s="3" t="inlineStr">
        <is>
          <t>Preprint</t>
        </is>
      </c>
      <c r="G65" s="3" t="n"/>
      <c r="H65" s="3" t="n"/>
      <c r="I65" s="3" t="n"/>
      <c r="J65" s="3" t="n"/>
      <c r="K65" s="3" t="inlineStr">
        <is>
          <t>⚠️ Exploring Hierarchical Consistency (arxiv 2604.23344): open-vocabulary OD，PDF 查證評估於 COCO+LVIS open-vocab (novel/base split)，box AP:0 — 非標準 supervised COCO val box AP</t>
        </is>
      </c>
      <c r="L65" s="6" t="inlineStr">
        <is>
          <t>https://arxiv.org/abs/2604.23344</t>
        </is>
      </c>
      <c r="M65" s="6" t="inlineStr">
        <is>
          <t>N/A</t>
        </is>
      </c>
    </row>
    <row r="66">
      <c r="A66" s="3" t="inlineStr">
        <is>
          <t>General OD</t>
        </is>
      </c>
      <c r="B66" s="3" t="inlineStr">
        <is>
          <t>UHR-DETR: Efficient End-to-End Small Object Detection for Ultra-High-Resolution Remote Sen</t>
        </is>
      </c>
      <c r="C66" s="3" t="inlineStr">
        <is>
          <t>Jingfang Li, Haoran Zhu, Wen Yang, Jinrui Zhang, Fang Xu, Haijian Zhang, Gui-Song Xia</t>
        </is>
      </c>
      <c r="D66" s="3" t="inlineStr">
        <is>
          <t>arXiv</t>
        </is>
      </c>
      <c r="E66" s="3" t="inlineStr">
        <is>
          <t>2026-04</t>
        </is>
      </c>
      <c r="F66" s="3" t="inlineStr">
        <is>
          <t>Preprint</t>
        </is>
      </c>
      <c r="G66" s="3" t="n"/>
      <c r="H66" s="3" t="n"/>
      <c r="I66" s="3" t="n"/>
      <c r="J66" s="3" t="n"/>
      <c r="K66" s="3" t="inlineStr">
        <is>
          <t>⚠️ UHR-DETR (arxiv 2604.21435): PDF 查證 COCO 0 次提及 — 小物件偵測 (非標準 COCO val box AP)</t>
        </is>
      </c>
      <c r="L66" s="6" t="inlineStr">
        <is>
          <t>https://arxiv.org/abs/2604.21435</t>
        </is>
      </c>
      <c r="M66" s="6" t="inlineStr">
        <is>
          <t>N/A</t>
        </is>
      </c>
    </row>
    <row r="67">
      <c r="A67" s="3" t="inlineStr">
        <is>
          <t>General OD</t>
        </is>
      </c>
      <c r="B67" s="3" t="inlineStr">
        <is>
          <t>Believing is Seeing</t>
        </is>
      </c>
      <c r="C67" s="3" t="inlineStr">
        <is>
          <t>—</t>
        </is>
      </c>
      <c r="D67" s="3" t="inlineStr">
        <is>
          <t>CVPR 2025</t>
        </is>
      </c>
      <c r="E67" s="3" t="inlineStr">
        <is>
          <t>2025-06</t>
        </is>
      </c>
      <c r="F67" s="3" t="inlineStr">
        <is>
          <t>Preprint</t>
        </is>
      </c>
      <c r="G67" s="3" t="n"/>
      <c r="H67" s="3" t="n"/>
      <c r="I67" s="3" t="n"/>
      <c r="J67" s="3" t="n"/>
      <c r="K67" s="3" t="inlineStr">
        <is>
          <t>⚠️ Believing is Seeing (CVPR25): PDF 查證 COCO 僅 4 次、box AP:0 — 非標準 COCO 偵測 benchmark 條目（專門任務）</t>
        </is>
      </c>
      <c r="L67" s="6" t="inlineStr">
        <is>
          <t>https://openaccess.thecvf.com/content/CVPR2025/html/Bhattacharjee_Believing_is_Seeing_Unobserved_Object_Detection_using_Generative_Models_CVPR_2025_paper.html</t>
        </is>
      </c>
      <c r="M67" s="6" t="inlineStr">
        <is>
          <t>N/A</t>
        </is>
      </c>
    </row>
    <row r="68">
      <c r="A68" s="3" t="inlineStr">
        <is>
          <t>General OD</t>
        </is>
      </c>
      <c r="B68" s="3" t="inlineStr">
        <is>
          <t>Shift the Lens</t>
        </is>
      </c>
      <c r="C68" s="3" t="inlineStr">
        <is>
          <t>—</t>
        </is>
      </c>
      <c r="D68" s="3" t="inlineStr">
        <is>
          <t>CVPR 2025</t>
        </is>
      </c>
      <c r="E68" s="3" t="inlineStr">
        <is>
          <t>2025-06</t>
        </is>
      </c>
      <c r="F68" s="3" t="inlineStr">
        <is>
          <t>Preprint</t>
        </is>
      </c>
      <c r="G68" s="3" t="n"/>
      <c r="H68" s="3" t="n"/>
      <c r="I68" s="3" t="n"/>
      <c r="J68" s="3" t="n"/>
      <c r="K68" s="3" t="inlineStr">
        <is>
          <t>⚠️ Shift the Lens (CVPR25): PDF 查證 box AP:0、含 salient 內容 — 專門設定，非標準 COCO val box AP</t>
        </is>
      </c>
      <c r="L68" s="6" t="inlineStr">
        <is>
          <t>https://openaccess.thecvf.com/content/CVPR2025/html/Du_Shift_the_Lens_Environment-Aware_Unsupervised_Camouflaged_Object_Detection_CVPR_2025_paper.html</t>
        </is>
      </c>
      <c r="M68" s="6" t="inlineStr">
        <is>
          <t>N/A</t>
        </is>
      </c>
    </row>
    <row r="69">
      <c r="A69" s="3" t="inlineStr">
        <is>
          <t>RGB Salient OD</t>
        </is>
      </c>
      <c r="B69" s="3" t="inlineStr">
        <is>
          <t>Visual Consensus Prompting for Co-Salient Object Detection</t>
        </is>
      </c>
      <c r="C69" s="3" t="inlineStr">
        <is>
          <t>—</t>
        </is>
      </c>
      <c r="D69" s="3" t="inlineStr">
        <is>
          <t>CVPR 2025</t>
        </is>
      </c>
      <c r="E69" s="3" t="inlineStr">
        <is>
          <t>2025-06</t>
        </is>
      </c>
      <c r="F69" s="3" t="inlineStr">
        <is>
          <t>Preprint</t>
        </is>
      </c>
      <c r="G69" s="3" t="n"/>
      <c r="H69" s="3" t="n"/>
      <c r="I69" s="3" t="n"/>
      <c r="J69" s="3" t="n"/>
      <c r="K69" s="3" t="inlineStr">
        <is>
          <t>⚠️ Visual Consensus Prompting (CVPR25): Co-Salient Object Detection (salien ×79，S-measure/MAE)，非 COCO box AP — 誤放</t>
        </is>
      </c>
      <c r="L69" s="6" t="inlineStr">
        <is>
          <t>https://openaccess.thecvf.com/content/CVPR2025/html/Wang_Visual_Consensus_Prompting_for_Co-Salient_Object_Detection_CVPR_2025_paper.html</t>
        </is>
      </c>
      <c r="M69" s="6" t="inlineStr">
        <is>
          <t>N/A</t>
        </is>
      </c>
    </row>
    <row r="70">
      <c r="A70" s="3" t="inlineStr">
        <is>
          <t>General OD</t>
        </is>
      </c>
      <c r="B70" s="3" t="inlineStr">
        <is>
          <t>Language-Guided Salient Object Ranking</t>
        </is>
      </c>
      <c r="C70" s="3" t="inlineStr">
        <is>
          <t>—</t>
        </is>
      </c>
      <c r="D70" s="3" t="inlineStr">
        <is>
          <t>CVPR 2025</t>
        </is>
      </c>
      <c r="E70" s="3" t="inlineStr">
        <is>
          <t>2025-06</t>
        </is>
      </c>
      <c r="F70" s="3" t="inlineStr">
        <is>
          <t>Preprint</t>
        </is>
      </c>
      <c r="G70" s="3" t="n"/>
      <c r="H70" s="3" t="n"/>
      <c r="I70" s="3" t="n"/>
      <c r="J70" s="3" t="n"/>
      <c r="K70" s="3" t="inlineStr">
        <is>
          <t>⚠️ Language-Guided Salient Object Ranking (CVPR25): salient object ranking (salien ×139)，非 COCO box AP — 誤放</t>
        </is>
      </c>
      <c r="L70" s="6" t="inlineStr">
        <is>
          <t>https://openaccess.thecvf.com/content/CVPR2025/html/Liu_Language-Guided_Salient_Object_Ranking_CVPR_2025_paper.html</t>
        </is>
      </c>
      <c r="M70" s="6" t="inlineStr">
        <is>
          <t>N/A</t>
        </is>
      </c>
    </row>
    <row r="71">
      <c r="A71" s="3" t="inlineStr">
        <is>
          <t>General OD</t>
        </is>
      </c>
      <c r="B71" s="3" t="inlineStr">
        <is>
          <t>Test-Time Backdoor Detection for Object Detection Models</t>
        </is>
      </c>
      <c r="C71" s="3" t="inlineStr">
        <is>
          <t>—</t>
        </is>
      </c>
      <c r="D71" s="3" t="inlineStr">
        <is>
          <t>CVPR 2025</t>
        </is>
      </c>
      <c r="E71" s="3" t="inlineStr">
        <is>
          <t>2025-06</t>
        </is>
      </c>
      <c r="F71" s="3" t="inlineStr">
        <is>
          <t>Preprint</t>
        </is>
      </c>
      <c r="G71" s="3" t="n"/>
      <c r="H71" s="3" t="n"/>
      <c r="I71" s="3" t="n"/>
      <c r="J71" s="3" t="n"/>
      <c r="K71" s="3" t="inlineStr">
        <is>
          <t>⚠️ Test-Time Backdoor Detection (CVPR25): 安全研究 (backdoor ×71)，回報攻擊偵測指標非標準 COCO val box AP</t>
        </is>
      </c>
      <c r="L71" s="6" t="inlineStr">
        <is>
          <t>https://openaccess.thecvf.com/content/CVPR2025/html/Zhang_Test-Time_Backdoor_Detection_for_Object_Detection_Models_CVPR_2025_paper.html</t>
        </is>
      </c>
      <c r="M71" s="6" t="inlineStr">
        <is>
          <t>N/A</t>
        </is>
      </c>
    </row>
    <row r="72">
      <c r="A72" s="3" t="inlineStr">
        <is>
          <t>General OD</t>
        </is>
      </c>
      <c r="B72" s="3" t="inlineStr">
        <is>
          <t>Search and Detect</t>
        </is>
      </c>
      <c r="C72" s="3" t="inlineStr">
        <is>
          <t>—</t>
        </is>
      </c>
      <c r="D72" s="3" t="inlineStr">
        <is>
          <t>CVPR 2025</t>
        </is>
      </c>
      <c r="E72" s="3" t="inlineStr">
        <is>
          <t>2025-06</t>
        </is>
      </c>
      <c r="F72" s="3" t="inlineStr">
        <is>
          <t>Preprint</t>
        </is>
      </c>
      <c r="G72" s="3" t="n"/>
      <c r="H72" s="3" t="n"/>
      <c r="I72" s="3" t="n"/>
      <c r="J72" s="3" t="n"/>
      <c r="K72" s="3" t="inlineStr">
        <is>
          <t>⚠️ SearchDet (CVPR25 CVF PDF): 訓練免費長尾 OD，評估於 COCO+LVIS 但報 LVIS-style AP splits，非單一標準 COCO val box AP</t>
        </is>
      </c>
      <c r="L72" s="6" t="inlineStr">
        <is>
          <t>https://openaccess.thecvf.com/content/CVPR2025/html/Sidhu_Search_and_Detect_Training-Free_Long_Tail_Object_Detection_via_Web-Image_CVPR_2025_paper.html</t>
        </is>
      </c>
      <c r="M72" s="6" t="inlineStr">
        <is>
          <t>N/A</t>
        </is>
      </c>
    </row>
    <row r="73">
      <c r="A73" s="3" t="inlineStr">
        <is>
          <t>General OD</t>
        </is>
      </c>
      <c r="B73" s="3" t="inlineStr">
        <is>
          <t>ROD-MLLM</t>
        </is>
      </c>
      <c r="C73" s="3" t="inlineStr">
        <is>
          <t>—</t>
        </is>
      </c>
      <c r="D73" s="3" t="inlineStr">
        <is>
          <t>CVPR 2025</t>
        </is>
      </c>
      <c r="E73" s="3" t="inlineStr">
        <is>
          <t>2025-06</t>
        </is>
      </c>
      <c r="F73" s="3" t="inlineStr">
        <is>
          <t>Preprint</t>
        </is>
      </c>
      <c r="G73" s="3" t="n"/>
      <c r="H73" s="3" t="n"/>
      <c r="I73" s="3" t="n"/>
      <c r="J73" s="3" t="n"/>
      <c r="K73" s="3" t="inlineStr">
        <is>
          <t>⚠️ ROD-MLLM (CVPR25): referring/grounding OD (referring ×46)，非標準 COCO val box AP</t>
        </is>
      </c>
      <c r="L73" s="6" t="inlineStr">
        <is>
          <t>https://openaccess.thecvf.com/content/CVPR2025/html/Yin_ROD-MLLM_Towards_More_Reliable_Object_Detection_in_Multimodal_Large_Language_CVPR_2025_paper.html</t>
        </is>
      </c>
      <c r="M73" s="6" t="inlineStr">
        <is>
          <t>N/A</t>
        </is>
      </c>
    </row>
    <row r="74">
      <c r="A74" s="3" t="inlineStr">
        <is>
          <t>General OD</t>
        </is>
      </c>
      <c r="B74" s="3" t="inlineStr">
        <is>
          <t>SET</t>
        </is>
      </c>
      <c r="C74" s="3" t="inlineStr">
        <is>
          <t>—</t>
        </is>
      </c>
      <c r="D74" s="3" t="inlineStr">
        <is>
          <t>CVPR 2025</t>
        </is>
      </c>
      <c r="E74" s="3" t="inlineStr">
        <is>
          <t>2025-06</t>
        </is>
      </c>
      <c r="F74" s="3" t="inlineStr">
        <is>
          <t>Preprint</t>
        </is>
      </c>
      <c r="G74" s="3" t="n"/>
      <c r="H74" s="3" t="n"/>
      <c r="I74" s="3" t="n"/>
      <c r="J74" s="3" t="n"/>
      <c r="K74" s="3" t="inlineStr">
        <is>
          <t>⚠️ SET (CVPR25 CVF PDF): 微小物件偵測，評估於 AI-TOD benchmark — 非標準 COCO val AP</t>
        </is>
      </c>
      <c r="L74" s="6" t="inlineStr">
        <is>
          <t>https://openaccess.thecvf.com/content/CVPR2025/html/Sun_SET_Spectral_Enhancement_for_Tiny_Object_Detection_CVPR_2025_paper.html</t>
        </is>
      </c>
      <c r="M74" s="6" t="inlineStr">
        <is>
          <t>N/A</t>
        </is>
      </c>
    </row>
    <row r="75">
      <c r="A75" s="3" t="inlineStr">
        <is>
          <t>General OD</t>
        </is>
      </c>
      <c r="B75" s="3" t="inlineStr">
        <is>
          <t>ReDiffDet</t>
        </is>
      </c>
      <c r="C75" s="3" t="inlineStr">
        <is>
          <t>—</t>
        </is>
      </c>
      <c r="D75" s="3" t="inlineStr">
        <is>
          <t>CVPR 2025</t>
        </is>
      </c>
      <c r="E75" s="3" t="inlineStr">
        <is>
          <t>2025-06</t>
        </is>
      </c>
      <c r="F75" s="3" t="inlineStr">
        <is>
          <t>Preprint</t>
        </is>
      </c>
      <c r="G75" s="3" t="n"/>
      <c r="H75" s="3" t="n"/>
      <c r="I75" s="3" t="n"/>
      <c r="J75" s="3" t="n"/>
      <c r="K75" s="3" t="inlineStr">
        <is>
          <t>⚠️ ReDiffDet (CVPR25, visual read): 旋轉/有向物件偵測，評估於 DIOR-R (航拍/遙測)，報 AP50/AP75 on DIOR-R，非標準 COCO 2017 2D box AP — 誤放</t>
        </is>
      </c>
      <c r="L75" s="6" t="inlineStr">
        <is>
          <t>https://openaccess.thecvf.com/content/CVPR2025/html/Zhao_ReDiffDet_Rotation-equivariant_Diffusion_Model_for_Oriented_Object_Detection_CVPR_2025_paper.html</t>
        </is>
      </c>
      <c r="M75" s="6" t="inlineStr">
        <is>
          <t>N/A</t>
        </is>
      </c>
    </row>
    <row r="76">
      <c r="A76" s="3" t="inlineStr">
        <is>
          <t>General OD</t>
        </is>
      </c>
      <c r="B76" s="3" t="inlineStr">
        <is>
          <t>Towards RAW Object Detection in Diverse Conditions</t>
        </is>
      </c>
      <c r="C76" s="3" t="inlineStr">
        <is>
          <t>—</t>
        </is>
      </c>
      <c r="D76" s="3" t="inlineStr">
        <is>
          <t>CVPR 2025</t>
        </is>
      </c>
      <c r="E76" s="3" t="inlineStr">
        <is>
          <t>2025-06</t>
        </is>
      </c>
      <c r="F76" s="3" t="inlineStr">
        <is>
          <t>Preprint</t>
        </is>
      </c>
      <c r="G76" s="3" t="n"/>
      <c r="H76" s="3" t="n"/>
      <c r="I76" s="3" t="n"/>
      <c r="J76" s="3" t="n"/>
      <c r="K76" s="3" t="inlineStr">
        <is>
          <t>⚠️ Towards RAW Object Detection (CVPR25): RAW 影像域 (RAW ×138)，非標準 RGB COCO val box AP</t>
        </is>
      </c>
      <c r="L76" s="6" t="inlineStr">
        <is>
          <t>https://openaccess.thecvf.com/content/CVPR2025/html/Li_Towards_RAW_Object_Detection_in_Diverse_Conditions_CVPR_2025_paper.html</t>
        </is>
      </c>
      <c r="M76" s="6" t="inlineStr">
        <is>
          <t>N/A</t>
        </is>
      </c>
    </row>
    <row r="77">
      <c r="A77" s="3" t="inlineStr">
        <is>
          <t>General OD</t>
        </is>
      </c>
      <c r="B77" s="3" t="inlineStr">
        <is>
          <t>Pseudo Visible Feature Fine-Grained Fusion for Thermal Objec</t>
        </is>
      </c>
      <c r="C77" s="3" t="inlineStr">
        <is>
          <t>—</t>
        </is>
      </c>
      <c r="D77" s="3" t="inlineStr">
        <is>
          <t>CVPR 2025</t>
        </is>
      </c>
      <c r="E77" s="3" t="inlineStr">
        <is>
          <t>2025-06</t>
        </is>
      </c>
      <c r="F77" s="3" t="inlineStr">
        <is>
          <t>Preprint</t>
        </is>
      </c>
      <c r="G77" s="3" t="n"/>
      <c r="H77" s="3" t="n"/>
      <c r="I77" s="3" t="n"/>
      <c r="J77" s="3" t="n"/>
      <c r="K77" s="3" t="inlineStr">
        <is>
          <t>⚠️ Pseudo Visible Feature Fusion (CVPR25): 熱影像/紅外 (thermal ×75)，非標準 COCO val box AP</t>
        </is>
      </c>
      <c r="L77" s="6" t="inlineStr">
        <is>
          <t>https://openaccess.thecvf.com/content/CVPR2025/html/Li_Pseudo_Visible_Feature_Fine-Grained_Fusion_for_Thermal_Object_Detection_CVPR_2025_paper.html</t>
        </is>
      </c>
      <c r="M77" s="6" t="inlineStr">
        <is>
          <t>N/A</t>
        </is>
      </c>
    </row>
    <row r="78">
      <c r="A78" s="3" t="inlineStr">
        <is>
          <t>General OD</t>
        </is>
      </c>
      <c r="B78" s="3" t="inlineStr">
        <is>
          <t>Revisiting Generative Replay for Class Incremental Object De</t>
        </is>
      </c>
      <c r="C78" s="3" t="inlineStr">
        <is>
          <t>—</t>
        </is>
      </c>
      <c r="D78" s="3" t="inlineStr">
        <is>
          <t>CVPR 2025</t>
        </is>
      </c>
      <c r="E78" s="3" t="inlineStr">
        <is>
          <t>2025-06</t>
        </is>
      </c>
      <c r="F78" s="3" t="inlineStr">
        <is>
          <t>Preprint</t>
        </is>
      </c>
      <c r="G78" s="3" t="n"/>
      <c r="H78" s="3" t="n"/>
      <c r="I78" s="3" t="n"/>
      <c r="J78" s="3" t="n"/>
      <c r="K78" s="3" t="inlineStr">
        <is>
          <t>⚠️ Revisiting Generative Replay (CVPR25): 類別增量 OD (incremental ×33)，報遺忘/可塑性指標非標準 COCO val box AP</t>
        </is>
      </c>
      <c r="L78" s="6" t="inlineStr">
        <is>
          <t>https://openaccess.thecvf.com/content/CVPR2025/html/Zhang_Revisiting_Generative_Replay_for_Class_Incremental_Object_Detection_CVPR_2025_paper.html</t>
        </is>
      </c>
      <c r="M78" s="6" t="inlineStr">
        <is>
          <t>N/A</t>
        </is>
      </c>
    </row>
    <row r="79">
      <c r="A79" s="3" t="inlineStr">
        <is>
          <t>General OD</t>
        </is>
      </c>
      <c r="B79" s="3" t="inlineStr">
        <is>
          <t>Fractal Calibration for Long-tailed Object Detection</t>
        </is>
      </c>
      <c r="C79" s="3" t="inlineStr">
        <is>
          <t>—</t>
        </is>
      </c>
      <c r="D79" s="3" t="inlineStr">
        <is>
          <t>CVPR 2025</t>
        </is>
      </c>
      <c r="E79" s="3" t="inlineStr">
        <is>
          <t>2025-06</t>
        </is>
      </c>
      <c r="F79" s="3" t="inlineStr">
        <is>
          <t>Preprint</t>
        </is>
      </c>
      <c r="G79" s="3" t="n"/>
      <c r="H79" s="3" t="n"/>
      <c r="I79" s="3" t="n"/>
      <c r="J79" s="3" t="n"/>
      <c r="K79" s="3" t="inlineStr">
        <is>
          <t>⚠️ Fractal Calibration (CVPR25): 長尾 OD，評估於 LVIS (LVIS ×9)，非標準 COCO val box AP</t>
        </is>
      </c>
      <c r="L79" s="6" t="inlineStr">
        <is>
          <t>https://openaccess.thecvf.com/content/CVPR2025/html/Alexandridis_Fractal_Calibration_for_Long-tailed_Object_Detection_CVPR_2025_paper.html</t>
        </is>
      </c>
      <c r="M79" s="6" t="inlineStr">
        <is>
          <t>N/A</t>
        </is>
      </c>
    </row>
    <row r="80">
      <c r="A80" s="3" t="inlineStr">
        <is>
          <t>General OD</t>
        </is>
      </c>
      <c r="B80" s="3" t="inlineStr">
        <is>
          <t>Cubify Anything</t>
        </is>
      </c>
      <c r="C80" s="3" t="inlineStr">
        <is>
          <t>—</t>
        </is>
      </c>
      <c r="D80" s="3" t="inlineStr">
        <is>
          <t>CVPR 2025</t>
        </is>
      </c>
      <c r="E80" s="3" t="inlineStr">
        <is>
          <t>2025-06</t>
        </is>
      </c>
      <c r="F80" s="3" t="inlineStr">
        <is>
          <t>Preprint</t>
        </is>
      </c>
      <c r="G80" s="3" t="n"/>
      <c r="H80" s="3" t="n"/>
      <c r="I80" s="3" t="n"/>
      <c r="J80" s="3" t="n"/>
      <c r="K80" s="3" t="inlineStr">
        <is>
          <t>⚠️ Cubify Anything (CVPR25): 3D 物件偵測 (3D ×126)，非 2D COCO val box AP — 誤放</t>
        </is>
      </c>
      <c r="L80" s="6" t="inlineStr">
        <is>
          <t>https://openaccess.thecvf.com/content/CVPR2025/html/Lazarow_Cubify_Anything_Scaling_Indoor_3D_Object_Detection_CVPR_2025_paper.html</t>
        </is>
      </c>
      <c r="M80" s="6" t="inlineStr">
        <is>
          <t>N/A</t>
        </is>
      </c>
    </row>
    <row r="81">
      <c r="A81" s="3" t="inlineStr">
        <is>
          <t>General OD</t>
        </is>
      </c>
      <c r="B81" s="3" t="inlineStr">
        <is>
          <t>Percept, Memory, and Imagine</t>
        </is>
      </c>
      <c r="C81" s="3" t="inlineStr">
        <is>
          <t>—</t>
        </is>
      </c>
      <c r="D81" s="3" t="inlineStr">
        <is>
          <t>CVPR 2025</t>
        </is>
      </c>
      <c r="E81" s="3" t="inlineStr">
        <is>
          <t>2025-06</t>
        </is>
      </c>
      <c r="F81" s="3" t="inlineStr">
        <is>
          <t>Preprint</t>
        </is>
      </c>
      <c r="G81" s="3" t="n"/>
      <c r="H81" s="3" t="n"/>
      <c r="I81" s="3" t="n"/>
      <c r="J81" s="3" t="n"/>
      <c r="K81" s="3" t="inlineStr">
        <is>
          <t>⚠️ Percept, Memory, and Imagine (CVPR25): 開放域未知物件偵測，box AP:0 — 非標準 COCO val box AP</t>
        </is>
      </c>
      <c r="L81" s="6" t="inlineStr">
        <is>
          <t>https://openaccess.thecvf.com/content/CVPR2025/html/Wu_Percept_Memory_and_Imagine_World_Feature_Simulating_for_Open-Domain_Unknown_CVPR_2025_paper.html</t>
        </is>
      </c>
      <c r="M81" s="6" t="inlineStr">
        <is>
          <t>N/A</t>
        </is>
      </c>
    </row>
    <row r="82">
      <c r="A82" s="3" t="inlineStr">
        <is>
          <t>General OD</t>
        </is>
      </c>
      <c r="B82" s="3" t="inlineStr">
        <is>
          <t>SimLTD</t>
        </is>
      </c>
      <c r="C82" s="3" t="inlineStr">
        <is>
          <t>—</t>
        </is>
      </c>
      <c r="D82" s="3" t="inlineStr">
        <is>
          <t>CVPR 2025</t>
        </is>
      </c>
      <c r="E82" s="3" t="inlineStr">
        <is>
          <t>2025-06</t>
        </is>
      </c>
      <c r="F82" s="3" t="inlineStr">
        <is>
          <t>Preprint</t>
        </is>
      </c>
      <c r="G82" s="3" t="n"/>
      <c r="H82" s="3" t="n"/>
      <c r="I82" s="3" t="n"/>
      <c r="J82" s="3" t="n"/>
      <c r="K82" s="3" t="inlineStr">
        <is>
          <t>⚠️ SimLTD (CVPR25 CVF PDF): 長尾 OD，記錄於 LVIS v1 benchmark — 非標準 COCO val AP</t>
        </is>
      </c>
      <c r="L82" s="6" t="inlineStr">
        <is>
          <t>https://openaccess.thecvf.com/content/CVPR2025/html/Tran_SimLTD_Simple_Supervised_and_Semi-Supervised_Long-Tailed_Object_Detection_CVPR_2025_paper.html</t>
        </is>
      </c>
      <c r="M82" s="6" t="inlineStr">
        <is>
          <t>N/A</t>
        </is>
      </c>
    </row>
    <row r="83">
      <c r="A83" s="3" t="inlineStr">
        <is>
          <t>General OD</t>
        </is>
      </c>
      <c r="B83" s="3" t="inlineStr">
        <is>
          <t>Learning Endogenous Attention for Incremental Object Detecti</t>
        </is>
      </c>
      <c r="C83" s="3" t="inlineStr">
        <is>
          <t>—</t>
        </is>
      </c>
      <c r="D83" s="3" t="inlineStr">
        <is>
          <t>CVPR 2025</t>
        </is>
      </c>
      <c r="E83" s="3" t="inlineStr">
        <is>
          <t>2025-06</t>
        </is>
      </c>
      <c r="F83" s="3" t="inlineStr">
        <is>
          <t>Preprint</t>
        </is>
      </c>
      <c r="G83" s="3" t="n"/>
      <c r="H83" s="3" t="n"/>
      <c r="I83" s="3" t="n"/>
      <c r="J83" s="3" t="n"/>
      <c r="K83" s="3" t="inlineStr">
        <is>
          <t>⚠️ Learning Endogenous Attention (CVPR25): 類別增量 OD (incremental ×36)，box AP:0 — 非標準 COCO val box AP</t>
        </is>
      </c>
      <c r="L83" s="6" t="inlineStr">
        <is>
          <t>https://openaccess.thecvf.com/content/CVPR2025/html/Song_Learning_Endogenous_Attention_for_Incremental_Object_Detection_CVPR_2025_paper.html</t>
        </is>
      </c>
      <c r="M83" s="6" t="inlineStr">
        <is>
          <t>N/A</t>
        </is>
      </c>
    </row>
    <row r="84">
      <c r="A84" s="3" t="inlineStr">
        <is>
          <t>General OD</t>
        </is>
      </c>
      <c r="B84" s="3" t="inlineStr">
        <is>
          <t>DiL</t>
        </is>
      </c>
      <c r="C84" s="3" t="inlineStr">
        <is>
          <t>—</t>
        </is>
      </c>
      <c r="D84" s="3" t="inlineStr">
        <is>
          <t>WACV 2025</t>
        </is>
      </c>
      <c r="E84" s="3" t="inlineStr">
        <is>
          <t>2025-01</t>
        </is>
      </c>
      <c r="F84" s="3" t="inlineStr">
        <is>
          <t>Preprint</t>
        </is>
      </c>
      <c r="G84" s="3" t="n"/>
      <c r="H84" s="3" t="n"/>
      <c r="I84" s="3" t="n"/>
      <c r="J84" s="3" t="n"/>
      <c r="K84" s="3" t="inlineStr">
        <is>
          <t>⚠️ DiL (WACV25): 對抗/distillation 專門研究 (attack ×14)，box AP:0 — 非標準 COCO val box AP</t>
        </is>
      </c>
      <c r="L84" s="6" t="inlineStr">
        <is>
          <t>https://openaccess.thecvf.com/content/WACV2025/html/Giloni_DiL_An_Explainable_and_Practical_Metric_for_Abnormal_Uncertainty_in_WACV_2025_paper.html</t>
        </is>
      </c>
      <c r="M84" s="6" t="inlineStr">
        <is>
          <t>N/A</t>
        </is>
      </c>
    </row>
    <row r="85">
      <c r="A85" s="3" t="inlineStr">
        <is>
          <t>General OD</t>
        </is>
      </c>
      <c r="B85" s="3" t="inlineStr">
        <is>
          <t>Bit-Flip Induced Latency Attacks in Object Detection</t>
        </is>
      </c>
      <c r="C85" s="3" t="inlineStr">
        <is>
          <t>—</t>
        </is>
      </c>
      <c r="D85" s="3" t="inlineStr">
        <is>
          <t>WACV 2025</t>
        </is>
      </c>
      <c r="E85" s="3" t="inlineStr">
        <is>
          <t>2025-01</t>
        </is>
      </c>
      <c r="F85" s="3" t="inlineStr">
        <is>
          <t>Preprint</t>
        </is>
      </c>
      <c r="G85" s="3" t="n"/>
      <c r="H85" s="3" t="n"/>
      <c r="I85" s="3" t="n"/>
      <c r="J85" s="3" t="n"/>
      <c r="K85" s="3" t="inlineStr">
        <is>
          <t>⚠️ Bit-Flip Induced Latency Attacks (WACV25): 安全研究 (attack ×150)，回報延遲攻擊非偵測 AP</t>
        </is>
      </c>
      <c r="L85" s="6" t="inlineStr">
        <is>
          <t>https://openaccess.thecvf.com/content/WACV2025/html/Sistla_Bit-Flip_Induced_Latency_Attacks_in_Object_Detection_WACV_2025_paper.html</t>
        </is>
      </c>
      <c r="M85" s="6" t="inlineStr">
        <is>
          <t>N/A</t>
        </is>
      </c>
    </row>
    <row r="86">
      <c r="A86" s="3" t="inlineStr">
        <is>
          <t>General OD</t>
        </is>
      </c>
      <c r="B86" s="3" t="inlineStr">
        <is>
          <t>Enhancing Novel Object Detection via Cooperative Foundationa</t>
        </is>
      </c>
      <c r="C86" s="3" t="inlineStr">
        <is>
          <t>—</t>
        </is>
      </c>
      <c r="D86" s="3" t="inlineStr">
        <is>
          <t>WACV 2025</t>
        </is>
      </c>
      <c r="E86" s="3" t="inlineStr">
        <is>
          <t>2025-01</t>
        </is>
      </c>
      <c r="F86" s="3" t="inlineStr">
        <is>
          <t>Preprint</t>
        </is>
      </c>
      <c r="G86" s="3" t="n"/>
      <c r="H86" s="3" t="n"/>
      <c r="I86" s="3" t="n"/>
      <c r="J86" s="3" t="n"/>
      <c r="K86" s="3" t="inlineStr">
        <is>
          <t>⚠️ Enhancing Novel OD via Cooperative Foundational Models (WACV25): 新類別偵測，報 novel-class AP，非標準全 COCO val box AP</t>
        </is>
      </c>
      <c r="L86" s="6" t="inlineStr">
        <is>
          <t>https://openaccess.thecvf.com/content/WACV2025/html/Bharadwaj_Enhancing_Novel_Object_Detection_via_Cooperative_Foundational_Models_WACV_2025_paper.html</t>
        </is>
      </c>
      <c r="M86" s="6" t="inlineStr">
        <is>
          <t>N/A</t>
        </is>
      </c>
    </row>
    <row r="87">
      <c r="A87" s="3" t="inlineStr">
        <is>
          <t>General OD</t>
        </is>
      </c>
      <c r="B87" s="3" t="inlineStr">
        <is>
          <t>ALPI</t>
        </is>
      </c>
      <c r="C87" s="3" t="inlineStr">
        <is>
          <t>—</t>
        </is>
      </c>
      <c r="D87" s="3" t="inlineStr">
        <is>
          <t>WACV 2025</t>
        </is>
      </c>
      <c r="E87" s="3" t="inlineStr">
        <is>
          <t>2025-01</t>
        </is>
      </c>
      <c r="F87" s="3" t="inlineStr">
        <is>
          <t>Preprint</t>
        </is>
      </c>
      <c r="G87" s="3" t="n"/>
      <c r="H87" s="3" t="n"/>
      <c r="I87" s="3" t="n"/>
      <c r="J87" s="3" t="n"/>
      <c r="K87" s="3" t="inlineStr">
        <is>
          <t>⚠️ ALPI (WACV25): 3D 弱監督偵測 (3D ×154, point annotation ×27)，非 2D COCO val box AP — 誤放</t>
        </is>
      </c>
      <c r="L87" s="6" t="inlineStr">
        <is>
          <t>https://openaccess.thecvf.com/content/WACV2025/html/Lahlali_ALPI_Auto-Labeller_with_Proxy_Injection_for_3D_Object_Detection_using_WACV_2025_paper.html</t>
        </is>
      </c>
      <c r="M87" s="6" t="inlineStr">
        <is>
          <t>N/A</t>
        </is>
      </c>
    </row>
    <row r="88">
      <c r="A88" s="3" t="inlineStr">
        <is>
          <t>General OD</t>
        </is>
      </c>
      <c r="B88" s="3" t="inlineStr">
        <is>
          <t>AIC3DOD</t>
        </is>
      </c>
      <c r="C88" s="3" t="inlineStr">
        <is>
          <t>—</t>
        </is>
      </c>
      <c r="D88" s="3" t="inlineStr">
        <is>
          <t>WACV 2025</t>
        </is>
      </c>
      <c r="E88" s="3" t="inlineStr">
        <is>
          <t>2025-01</t>
        </is>
      </c>
      <c r="F88" s="3" t="inlineStr">
        <is>
          <t>Preprint</t>
        </is>
      </c>
      <c r="G88" s="3" t="n"/>
      <c r="H88" s="3" t="n"/>
      <c r="I88" s="3" t="n"/>
      <c r="J88" s="3" t="n"/>
      <c r="K88" s="3" t="inlineStr">
        <is>
          <t>⚠️ AIC3DOD (WACV25): 3D 物件偵測 (3D ×75)，非 2D COCO val box AP — 誤放</t>
        </is>
      </c>
      <c r="L88" s="6" t="inlineStr">
        <is>
          <t>https://openaccess.thecvf.com/content/WACV2025/html/Cheng_AIC3DOD_Advancing_Indoor_Class-Incremental_3D_Object_Detection_with_Point_Transformer_WACV_2025_paper.html</t>
        </is>
      </c>
      <c r="M88" s="6" t="inlineStr">
        <is>
          <t>N/A</t>
        </is>
      </c>
    </row>
    <row r="89">
      <c r="A89" s="3" t="inlineStr">
        <is>
          <t>General OD</t>
        </is>
      </c>
      <c r="B89" s="3" t="inlineStr">
        <is>
          <t>MaskVD</t>
        </is>
      </c>
      <c r="C89" s="3" t="inlineStr">
        <is>
          <t>—</t>
        </is>
      </c>
      <c r="D89" s="3" t="inlineStr">
        <is>
          <t>WACV 2025</t>
        </is>
      </c>
      <c r="E89" s="3" t="inlineStr">
        <is>
          <t>2025-01</t>
        </is>
      </c>
      <c r="F89" s="3" t="inlineStr">
        <is>
          <t>Preprint</t>
        </is>
      </c>
      <c r="G89" s="3" t="n"/>
      <c r="H89" s="3" t="n"/>
      <c r="I89" s="3" t="n"/>
      <c r="J89" s="3" t="n"/>
      <c r="K89" s="3" t="inlineStr">
        <is>
          <t>⚠️ MaskVD (WACV25): 影片物件偵測 (video ×40)，非影像 COCO val box AP — 誤放</t>
        </is>
      </c>
      <c r="L89" s="6" t="inlineStr">
        <is>
          <t>https://openaccess.thecvf.com/content/WACV2025/html/Sarkar_MaskVD_Region_Masking_for_Efficient_Video_Object_Detection_WACV_2025_paper.html</t>
        </is>
      </c>
      <c r="M89" s="6" t="inlineStr">
        <is>
          <t>N/A</t>
        </is>
      </c>
    </row>
    <row r="90">
      <c r="A90" s="3" t="inlineStr">
        <is>
          <t>General OD</t>
        </is>
      </c>
      <c r="B90" s="3" t="inlineStr">
        <is>
          <t>Diffusion-Based Particle-DETR for BEV Perception</t>
        </is>
      </c>
      <c r="C90" s="3" t="inlineStr">
        <is>
          <t>—</t>
        </is>
      </c>
      <c r="D90" s="3" t="inlineStr">
        <is>
          <t>WACV 2025</t>
        </is>
      </c>
      <c r="E90" s="3" t="inlineStr">
        <is>
          <t>2025-01</t>
        </is>
      </c>
      <c r="F90" s="3" t="inlineStr">
        <is>
          <t>Preprint</t>
        </is>
      </c>
      <c r="G90" s="3" t="n"/>
      <c r="H90" s="3" t="n"/>
      <c r="I90" s="3" t="n"/>
      <c r="J90" s="3" t="n"/>
      <c r="K90" s="3" t="inlineStr">
        <is>
          <t>⚠️ Diffusion Particle-DETR for BEV (WACV25): BEV/自駕感知 (BEV ×87)，非 COCO 2D box AP — 誤放</t>
        </is>
      </c>
      <c r="L90" s="6" t="inlineStr">
        <is>
          <t>https://openaccess.thecvf.com/content/WACV2025/html/Nachkov_Diffusion-Based_Particle-DETR_for_BEV_Perception_WACV_2025_paper.html</t>
        </is>
      </c>
      <c r="M90" s="6" t="inlineStr">
        <is>
          <t>N/A</t>
        </is>
      </c>
    </row>
    <row r="91">
      <c r="A91" s="3" t="inlineStr">
        <is>
          <t>Real-Time OD</t>
        </is>
      </c>
      <c r="B91" s="3" t="inlineStr">
        <is>
          <t>PK-YOLO</t>
        </is>
      </c>
      <c r="C91" s="3" t="inlineStr">
        <is>
          <t>—</t>
        </is>
      </c>
      <c r="D91" s="3" t="inlineStr">
        <is>
          <t>WACV 2025</t>
        </is>
      </c>
      <c r="E91" s="3" t="inlineStr">
        <is>
          <t>2025-01</t>
        </is>
      </c>
      <c r="F91" s="3" t="inlineStr">
        <is>
          <t>Preprint</t>
        </is>
      </c>
      <c r="G91" s="3" t="n"/>
      <c r="H91" s="3" t="n"/>
      <c r="I91" s="3" t="n"/>
      <c r="J91" s="3" t="n"/>
      <c r="K91" s="3" t="inlineStr">
        <is>
          <t>⚠️ PK-YOLO (WACV25): 腦腫瘤偵測 (tumor ×46)，醫療專門，非標準 COCO val box AP — 誤放</t>
        </is>
      </c>
      <c r="L91" s="6" t="inlineStr">
        <is>
          <t>https://openaccess.thecvf.com/content/WACV2025/html/Kang_PK-YOLO_Pretrained_Knowledge_Guided_YOLO_for_Brain_Tumor_Detection_in_WACV_2025_paper.html</t>
        </is>
      </c>
      <c r="M91" s="6" t="inlineStr">
        <is>
          <t>N/A</t>
        </is>
      </c>
    </row>
    <row r="92">
      <c r="A92" s="3" t="inlineStr">
        <is>
          <t>General OD</t>
        </is>
      </c>
      <c r="B92" s="3" t="inlineStr">
        <is>
          <t>Mixed Patch Visible-Infrared Modality Agnostic Object Detect</t>
        </is>
      </c>
      <c r="C92" s="3" t="inlineStr">
        <is>
          <t>—</t>
        </is>
      </c>
      <c r="D92" s="3" t="inlineStr">
        <is>
          <t>WACV 2025</t>
        </is>
      </c>
      <c r="E92" s="3" t="inlineStr">
        <is>
          <t>2025-01</t>
        </is>
      </c>
      <c r="F92" s="3" t="inlineStr">
        <is>
          <t>Preprint</t>
        </is>
      </c>
      <c r="G92" s="3" t="n"/>
      <c r="H92" s="3" t="n"/>
      <c r="I92" s="3" t="n"/>
      <c r="J92" s="3" t="n"/>
      <c r="K92" s="3" t="inlineStr">
        <is>
          <t>⚠️ Mixed Patch Visible-Infrared (WACV25): 可見光-紅外多光譜偵測 (infrared ×9)，非標準 RGB COCO val box AP</t>
        </is>
      </c>
      <c r="L92" s="6" t="inlineStr">
        <is>
          <t>https://openaccess.thecvf.com/content/WACV2025/html/Medeiros_Mixed_Patch_Visible-Infrared_Modality_Agnostic_Object_Detection_WACV_2025_paper.html</t>
        </is>
      </c>
      <c r="M92" s="6" t="inlineStr">
        <is>
          <t>N/A</t>
        </is>
      </c>
    </row>
    <row r="93">
      <c r="A93" s="3" t="inlineStr">
        <is>
          <t>Real-Time OD</t>
        </is>
      </c>
      <c r="B93" s="3" t="inlineStr">
        <is>
          <t>Generalist YOLO</t>
        </is>
      </c>
      <c r="C93" s="3" t="inlineStr">
        <is>
          <t>—</t>
        </is>
      </c>
      <c r="D93" s="3" t="inlineStr">
        <is>
          <t>WACV 2025</t>
        </is>
      </c>
      <c r="E93" s="3" t="inlineStr">
        <is>
          <t>2025-01</t>
        </is>
      </c>
      <c r="F93" s="3" t="inlineStr">
        <is>
          <t>Preprint</t>
        </is>
      </c>
      <c r="G93" s="3" t="n"/>
      <c r="H93" s="3" t="n"/>
      <c r="I93" s="3" t="n"/>
      <c r="J93" s="3" t="n"/>
      <c r="K93" s="3" t="inlineStr">
        <is>
          <t>⚠️ Generalist YOLO (WACV25): 多任務 generalist 模型，COCO 偵測 AP 於多任務表 (≈43.0，欄位不明確)，非單任務標準 COCO val 條目</t>
        </is>
      </c>
      <c r="L93" s="6" t="inlineStr">
        <is>
          <t>https://openaccess.thecvf.com/content/WACV2025/html/Chang_Generalist_YOLO_Towards_Real-Time_End-to-End_Multi-Task_Visual_Language_Models_WACV_2025_paper.html</t>
        </is>
      </c>
      <c r="M93" s="6" t="inlineStr">
        <is>
          <t>N/A</t>
        </is>
      </c>
    </row>
    <row r="94">
      <c r="A94" s="3" t="inlineStr">
        <is>
          <t>General OD</t>
        </is>
      </c>
      <c r="B94" s="3" t="inlineStr">
        <is>
          <t>Enhancing Embodied Object Detection with Spatial Feature Mem</t>
        </is>
      </c>
      <c r="C94" s="3" t="inlineStr">
        <is>
          <t>—</t>
        </is>
      </c>
      <c r="D94" s="3" t="inlineStr">
        <is>
          <t>WACV 2025</t>
        </is>
      </c>
      <c r="E94" s="3" t="inlineStr">
        <is>
          <t>2025-01</t>
        </is>
      </c>
      <c r="F94" s="3" t="inlineStr">
        <is>
          <t>Preprint</t>
        </is>
      </c>
      <c r="G94" s="3" t="n"/>
      <c r="H94" s="3" t="n"/>
      <c r="I94" s="3" t="n"/>
      <c r="J94" s="3" t="n"/>
      <c r="K94" s="3" t="inlineStr">
        <is>
          <t>⚠️ Enhancing Embodied Object Detection (WACV25): 具身偵測 (embodied ×36, 3D ×31)，非標準 COCO val box AP — 誤放</t>
        </is>
      </c>
      <c r="L94" s="6" t="inlineStr">
        <is>
          <t>https://openaccess.thecvf.com/content/WACV2025/html/Chapman_Enhancing_Embodied_Object_Detection_with_Spatial_Feature_Memory_WACV_2025_paper.html</t>
        </is>
      </c>
      <c r="M94" s="6" t="inlineStr">
        <is>
          <t>N/A</t>
        </is>
      </c>
    </row>
    <row r="95">
      <c r="A95" s="3" t="inlineStr">
        <is>
          <t>General OD</t>
        </is>
      </c>
      <c r="B95" s="3" t="inlineStr">
        <is>
          <t>Interactive Object Detection for Tiny Objects in Large Remot</t>
        </is>
      </c>
      <c r="C95" s="3" t="inlineStr">
        <is>
          <t>—</t>
        </is>
      </c>
      <c r="D95" s="3" t="inlineStr">
        <is>
          <t>WACV 2025</t>
        </is>
      </c>
      <c r="E95" s="3" t="inlineStr">
        <is>
          <t>2025-01</t>
        </is>
      </c>
      <c r="F95" s="3" t="inlineStr">
        <is>
          <t>Preprint</t>
        </is>
      </c>
      <c r="G95" s="3" t="n"/>
      <c r="H95" s="3" t="n"/>
      <c r="I95" s="3" t="n"/>
      <c r="J95" s="3" t="n"/>
      <c r="K95" s="3" t="inlineStr">
        <is>
          <t>⚠️ Interactive OD for Tiny Objects (WACV25): 微小物件互動偵測 (tiny ×22)，非標準 COCO val box AP — 誤放</t>
        </is>
      </c>
      <c r="L95" s="6" t="inlineStr">
        <is>
          <t>https://openaccess.thecvf.com/content/WACV2025/html/Burges_Interactive_Object_Detection_for_Tiny_Objects_in_Large_Remotely_Sensed_WACV_2025_paper.html</t>
        </is>
      </c>
      <c r="M95" s="6" t="inlineStr">
        <is>
          <t>N/A</t>
        </is>
      </c>
    </row>
    <row r="96">
      <c r="A96" s="3" t="inlineStr">
        <is>
          <t>Few-Shot OD</t>
        </is>
      </c>
      <c r="B96" s="3" t="inlineStr">
        <is>
          <t>Cross-Domain Multi-Modal Few-Shot Object Detection via Rich</t>
        </is>
      </c>
      <c r="C96" s="3" t="inlineStr">
        <is>
          <t>—</t>
        </is>
      </c>
      <c r="D96" s="3" t="inlineStr">
        <is>
          <t>WACV 2025</t>
        </is>
      </c>
      <c r="E96" s="3" t="inlineStr">
        <is>
          <t>2025-01</t>
        </is>
      </c>
      <c r="F96" s="3" t="inlineStr">
        <is>
          <t>Preprint</t>
        </is>
      </c>
      <c r="G96" s="3" t="n"/>
      <c r="H96" s="3" t="n"/>
      <c r="I96" s="3" t="n"/>
      <c r="J96" s="3" t="n"/>
      <c r="K96" s="3" t="inlineStr">
        <is>
          <t>⚠️ Cross-Domain Multi-Modal Few-Shot OD (WACV25): CD-FSOD (few-shot ×50)，報 K-shot AP，非標準 COCO val box AP — 誤放</t>
        </is>
      </c>
      <c r="L96" s="6" t="inlineStr">
        <is>
          <t>https://openaccess.thecvf.com/content/WACV2025/html/Shangguan_Cross-Domain_Multi-Modal_Few-Shot_Object_Detection_via_Rich_Text_WACV_2025_paper.html</t>
        </is>
      </c>
      <c r="M96" s="6" t="inlineStr">
        <is>
          <t>N/A</t>
        </is>
      </c>
    </row>
    <row r="97">
      <c r="A97" s="3" t="inlineStr">
        <is>
          <t>General OD</t>
        </is>
      </c>
      <c r="B97" s="3" t="inlineStr">
        <is>
          <t>No Annotations for Object Detection in Art through Stable Di</t>
        </is>
      </c>
      <c r="C97" s="3" t="inlineStr">
        <is>
          <t>—</t>
        </is>
      </c>
      <c r="D97" s="3" t="inlineStr">
        <is>
          <t>WACV 2025</t>
        </is>
      </c>
      <c r="E97" s="3" t="inlineStr">
        <is>
          <t>2025-01</t>
        </is>
      </c>
      <c r="F97" s="3" t="inlineStr">
        <is>
          <t>Preprint</t>
        </is>
      </c>
      <c r="G97" s="3" t="n"/>
      <c r="H97" s="3" t="n"/>
      <c r="I97" s="3" t="n"/>
      <c r="J97" s="3" t="n"/>
      <c r="K97" s="3" t="inlineStr">
        <is>
          <t>⚠️ No Annotations for OD in Artwork (WACV25): 藝術作品無標註偵測 (artwork ×10)，非標準 COCO val box AP — 誤放</t>
        </is>
      </c>
      <c r="L97" s="6" t="inlineStr">
        <is>
          <t>https://openaccess.thecvf.com/content/WACV2025/html/Ramos_No_Annotations_for_Object_Detection_in_Art_through_Stable_Diffusion_WACV_2025_paper.html</t>
        </is>
      </c>
      <c r="M97" s="6" t="inlineStr">
        <is>
          <t>N/A</t>
        </is>
      </c>
    </row>
    <row r="98">
      <c r="A98" s="3" t="inlineStr">
        <is>
          <t>Real-Time OD</t>
        </is>
      </c>
      <c r="B98" s="3" t="inlineStr">
        <is>
          <t>ECF-YOLOv7-Tiny</t>
        </is>
      </c>
      <c r="C98" s="3" t="inlineStr">
        <is>
          <t>—</t>
        </is>
      </c>
      <c r="D98" s="3" t="inlineStr">
        <is>
          <t>WACV 2025</t>
        </is>
      </c>
      <c r="E98" s="3" t="inlineStr">
        <is>
          <t>2025-01</t>
        </is>
      </c>
      <c r="F98" s="3" t="inlineStr">
        <is>
          <t>Preprint</t>
        </is>
      </c>
      <c r="G98" s="3" t="n"/>
      <c r="H98" s="3" t="n"/>
      <c r="I98" s="3" t="n"/>
      <c r="J98" s="3" t="n"/>
      <c r="K98" s="3" t="inlineStr">
        <is>
          <t>⚠️ ECF-YOLOv7-Tiny (WACV25): 微小物件輕量偵測 (tiny ×67)，非標準 COCO val box AP — 誤放</t>
        </is>
      </c>
      <c r="L98" s="6" t="inlineStr">
        <is>
          <t>https://openaccess.thecvf.com/content/WACV2025/html/Bacea_ECF-YOLOv7-Tiny_Improving_Feature_Fusion_and_the_Receptive_Field_for_Lightweight_WACV_2025_paper.html</t>
        </is>
      </c>
      <c r="M98" s="6" t="inlineStr">
        <is>
          <t>N/A</t>
        </is>
      </c>
    </row>
    <row r="99">
      <c r="A99" s="3" t="inlineStr">
        <is>
          <t>General OD</t>
        </is>
      </c>
      <c r="B99" s="3" t="inlineStr">
        <is>
          <t>Shape-Biased Texture Agnostic Representations for Improved T</t>
        </is>
      </c>
      <c r="C99" s="3" t="inlineStr">
        <is>
          <t>—</t>
        </is>
      </c>
      <c r="D99" s="3" t="inlineStr">
        <is>
          <t>WACV 2025</t>
        </is>
      </c>
      <c r="E99" s="3" t="inlineStr">
        <is>
          <t>2025-01</t>
        </is>
      </c>
      <c r="F99" s="3" t="inlineStr">
        <is>
          <t>Preprint</t>
        </is>
      </c>
      <c r="G99" s="3" t="n"/>
      <c r="H99" s="3" t="n"/>
      <c r="I99" s="3" t="n"/>
      <c r="J99" s="3" t="n"/>
      <c r="K99" s="3" t="inlineStr">
        <is>
          <t>⚠️ Shape-Biased Texture-Agnostic (WACV25): 形狀偏好/紋理無關 domain-gen (texture ×109)，非標準 COCO val box AP — 誤放</t>
        </is>
      </c>
      <c r="L99" s="6" t="inlineStr">
        <is>
          <t>https://openaccess.thecvf.com/content/WACV2025/html/Honig_Shape-Biased_Texture_Agnostic_Representations_for_Improved_Textureless_and_Metallic_Object_WACV_2025_paper.html</t>
        </is>
      </c>
      <c r="M99" s="6"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M7" r:id="rId11"/>
    <hyperlink xmlns:r="http://schemas.openxmlformats.org/officeDocument/2006/relationships" ref="M8" r:id="rId12"/>
    <hyperlink xmlns:r="http://schemas.openxmlformats.org/officeDocument/2006/relationships" ref="M9" r:id="rId13"/>
    <hyperlink xmlns:r="http://schemas.openxmlformats.org/officeDocument/2006/relationships" ref="M10"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L17" r:id="rId21"/>
    <hyperlink xmlns:r="http://schemas.openxmlformats.org/officeDocument/2006/relationships" ref="L18" r:id="rId22"/>
    <hyperlink xmlns:r="http://schemas.openxmlformats.org/officeDocument/2006/relationships" ref="L19" r:id="rId23"/>
    <hyperlink xmlns:r="http://schemas.openxmlformats.org/officeDocument/2006/relationships" ref="L23" r:id="rId2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12"/>
  <sheetViews>
    <sheetView workbookViewId="0">
      <pane ySplit="1" topLeftCell="A6"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DINO (Swin-L)</t>
        </is>
      </c>
      <c r="C2" s="2" t="inlineStr">
        <is>
          <t>Zhang et al.</t>
        </is>
      </c>
      <c r="D2" s="2" t="inlineStr">
        <is>
          <t>ICLR</t>
        </is>
      </c>
      <c r="E2" s="2" t="inlineStr">
        <is>
          <t>2023-03</t>
        </is>
      </c>
      <c r="F2" s="2" t="inlineStr">
        <is>
          <t>Published</t>
        </is>
      </c>
      <c r="G2" s="2" t="n">
        <v>42.1</v>
      </c>
      <c r="H2" s="2" t="inlineStr">
        <is>
          <t>AP=42.1</t>
        </is>
      </c>
      <c r="I2" s="2" t="inlineStr">
        <is>
          <t>N/A</t>
        </is>
      </c>
      <c r="J2" s="2" t="inlineStr">
        <is>
          <t>218M</t>
        </is>
      </c>
      <c r="K2" s="2" t="inlineStr">
        <is>
          <t>✅ 已驗證 (COCO-O ICCV23 Table 7)：DINO Swin-L COCO-O mAP=42.1 (COCO mAP=58.5, +15.76 robustness)</t>
        </is>
      </c>
      <c r="L2" s="9" t="inlineStr">
        <is>
          <t>https://arxiv.org/abs/2203.03605</t>
        </is>
      </c>
      <c r="M2" s="9" t="inlineStr">
        <is>
          <t>https://github.com/alibaba/easyrobust</t>
        </is>
      </c>
    </row>
    <row r="3" ht="48" customHeight="1">
      <c r="A3" s="2" t="inlineStr">
        <is>
          <t>General OD</t>
        </is>
      </c>
      <c r="B3" s="2" t="inlineStr">
        <is>
          <t>DyHead</t>
        </is>
      </c>
      <c r="C3" s="2" t="inlineStr">
        <is>
          <t>Mao et al.</t>
        </is>
      </c>
      <c r="D3" s="2" t="inlineStr">
        <is>
          <t>ICCV</t>
        </is>
      </c>
      <c r="E3" s="2" t="inlineStr">
        <is>
          <t>2023-08</t>
        </is>
      </c>
      <c r="F3" s="2" t="inlineStr">
        <is>
          <t>Published</t>
        </is>
      </c>
      <c r="G3" s="2" t="n">
        <v>37.3</v>
      </c>
      <c r="H3" s="2" t="inlineStr">
        <is>
          <t>AP=37.3</t>
        </is>
      </c>
      <c r="I3" s="2" t="inlineStr">
        <is>
          <t>N/A</t>
        </is>
      </c>
      <c r="J3" s="2" t="inlineStr">
        <is>
          <t>≈55M</t>
        </is>
      </c>
      <c r="K3" s="2" t="inlineStr">
        <is>
          <t>✅ verified (COCO-O ICCV23 arxiv 2307.12730 Table — benchmark paper): 37.3 mAP on COCO-O OOD benchmark (DyHead detector)</t>
        </is>
      </c>
      <c r="L3" s="9" t="inlineStr">
        <is>
          <t>https://arxiv.org/abs/2307.12730</t>
        </is>
      </c>
      <c r="M3" s="9" t="inlineStr">
        <is>
          <t>https://github.com/alibaba/easyrobust</t>
        </is>
      </c>
    </row>
    <row r="4" ht="48" customHeight="1">
      <c r="A4" s="2" t="inlineStr">
        <is>
          <t>General OD</t>
        </is>
      </c>
      <c r="B4" s="2" t="inlineStr">
        <is>
          <t>ViTDet (ViT-L)</t>
        </is>
      </c>
      <c r="C4" s="2" t="inlineStr">
        <is>
          <t>Mao et al.</t>
        </is>
      </c>
      <c r="D4" s="2" t="inlineStr">
        <is>
          <t>ICCV</t>
        </is>
      </c>
      <c r="E4" s="2" t="inlineStr">
        <is>
          <t>2023-08</t>
        </is>
      </c>
      <c r="F4" s="2" t="inlineStr">
        <is>
          <t>Published</t>
        </is>
      </c>
      <c r="G4" s="2" t="n">
        <v>36.9</v>
      </c>
      <c r="H4" s="2" t="inlineStr">
        <is>
          <t>AP=36.9</t>
        </is>
      </c>
      <c r="I4" s="2" t="inlineStr">
        <is>
          <t>N/A</t>
        </is>
      </c>
      <c r="J4" s="2" t="inlineStr">
        <is>
          <t>≈300M</t>
        </is>
      </c>
      <c r="K4" s="2" t="inlineStr">
        <is>
          <t>✅ verified (COCO-O ICCV23 arxiv 2307.12730 — benchmark paper): 36.9 mAP on COCO-O OOD benchmark (ViTDet ViT-L)</t>
        </is>
      </c>
      <c r="L4" s="9" t="inlineStr">
        <is>
          <t>https://arxiv.org/abs/2307.12730</t>
        </is>
      </c>
      <c r="M4" s="9" t="inlineStr">
        <is>
          <t>https://github.com/alibaba/easyrobust</t>
        </is>
      </c>
    </row>
    <row r="5" ht="48" customHeight="1">
      <c r="A5" s="2" t="inlineStr">
        <is>
          <t>General OD</t>
        </is>
      </c>
      <c r="B5" s="2" t="inlineStr">
        <is>
          <t>Cascade R-CNN</t>
        </is>
      </c>
      <c r="C5" s="2" t="inlineStr">
        <is>
          <t>Mao et al.</t>
        </is>
      </c>
      <c r="D5" s="2" t="inlineStr">
        <is>
          <t>ICCV</t>
        </is>
      </c>
      <c r="E5" s="2" t="inlineStr">
        <is>
          <t>2023-08</t>
        </is>
      </c>
      <c r="F5" s="2" t="inlineStr">
        <is>
          <t>Published</t>
        </is>
      </c>
      <c r="G5" s="2" t="n">
        <v>26.4</v>
      </c>
      <c r="H5" s="2" t="inlineStr">
        <is>
          <t>AP=26.4</t>
        </is>
      </c>
      <c r="I5" s="2" t="inlineStr">
        <is>
          <t>N/A</t>
        </is>
      </c>
      <c r="J5" s="2" t="inlineStr">
        <is>
          <t>88M</t>
        </is>
      </c>
      <c r="K5" s="2" t="inlineStr">
        <is>
          <t>✅ verified (COCO-O ICCV23 arxiv 2307.12730 — benchmark paper): 26.4 mAP on COCO-O OOD benchmark (Cascade R-CNN)</t>
        </is>
      </c>
      <c r="L5" s="9" t="inlineStr">
        <is>
          <t>https://arxiv.org/abs/2307.12730</t>
        </is>
      </c>
      <c r="M5" s="9" t="inlineStr">
        <is>
          <t>https://github.com/alibaba/easyrobust</t>
        </is>
      </c>
    </row>
    <row r="6" ht="48" customHeight="1">
      <c r="A6" s="2" t="inlineStr">
        <is>
          <t>General OD</t>
        </is>
      </c>
      <c r="B6" s="2" t="inlineStr">
        <is>
          <t>Faster R-CNN baseline</t>
        </is>
      </c>
      <c r="C6" s="2" t="inlineStr">
        <is>
          <t>Mao et al.</t>
        </is>
      </c>
      <c r="D6" s="2" t="inlineStr">
        <is>
          <t>ICCV</t>
        </is>
      </c>
      <c r="E6" s="2" t="inlineStr">
        <is>
          <t>2023-08</t>
        </is>
      </c>
      <c r="F6" s="2" t="inlineStr">
        <is>
          <t>Published</t>
        </is>
      </c>
      <c r="G6" s="2" t="n">
        <v>21.5</v>
      </c>
      <c r="H6" s="2" t="inlineStr">
        <is>
          <t>AP=21.5</t>
        </is>
      </c>
      <c r="I6" s="2" t="inlineStr">
        <is>
          <t>N/A</t>
        </is>
      </c>
      <c r="J6" s="2" t="inlineStr">
        <is>
          <t>42M</t>
        </is>
      </c>
      <c r="K6" s="2" t="inlineStr">
        <is>
          <t>✅ verified (COCO-O ICCV23 arxiv 2307.12730 — benchmark paper): 21.5 mAP on COCO-O OOD benchmark (Faster R-CNN baseline)</t>
        </is>
      </c>
      <c r="L6" s="9" t="inlineStr">
        <is>
          <t>https://arxiv.org/abs/2307.12730</t>
        </is>
      </c>
      <c r="M6" s="9" t="inlineStr">
        <is>
          <t>https://github.com/OpenGVLab/InternImage</t>
        </is>
      </c>
    </row>
    <row r="7" ht="48" customHeight="1">
      <c r="A7" s="2" t="inlineStr">
        <is>
          <t>General OD</t>
        </is>
      </c>
      <c r="B7" s="2" t="inlineStr">
        <is>
          <t>InternImage-H</t>
        </is>
      </c>
      <c r="C7" s="2" t="inlineStr">
        <is>
          <t>Wang et al.</t>
        </is>
      </c>
      <c r="D7" s="2" t="inlineStr">
        <is>
          <t>CVPR</t>
        </is>
      </c>
      <c r="E7" s="2" t="inlineStr">
        <is>
          <t>2023-06</t>
        </is>
      </c>
      <c r="F7" s="2" t="inlineStr">
        <is>
          <t>Published</t>
        </is>
      </c>
      <c r="G7" s="2" t="n"/>
      <c r="H7" s="2" t="n"/>
      <c r="I7" s="2" t="inlineStr">
        <is>
          <t>N/A</t>
        </is>
      </c>
      <c r="J7" s="2" t="inlineStr">
        <is>
          <t>≈1.08B</t>
        </is>
      </c>
      <c r="K7" s="2" t="inlineStr">
        <is>
          <t>⚠️ InternImage-H: COCO-O benchmark paper (arxiv 2307.12730) 未測試此方法（0 次提及）；查無可驗證的 COCO-O AP — 此 robustness benchmark 多數現代 SOTA 未評估</t>
        </is>
      </c>
      <c r="L7" s="9" t="inlineStr">
        <is>
          <t>https://arxiv.org/abs/2211.05778</t>
        </is>
      </c>
      <c r="M7" s="9" t="inlineStr">
        <is>
          <t>https://github.com/baaivision/EVA</t>
        </is>
      </c>
    </row>
    <row r="8" ht="48" customHeight="1">
      <c r="A8" s="2" t="inlineStr">
        <is>
          <t>General OD</t>
        </is>
      </c>
      <c r="B8" s="2" t="inlineStr">
        <is>
          <t>EVA-02-Det</t>
        </is>
      </c>
      <c r="C8" s="2" t="inlineStr">
        <is>
          <t>Fang et al.</t>
        </is>
      </c>
      <c r="D8" s="2" t="inlineStr">
        <is>
          <t>arXiv</t>
        </is>
      </c>
      <c r="E8" s="2" t="inlineStr">
        <is>
          <t>2023-10</t>
        </is>
      </c>
      <c r="F8" s="2" t="inlineStr">
        <is>
          <t>Published</t>
        </is>
      </c>
      <c r="G8" s="2" t="n"/>
      <c r="H8" s="2" t="n"/>
      <c r="I8" s="2" t="inlineStr">
        <is>
          <t>N/A</t>
        </is>
      </c>
      <c r="J8" s="2" t="inlineStr">
        <is>
          <t>≈600M</t>
        </is>
      </c>
      <c r="K8" s="2" t="inlineStr">
        <is>
          <t>⚠️ EVA-02-Det: COCO-O benchmark paper (arxiv 2307.12730) 未測試此方法（0 次提及）；查無可驗證的 COCO-O AP — 此 robustness benchmark 多數現代 SOTA 未評估</t>
        </is>
      </c>
      <c r="L8" s="9" t="inlineStr">
        <is>
          <t>https://arxiv.org/abs/2303.11331</t>
        </is>
      </c>
      <c r="M8" s="9" t="inlineStr">
        <is>
          <t>https://github.com/Sense-X/Co-DETR</t>
        </is>
      </c>
    </row>
    <row r="9" ht="48" customHeight="1">
      <c r="A9" s="2" t="inlineStr">
        <is>
          <t>General OD</t>
        </is>
      </c>
      <c r="B9" s="2" t="inlineStr">
        <is>
          <t>Co-DETR</t>
        </is>
      </c>
      <c r="C9" s="2" t="inlineStr">
        <is>
          <t>Zong et al.</t>
        </is>
      </c>
      <c r="D9" s="2" t="inlineStr">
        <is>
          <t>ICCV</t>
        </is>
      </c>
      <c r="E9" s="2" t="inlineStr">
        <is>
          <t>2023-10</t>
        </is>
      </c>
      <c r="F9" s="2" t="inlineStr">
        <is>
          <t>Published</t>
        </is>
      </c>
      <c r="G9" s="2" t="n"/>
      <c r="H9" s="2" t="n"/>
      <c r="I9" s="2" t="inlineStr">
        <is>
          <t>N/A</t>
        </is>
      </c>
      <c r="J9" s="2" t="inlineStr">
        <is>
          <t>304M</t>
        </is>
      </c>
      <c r="K9" s="2" t="inlineStr">
        <is>
          <t>⚠️ Co-DETR: COCO-O benchmark paper (arxiv 2307.12730) 未測試此方法（0 次提及）；查無可驗證的 COCO-O AP — 此 robustness benchmark 多數現代 SOTA 未評估</t>
        </is>
      </c>
      <c r="L9" s="9" t="inlineStr">
        <is>
          <t>https://arxiv.org/abs/2211.12860</t>
        </is>
      </c>
      <c r="M9" s="9" t="inlineStr">
        <is>
          <t>https://github.com/IDEA-Research/DINO</t>
        </is>
      </c>
    </row>
    <row r="10" ht="48" customHeight="1">
      <c r="A10" s="3" t="inlineStr">
        <is>
          <t>Real-Time OD</t>
        </is>
      </c>
      <c r="B10" s="3" t="inlineStr">
        <is>
          <t>YOLOv8x</t>
        </is>
      </c>
      <c r="C10" s="3" t="inlineStr">
        <is>
          <t>Eval on COCO-O</t>
        </is>
      </c>
      <c r="D10" s="3" t="inlineStr">
        <is>
          <t>Third-party</t>
        </is>
      </c>
      <c r="E10" s="3" t="inlineStr">
        <is>
          <t>2024-01</t>
        </is>
      </c>
      <c r="F10" s="3" t="inlineStr">
        <is>
          <t>Reproduced</t>
        </is>
      </c>
      <c r="G10" s="3" t="n"/>
      <c r="H10" s="3" t="n"/>
      <c r="I10" s="3" t="inlineStr">
        <is>
          <t>99</t>
        </is>
      </c>
      <c r="J10" s="3" t="inlineStr">
        <is>
          <t>68.2M</t>
        </is>
      </c>
      <c r="K10" s="3" t="inlineStr">
        <is>
          <t>⚠️ YOLOv8x: COCO-O benchmark paper (arxiv 2307.12730) 未測試此方法（0 次提及）；查無可驗證的 COCO-O AP — 此 robustness benchmark 多數現代 SOTA 未評估</t>
        </is>
      </c>
      <c r="L10" s="6" t="inlineStr">
        <is>
          <t>https://docs.ultralytics.com/models/yolov8/</t>
        </is>
      </c>
      <c r="M10" s="6" t="inlineStr">
        <is>
          <t>https://github.com/ultralytics/ultralytics</t>
        </is>
      </c>
    </row>
    <row r="11" ht="48" customHeight="1">
      <c r="A11" s="3" t="inlineStr">
        <is>
          <t>Real-Time OD</t>
        </is>
      </c>
      <c r="B11" s="3" t="inlineStr">
        <is>
          <t>RT-DETR</t>
        </is>
      </c>
      <c r="C11" s="3" t="inlineStr">
        <is>
          <t>Eval on COCO-O</t>
        </is>
      </c>
      <c r="D11" s="3" t="inlineStr">
        <is>
          <t>Third-party</t>
        </is>
      </c>
      <c r="E11" s="3" t="inlineStr">
        <is>
          <t>2024-08</t>
        </is>
      </c>
      <c r="F11" s="3" t="inlineStr">
        <is>
          <t>Reproduced</t>
        </is>
      </c>
      <c r="G11" s="3" t="n"/>
      <c r="H11" s="3" t="n"/>
      <c r="I11" s="3" t="inlineStr">
        <is>
          <t>T4 74</t>
        </is>
      </c>
      <c r="J11" s="3" t="inlineStr">
        <is>
          <t>76M</t>
        </is>
      </c>
      <c r="K11" s="3" t="inlineStr">
        <is>
          <t>⚠️ RT-DETR: COCO-O benchmark paper (arxiv 2307.12730) 未測試此方法（0 次提及）；查無可驗證的 COCO-O AP — 此 robustness benchmark 多數現代 SOTA 未評估</t>
        </is>
      </c>
      <c r="L11" s="6" t="inlineStr">
        <is>
          <t>https://arxiv.org/abs/2304.08069</t>
        </is>
      </c>
      <c r="M11" s="6" t="inlineStr">
        <is>
          <t>https://github.com/lyuwenyu/RT-DETR</t>
        </is>
      </c>
    </row>
    <row r="12" ht="48" customHeight="1">
      <c r="A12" s="2" t="inlineStr">
        <is>
          <t>General OD</t>
        </is>
      </c>
      <c r="B12" s="2" t="inlineStr">
        <is>
          <t>Grounding DINO 1.5 Pro</t>
        </is>
      </c>
      <c r="C12" s="2" t="inlineStr">
        <is>
          <t>IDEA</t>
        </is>
      </c>
      <c r="D12" s="2" t="inlineStr">
        <is>
          <t>arXiv</t>
        </is>
      </c>
      <c r="E12" s="2" t="inlineStr">
        <is>
          <t>2024-05</t>
        </is>
      </c>
      <c r="F12" s="2" t="inlineStr">
        <is>
          <t>Preprint</t>
        </is>
      </c>
      <c r="G12" s="2" t="n"/>
      <c r="H12" s="2" t="n"/>
      <c r="I12" s="2" t="inlineStr">
        <is>
          <t>N/A</t>
        </is>
      </c>
      <c r="J12" s="2" t="inlineStr">
        <is>
          <t>N/A</t>
        </is>
      </c>
      <c r="K12" s="2" t="inlineStr">
        <is>
          <t>⚠️ Grounding DINO 1.5 Pro: COCO-O benchmark paper (arxiv 2307.12730) 未測試此方法（0 次提及）；查無可驗證的 COCO-O AP — 此 robustness benchmark 多數現代 SOTA 未評估</t>
        </is>
      </c>
      <c r="L12" s="9" t="inlineStr">
        <is>
          <t>https://arxiv.org/abs/2405.10300</t>
        </is>
      </c>
      <c r="M12" s="9" t="inlineStr">
        <is>
          <t>https://github.com/IDEA-Research/Grounding-DINO-1.5-API</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InternImage-H</t>
        </is>
      </c>
      <c r="C2" s="2" t="inlineStr">
        <is>
          <t>Wang et al.</t>
        </is>
      </c>
      <c r="D2" s="2" t="inlineStr">
        <is>
          <t>CVPR</t>
        </is>
      </c>
      <c r="E2" s="2" t="inlineStr">
        <is>
          <t>2023-06</t>
        </is>
      </c>
      <c r="F2" s="2" t="inlineStr">
        <is>
          <t>Preprint</t>
        </is>
      </c>
      <c r="G2" s="2" t="n">
        <v>94</v>
      </c>
      <c r="H2" s="2" t="inlineStr">
        <is>
          <t>mAP@0.5=94.0</t>
        </is>
      </c>
      <c r="I2" s="2" t="n"/>
      <c r="J2" s="2" t="n"/>
      <c r="K2" s="2" t="inlineStr">
        <is>
          <t>✅ 已驗證 (InternImage CVPR23 Table 10)：InternImage-H 94.0 AP50 PASCAL VOC 2007 test (single-scale), Objects365 pretrain</t>
        </is>
      </c>
      <c r="L2" s="9" t="inlineStr">
        <is>
          <t>https://arxiv.org/abs/2211.05778</t>
        </is>
      </c>
      <c r="M2" s="9" t="inlineStr">
        <is>
          <t>https://github.com/IDEA-Research/DINO</t>
        </is>
      </c>
    </row>
    <row r="3" ht="48" customHeight="1">
      <c r="A3" s="3" t="inlineStr">
        <is>
          <t>General OD</t>
        </is>
      </c>
      <c r="B3" s="3" t="inlineStr">
        <is>
          <t>DINO (Swin-L)</t>
        </is>
      </c>
      <c r="C3" s="3" t="inlineStr">
        <is>
          <t>Zhang et al.</t>
        </is>
      </c>
      <c r="D3" s="3" t="inlineStr">
        <is>
          <t>ICLR</t>
        </is>
      </c>
      <c r="E3" s="3" t="inlineStr">
        <is>
          <t>2023-03</t>
        </is>
      </c>
      <c r="F3" s="3" t="inlineStr">
        <is>
          <t>Published</t>
        </is>
      </c>
      <c r="G3" s="3" t="n">
        <v>91.40000000000001</v>
      </c>
      <c r="H3" s="3" t="inlineStr">
        <is>
          <t>mAP@0.5=91.4</t>
        </is>
      </c>
      <c r="I3" s="3" t="inlineStr">
        <is>
          <t>N/A</t>
        </is>
      </c>
      <c r="J3" s="3" t="inlineStr">
        <is>
          <t>218M</t>
        </is>
      </c>
      <c r="K3" s="3" t="inlineStr">
        <is>
          <t>⚠️ DINO 原論文僅 COCO，未測 VOC 2007；91.4 為社群 re-eval 無權威來源</t>
        </is>
      </c>
      <c r="L3" s="6" t="inlineStr">
        <is>
          <t>https://arxiv.org/abs/2203.03605</t>
        </is>
      </c>
      <c r="M3" s="6" t="inlineStr">
        <is>
          <t>https://github.com/WongKinYiu/yolov7</t>
        </is>
      </c>
    </row>
    <row r="4" ht="48" customHeight="1">
      <c r="A4" s="3" t="inlineStr">
        <is>
          <t>Real-Time OD</t>
        </is>
      </c>
      <c r="B4" s="3" t="inlineStr">
        <is>
          <t>YOLOv7</t>
        </is>
      </c>
      <c r="C4" s="3" t="inlineStr">
        <is>
          <t>Wang et al.</t>
        </is>
      </c>
      <c r="D4" s="3" t="inlineStr">
        <is>
          <t>CVPR</t>
        </is>
      </c>
      <c r="E4" s="3" t="inlineStr">
        <is>
          <t>2023-06</t>
        </is>
      </c>
      <c r="F4" s="3" t="inlineStr">
        <is>
          <t>Published</t>
        </is>
      </c>
      <c r="G4" s="3" t="n">
        <v>89.7</v>
      </c>
      <c r="H4" s="3" t="inlineStr">
        <is>
          <t>mAP@0.5=89.7</t>
        </is>
      </c>
      <c r="I4" s="3" t="inlineStr">
        <is>
          <t>114</t>
        </is>
      </c>
      <c r="J4" s="3" t="inlineStr">
        <is>
          <t>71.3M</t>
        </is>
      </c>
      <c r="K4" s="3" t="inlineStr">
        <is>
          <t>⚠️ YOLOv7 原論文僅 COCO；VOC 89.7 為社群 re-eval 無權威來源</t>
        </is>
      </c>
      <c r="L4" s="6" t="inlineStr">
        <is>
          <t>https://arxiv.org/abs/2207.02696</t>
        </is>
      </c>
      <c r="M4" s="6" t="inlineStr">
        <is>
          <t>https://github.com/AlexeyAB/darknet</t>
        </is>
      </c>
    </row>
    <row r="5" ht="48" customHeight="1">
      <c r="A5" s="2" t="inlineStr">
        <is>
          <t>Real-Time OD</t>
        </is>
      </c>
      <c r="B5" s="2" t="inlineStr">
        <is>
          <t>YOLOv4</t>
        </is>
      </c>
      <c r="C5" s="2" t="inlineStr">
        <is>
          <t>Bochkovskiy et al.</t>
        </is>
      </c>
      <c r="D5" s="2" t="inlineStr">
        <is>
          <t>arXiv</t>
        </is>
      </c>
      <c r="E5" s="2" t="inlineStr">
        <is>
          <t>2020-04</t>
        </is>
      </c>
      <c r="F5" s="2" t="inlineStr">
        <is>
          <t>Preprint</t>
        </is>
      </c>
      <c r="G5" s="2" t="n">
        <v>89.40000000000001</v>
      </c>
      <c r="H5" s="2" t="inlineStr">
        <is>
          <t>mAP@0.5=89.4</t>
        </is>
      </c>
      <c r="I5" s="2" t="inlineStr">
        <is>
          <t>65</t>
        </is>
      </c>
      <c r="J5" s="2" t="inlineStr">
        <is>
          <t>64M</t>
        </is>
      </c>
      <c r="K5" s="2" t="inlineStr">
        <is>
          <t>⚠️ YOLOv4 (PDF 查證 VOC 0 提及)；89.4 為社群 re-eval 無權威來源</t>
        </is>
      </c>
      <c r="L5" s="9" t="inlineStr">
        <is>
          <t>https://arxiv.org/abs/2004.10934</t>
        </is>
      </c>
      <c r="M5" s="9" t="inlineStr">
        <is>
          <t>https://github.com/zhaoweicai/cascade-rcnn</t>
        </is>
      </c>
    </row>
    <row r="6" ht="48" customHeight="1">
      <c r="A6" s="2" t="inlineStr">
        <is>
          <t>General OD</t>
        </is>
      </c>
      <c r="B6" s="2" t="inlineStr">
        <is>
          <t>Cascade R-CNN</t>
        </is>
      </c>
      <c r="C6" s="2" t="inlineStr">
        <is>
          <t>Cai &amp; Vasconcelos</t>
        </is>
      </c>
      <c r="D6" s="2" t="inlineStr">
        <is>
          <t>CVPR</t>
        </is>
      </c>
      <c r="E6" s="2" t="inlineStr">
        <is>
          <t>2018-06</t>
        </is>
      </c>
      <c r="F6" s="2" t="inlineStr">
        <is>
          <t>Published</t>
        </is>
      </c>
      <c r="G6" s="2" t="n">
        <v>87</v>
      </c>
      <c r="H6" s="2" t="inlineStr">
        <is>
          <t>mAP@0.5=87.0</t>
        </is>
      </c>
      <c r="I6" s="2" t="inlineStr">
        <is>
          <t>8</t>
        </is>
      </c>
      <c r="J6" s="2" t="inlineStr">
        <is>
          <t>88M</t>
        </is>
      </c>
      <c r="K6" s="2" t="inlineStr">
        <is>
          <t>⚠️ Cascade R-CNN 原論文僅 COCO；VOC 87.0 為社群 re-eval</t>
        </is>
      </c>
      <c r="L6" s="9" t="inlineStr">
        <is>
          <t>https://arxiv.org/abs/1712.00726</t>
        </is>
      </c>
      <c r="M6" s="9" t="inlineStr">
        <is>
          <t>https://github.com/facebookresearch/detr</t>
        </is>
      </c>
    </row>
    <row r="7" ht="48" customHeight="1">
      <c r="A7" s="2" t="inlineStr">
        <is>
          <t>General OD</t>
        </is>
      </c>
      <c r="B7" s="2" t="inlineStr">
        <is>
          <t>DETR</t>
        </is>
      </c>
      <c r="C7" s="2" t="inlineStr">
        <is>
          <t>Carion et al.</t>
        </is>
      </c>
      <c r="D7" s="2" t="inlineStr">
        <is>
          <t>ECCV</t>
        </is>
      </c>
      <c r="E7" s="2" t="inlineStr">
        <is>
          <t>2020-09</t>
        </is>
      </c>
      <c r="F7" s="2" t="inlineStr">
        <is>
          <t>Published</t>
        </is>
      </c>
      <c r="G7" s="2" t="n">
        <v>85.40000000000001</v>
      </c>
      <c r="H7" s="2" t="inlineStr">
        <is>
          <t>mAP@0.5=85.4</t>
        </is>
      </c>
      <c r="I7" s="2" t="inlineStr">
        <is>
          <t>20</t>
        </is>
      </c>
      <c r="J7" s="2" t="inlineStr">
        <is>
          <t>60M</t>
        </is>
      </c>
      <c r="K7" s="2" t="inlineStr">
        <is>
          <t>⚠️ DETR 原論文僅 COCO val；VOC 85.4 為社群 re-eval</t>
        </is>
      </c>
      <c r="L7" s="9" t="inlineStr">
        <is>
          <t>https://arxiv.org/abs/2005.12872</t>
        </is>
      </c>
      <c r="M7" s="9" t="inlineStr">
        <is>
          <t>https://github.com/PeizeSun/SparseR-CNN</t>
        </is>
      </c>
    </row>
    <row r="8" ht="48" customHeight="1">
      <c r="A8" s="2" t="inlineStr">
        <is>
          <t>General OD</t>
        </is>
      </c>
      <c r="B8" s="2" t="inlineStr">
        <is>
          <t>Sparse R-CNN</t>
        </is>
      </c>
      <c r="C8" s="2" t="inlineStr">
        <is>
          <t>Sun et al.</t>
        </is>
      </c>
      <c r="D8" s="2" t="inlineStr">
        <is>
          <t>CVPR</t>
        </is>
      </c>
      <c r="E8" s="2" t="inlineStr">
        <is>
          <t>2021-01</t>
        </is>
      </c>
      <c r="F8" s="2" t="inlineStr">
        <is>
          <t>Published</t>
        </is>
      </c>
      <c r="G8" s="2" t="n">
        <v>85</v>
      </c>
      <c r="H8" s="2" t="inlineStr">
        <is>
          <t>mAP@0.5=85.0</t>
        </is>
      </c>
      <c r="I8" s="2" t="inlineStr">
        <is>
          <t>23</t>
        </is>
      </c>
      <c r="J8" s="2" t="inlineStr">
        <is>
          <t>106M</t>
        </is>
      </c>
      <c r="K8" s="2" t="inlineStr">
        <is>
          <t>⚠️ Sparse R-CNN 原論文僅 COCO；VOC 85.0 為社群 re-eval</t>
        </is>
      </c>
      <c r="L8" s="9" t="inlineStr">
        <is>
          <t>https://arxiv.org/abs/2011.12450</t>
        </is>
      </c>
      <c r="M8" s="9" t="inlineStr">
        <is>
          <t>https://github.com/facebookresearch/Detectron</t>
        </is>
      </c>
    </row>
    <row r="9" ht="48" customHeight="1">
      <c r="A9" s="2" t="inlineStr">
        <is>
          <t>Few-Shot OD</t>
        </is>
      </c>
      <c r="B9" s="2" t="inlineStr">
        <is>
          <t>DETReg</t>
        </is>
      </c>
      <c r="C9" s="2" t="inlineStr">
        <is>
          <t>Bar et al.</t>
        </is>
      </c>
      <c r="D9" s="2" t="inlineStr">
        <is>
          <t>CVPR</t>
        </is>
      </c>
      <c r="E9" s="2" t="inlineStr">
        <is>
          <t>2022-06</t>
        </is>
      </c>
      <c r="F9" s="2" t="inlineStr">
        <is>
          <t>Preprint</t>
        </is>
      </c>
      <c r="G9" s="2" t="n">
        <v>83.3</v>
      </c>
      <c r="H9" s="2" t="inlineStr">
        <is>
          <t>mAP@0.5=83.3</t>
        </is>
      </c>
      <c r="I9" s="2" t="n"/>
      <c r="J9" s="2" t="n"/>
      <c r="K9" s="2" t="inlineStr">
        <is>
          <t>✅ 已驗證 (DETReg CVPR22 Table 2)：DETReg AP50=83.3 PASCAL VOC 2007 test (Deformable DETR base, 07+12 finetune)</t>
        </is>
      </c>
      <c r="L9" s="9" t="inlineStr">
        <is>
          <t>https://arxiv.org/abs/2106.04550</t>
        </is>
      </c>
      <c r="M9" s="9" t="inlineStr">
        <is>
          <t>https://github.com/rbgirshick/py-faster-rcnn</t>
        </is>
      </c>
    </row>
    <row r="10" ht="48" customHeight="1">
      <c r="A10" s="3" t="inlineStr">
        <is>
          <t>General OD</t>
        </is>
      </c>
      <c r="B10" s="3" t="inlineStr">
        <is>
          <t>RetinaNet (R101)</t>
        </is>
      </c>
      <c r="C10" s="3" t="inlineStr">
        <is>
          <t>Lin et al.</t>
        </is>
      </c>
      <c r="D10" s="3" t="inlineStr">
        <is>
          <t>ICCV</t>
        </is>
      </c>
      <c r="E10" s="3" t="inlineStr">
        <is>
          <t>2017-08</t>
        </is>
      </c>
      <c r="F10" s="3" t="inlineStr">
        <is>
          <t>Published</t>
        </is>
      </c>
      <c r="G10" s="3" t="n">
        <v>82.7</v>
      </c>
      <c r="H10" s="3" t="inlineStr">
        <is>
          <t>mAP@0.5=82.7</t>
        </is>
      </c>
      <c r="I10" s="3" t="inlineStr">
        <is>
          <t>11</t>
        </is>
      </c>
      <c r="J10" s="3" t="inlineStr">
        <is>
          <t>57M</t>
        </is>
      </c>
      <c r="K10" s="3" t="inlineStr">
        <is>
          <t>⚠️ RetinaNet 原論文僅 COCO；VOC 82.7 為社群 re-eval</t>
        </is>
      </c>
      <c r="L10" s="6" t="inlineStr">
        <is>
          <t>https://arxiv.org/abs/1708.02002</t>
        </is>
      </c>
      <c r="M10" s="6" t="inlineStr">
        <is>
          <t>https://github.com/ultralytics/ultralytics</t>
        </is>
      </c>
    </row>
    <row r="11" ht="48" customHeight="1">
      <c r="A11" s="3" t="inlineStr">
        <is>
          <t>General OD</t>
        </is>
      </c>
      <c r="B11" s="3" t="inlineStr">
        <is>
          <t>Faster R-CNN (VGG16)</t>
        </is>
      </c>
      <c r="C11" s="3" t="inlineStr">
        <is>
          <t>Ren et al.</t>
        </is>
      </c>
      <c r="D11" s="3" t="inlineStr">
        <is>
          <t>NeurIPS</t>
        </is>
      </c>
      <c r="E11" s="3" t="inlineStr">
        <is>
          <t>2015-12</t>
        </is>
      </c>
      <c r="F11" s="3" t="inlineStr">
        <is>
          <t>Published</t>
        </is>
      </c>
      <c r="G11" s="3" t="n">
        <v>73.2</v>
      </c>
      <c r="H11" s="3" t="inlineStr">
        <is>
          <t>mAP@0.5=73.2</t>
        </is>
      </c>
      <c r="I11" s="3" t="inlineStr">
        <is>
          <t>7</t>
        </is>
      </c>
      <c r="J11" s="3" t="inlineStr">
        <is>
          <t>138M</t>
        </is>
      </c>
      <c r="K11" s="3" t="inlineStr">
        <is>
          <t>✅ verified (Ren et al. NeurIPS 2015, original Faster R-CNN paper Table 3): VOC 2007 test mAP 73.2% (VGG16 backbone, trained on VOC 2007 trainval)</t>
        </is>
      </c>
      <c r="L11" s="6" t="inlineStr">
        <is>
          <t>https://arxiv.org/abs/1506.01497</t>
        </is>
      </c>
      <c r="M11" s="6" t="inlineStr">
        <is>
          <t>https://github.com/Deci-AI/super-gradients</t>
        </is>
      </c>
    </row>
    <row r="12" ht="48" customHeight="1">
      <c r="A12" s="2" t="inlineStr">
        <is>
          <t>General OD</t>
        </is>
      </c>
      <c r="B12" s="2" t="inlineStr">
        <is>
          <t>Faster R-CNN (R50-FPN)</t>
        </is>
      </c>
      <c r="C12" s="2" t="inlineStr">
        <is>
          <t>Ren et al.</t>
        </is>
      </c>
      <c r="D12" s="2" t="inlineStr">
        <is>
          <t>NeurIPS</t>
        </is>
      </c>
      <c r="E12" s="2" t="inlineStr">
        <is>
          <t>2015-06</t>
        </is>
      </c>
      <c r="F12" s="2" t="inlineStr">
        <is>
          <t>Preprint</t>
        </is>
      </c>
      <c r="G12" s="2" t="n">
        <v>73.2</v>
      </c>
      <c r="H12" s="2" t="inlineStr">
        <is>
          <t>mAP@0.5=73.2</t>
        </is>
      </c>
      <c r="I12" s="2" t="n"/>
      <c r="J12" s="2" t="n"/>
      <c r="K12" s="2" t="inlineStr">
        <is>
          <t>✅ 已驗證 (Faster R-CNN NeurIPS15 Table 7)：VGG backbone, 07+12 trainval → 73.2% PASCAL VOC 2007 test mAP（注：original paper variant；R50-FPN 是後來 Detectron2 改版）</t>
        </is>
      </c>
      <c r="L12" s="9" t="inlineStr">
        <is>
          <t>https://arxiv.org/abs/1506.01497</t>
        </is>
      </c>
      <c r="M12" s="9" t="inlineStr">
        <is>
          <t>https://github.com/IDEA-Research/GroundingDINO</t>
        </is>
      </c>
    </row>
    <row r="13">
      <c r="A13" s="2" t="inlineStr">
        <is>
          <t>Real-Time OD</t>
        </is>
      </c>
      <c r="B13" s="2" t="inlineStr">
        <is>
          <t>YOLOv8x</t>
        </is>
      </c>
      <c r="C13" s="2" t="inlineStr">
        <is>
          <t>Ultralytics</t>
        </is>
      </c>
      <c r="D13" s="2" t="inlineStr">
        <is>
          <t>GitHub</t>
        </is>
      </c>
      <c r="E13" s="2" t="inlineStr">
        <is>
          <t>2023-01</t>
        </is>
      </c>
      <c r="F13" s="2" t="inlineStr">
        <is>
          <t>GitHub</t>
        </is>
      </c>
      <c r="G13" s="2" t="n"/>
      <c r="H13" s="2" t="inlineStr">
        <is>
          <t>To verify</t>
        </is>
      </c>
      <c r="I13" s="2" t="inlineStr">
        <is>
          <t>99</t>
        </is>
      </c>
      <c r="J13" s="2" t="inlineStr">
        <is>
          <t>68.2M</t>
        </is>
      </c>
      <c r="K13" s="2" t="inlineStr">
        <is>
          <t>⚠️ YOLOv8x 無同儕審查論文；VOC mAP 無官方/論文來源</t>
        </is>
      </c>
      <c r="L13" s="9" t="inlineStr">
        <is>
          <t>https://docs.ultralytics.com/models/yolov8/</t>
        </is>
      </c>
      <c r="M13" s="9" t="inlineStr">
        <is>
          <t>https://github.com/roboflow/rf-detr</t>
        </is>
      </c>
    </row>
    <row r="14">
      <c r="A14" s="2" t="inlineStr">
        <is>
          <t>Real-Time OD</t>
        </is>
      </c>
      <c r="B14" s="2" t="inlineStr">
        <is>
          <t>YOLO-NAS</t>
        </is>
      </c>
      <c r="C14" s="2" t="inlineStr">
        <is>
          <t>Deci</t>
        </is>
      </c>
      <c r="D14" s="2" t="inlineStr">
        <is>
          <t>GitHub</t>
        </is>
      </c>
      <c r="E14" s="2" t="inlineStr">
        <is>
          <t>2023-05</t>
        </is>
      </c>
      <c r="F14" s="2" t="inlineStr">
        <is>
          <t>GitHub</t>
        </is>
      </c>
      <c r="G14" s="2" t="n"/>
      <c r="H14" s="2" t="inlineStr">
        <is>
          <t>To verify</t>
        </is>
      </c>
      <c r="I14" s="2" t="inlineStr">
        <is>
          <t>T4 ≈110</t>
        </is>
      </c>
      <c r="J14" s="2" t="inlineStr">
        <is>
          <t>≈58M</t>
        </is>
      </c>
      <c r="K14" s="2" t="inlineStr">
        <is>
          <t>⚠️ YOLO-NAS (Deci) 無同儕審查論文；官方僅 COCO，VOC 無來源</t>
        </is>
      </c>
      <c r="L14" s="9" t="inlineStr">
        <is>
          <t>https://github.com/Deci-AI/super-gradients</t>
        </is>
      </c>
      <c r="M14" s="9" t="inlineStr">
        <is>
          <t>https://github.com/roboflow/rf-detr</t>
        </is>
      </c>
    </row>
    <row r="15">
      <c r="A15" s="2" t="inlineStr">
        <is>
          <t>General OD</t>
        </is>
      </c>
      <c r="B15" s="2" t="inlineStr">
        <is>
          <t>Grounding DINO (zero-shot)</t>
        </is>
      </c>
      <c r="C15" s="2" t="inlineStr">
        <is>
          <t>Liu et al.</t>
        </is>
      </c>
      <c r="D15" s="2" t="inlineStr">
        <is>
          <t>ECCV</t>
        </is>
      </c>
      <c r="E15" s="2" t="inlineStr">
        <is>
          <t>2024-10</t>
        </is>
      </c>
      <c r="F15" s="2" t="inlineStr">
        <is>
          <t>Published</t>
        </is>
      </c>
      <c r="G15" s="2" t="n"/>
      <c r="H15" s="2" t="inlineStr">
        <is>
          <t>Zero-shot mAP To verify</t>
        </is>
      </c>
      <c r="I15" s="2" t="inlineStr">
        <is>
          <t>N/A</t>
        </is>
      </c>
      <c r="J15" s="2" t="inlineStr">
        <is>
          <t>≈173M</t>
        </is>
      </c>
      <c r="K15" s="2" t="inlineStr">
        <is>
          <t>⚠️ Grounding DINO 零樣本 VOC transfer，非標準訓練於 VOC；論文未報 VOC 2007 zero-shot mAP</t>
        </is>
      </c>
      <c r="L15" s="9" t="inlineStr">
        <is>
          <t>https://arxiv.org/abs/2303.05499</t>
        </is>
      </c>
      <c r="M15" s="9" t="inlineStr">
        <is>
          <t>https://github.com/iMoonLab/yolov13</t>
        </is>
      </c>
    </row>
    <row r="16">
      <c r="A16" s="2" t="inlineStr">
        <is>
          <t>Real-Time OD</t>
        </is>
      </c>
      <c r="B16" s="2" t="inlineStr">
        <is>
          <t>RF-DETR (Large)</t>
        </is>
      </c>
      <c r="C16" s="2" t="inlineStr">
        <is>
          <t>Roboflow</t>
        </is>
      </c>
      <c r="D16" s="2" t="inlineStr">
        <is>
          <t>ICLR</t>
        </is>
      </c>
      <c r="E16" s="2" t="inlineStr">
        <is>
          <t>2026-04</t>
        </is>
      </c>
      <c r="F16" s="2" t="inlineStr">
        <is>
          <t>Preprint</t>
        </is>
      </c>
      <c r="G16" s="2" t="n"/>
      <c r="H16" s="2" t="n"/>
      <c r="I16" s="2" t="n"/>
      <c r="J16" s="2" t="n"/>
      <c r="K16" s="2" t="inlineStr">
        <is>
          <t>⚠️ RF-DETR (PDF 查證) 僅報 COCO+Roboflow100-VL，未測 PASCAL VOC 2007 標準 mAP</t>
        </is>
      </c>
      <c r="L16" s="9" t="inlineStr">
        <is>
          <t>https://arxiv.org/abs/2511.09554</t>
        </is>
      </c>
      <c r="M16" s="9" t="inlineStr">
        <is>
          <t>https://github.com/IDEA-Research/GroundingDINO</t>
        </is>
      </c>
    </row>
    <row r="17">
      <c r="A17" s="2" t="inlineStr">
        <is>
          <t>Real-Time OD</t>
        </is>
      </c>
      <c r="B17" s="2" t="inlineStr">
        <is>
          <t>RF-DETR (Nano)</t>
        </is>
      </c>
      <c r="C17" s="2" t="inlineStr">
        <is>
          <t>Roboflow</t>
        </is>
      </c>
      <c r="D17" s="2" t="inlineStr">
        <is>
          <t>ICLR</t>
        </is>
      </c>
      <c r="E17" s="2" t="inlineStr">
        <is>
          <t>2026-04</t>
        </is>
      </c>
      <c r="F17" s="2" t="inlineStr">
        <is>
          <t>Preprint</t>
        </is>
      </c>
      <c r="G17" s="2" t="n"/>
      <c r="H17" s="2" t="n"/>
      <c r="I17" s="2" t="n"/>
      <c r="J17" s="2" t="n"/>
      <c r="K17" s="2" t="inlineStr">
        <is>
          <t>⚠️ RF-DETR Nano (PDF 查證) 僅 COCO，未測 VOC 2007</t>
        </is>
      </c>
      <c r="L17" s="9" t="inlineStr">
        <is>
          <t>https://arxiv.org/abs/2511.09554</t>
        </is>
      </c>
      <c r="M17" s="9" t="inlineStr">
        <is>
          <t>https://github.com/xiuqhou/Relation-DETR</t>
        </is>
      </c>
    </row>
    <row r="18">
      <c r="A18" s="2" t="inlineStr">
        <is>
          <t>Real-Time OD</t>
        </is>
      </c>
      <c r="B18" s="2" t="inlineStr">
        <is>
          <t>YOLOv13-X</t>
        </is>
      </c>
      <c r="C18" s="2" t="inlineStr">
        <is>
          <t>iMoonLab</t>
        </is>
      </c>
      <c r="D18" s="2" t="inlineStr">
        <is>
          <t>arXiv</t>
        </is>
      </c>
      <c r="E18" s="2" t="inlineStr">
        <is>
          <t>2025-06</t>
        </is>
      </c>
      <c r="F18" s="2" t="inlineStr">
        <is>
          <t>Preprint</t>
        </is>
      </c>
      <c r="G18" s="2" t="n"/>
      <c r="H18" s="2" t="n"/>
      <c r="I18" s="2" t="n"/>
      <c r="J18" s="2" t="n"/>
      <c r="K18" s="2" t="inlineStr">
        <is>
          <t>⚠️ YOLOv13-X：COCO 訓練後跨域測 VOC，非標準 VOC 訓練+測試協議，數值待 PDF 表確認</t>
        </is>
      </c>
      <c r="L18" s="9" t="inlineStr">
        <is>
          <t>https://arxiv.org/abs/2506.17733</t>
        </is>
      </c>
      <c r="M18" s="9" t="inlineStr">
        <is>
          <t>https://github.com/IDEA-Research/Grounding-DINO-1.5-API</t>
        </is>
      </c>
    </row>
    <row r="19">
      <c r="A19" s="2" t="inlineStr">
        <is>
          <t>Few-Shot OD</t>
        </is>
      </c>
      <c r="B19" s="2" t="inlineStr">
        <is>
          <t>Grounding DINO</t>
        </is>
      </c>
      <c r="C19" s="2" t="inlineStr">
        <is>
          <t>Liu et al.</t>
        </is>
      </c>
      <c r="D19" s="2" t="inlineStr">
        <is>
          <t>ECCV</t>
        </is>
      </c>
      <c r="E19" s="2" t="inlineStr">
        <is>
          <t>2024-10</t>
        </is>
      </c>
      <c r="F19" s="2" t="inlineStr">
        <is>
          <t>Preprint</t>
        </is>
      </c>
      <c r="G19" s="2" t="n"/>
      <c r="H19" s="2" t="n"/>
      <c r="I19" s="2" t="n"/>
      <c r="J19" s="2" t="n"/>
      <c r="K19" s="2" t="inlineStr">
        <is>
          <t>⚠️ Grounding DINO 為開放詞彙偵測器 (COCO/LVIS/ODinW)，未報標準 closed-set VOC 2007 mAP</t>
        </is>
      </c>
      <c r="L19" s="9" t="inlineStr">
        <is>
          <t>https://arxiv.org/abs/2303.05499</t>
        </is>
      </c>
      <c r="M19" s="9" t="inlineStr">
        <is>
          <t>https://github.com/OpenGVLab/InternImage</t>
        </is>
      </c>
    </row>
    <row r="20">
      <c r="A20" s="2" t="inlineStr">
        <is>
          <t>General OD</t>
        </is>
      </c>
      <c r="B20" s="2" t="inlineStr">
        <is>
          <t>Relation-DETR (FocalNet-L)</t>
        </is>
      </c>
      <c r="C20" s="2" t="inlineStr">
        <is>
          <t>Hou et al.</t>
        </is>
      </c>
      <c r="D20" s="2" t="inlineStr">
        <is>
          <t>ECCV</t>
        </is>
      </c>
      <c r="E20" s="2" t="inlineStr">
        <is>
          <t>2024-09</t>
        </is>
      </c>
      <c r="F20" s="2" t="inlineStr">
        <is>
          <t>Preprint</t>
        </is>
      </c>
      <c r="G20" s="2" t="n"/>
      <c r="H20" s="2" t="n"/>
      <c r="I20" s="2" t="n"/>
      <c r="J20" s="2" t="n"/>
      <c r="K20" s="2" t="inlineStr">
        <is>
          <t>⚠️ Relation-DETR 僅 COCO，未測 VOC 2007</t>
        </is>
      </c>
      <c r="L20" s="9" t="inlineStr">
        <is>
          <t>https://arxiv.org/abs/2407.11699</t>
        </is>
      </c>
      <c r="M20" s="9" t="inlineStr">
        <is>
          <t>https://github.com/open-mmlab/mmdetection</t>
        </is>
      </c>
    </row>
    <row r="21">
      <c r="A21" s="2" t="inlineStr">
        <is>
          <t>General OD</t>
        </is>
      </c>
      <c r="B21" s="2" t="inlineStr">
        <is>
          <t>Grounding DINO 1.5 Pro</t>
        </is>
      </c>
      <c r="C21" s="2" t="inlineStr">
        <is>
          <t>Ren et al.</t>
        </is>
      </c>
      <c r="D21" s="2" t="inlineStr">
        <is>
          <t>arXiv</t>
        </is>
      </c>
      <c r="E21" s="2" t="inlineStr">
        <is>
          <t>2024-05</t>
        </is>
      </c>
      <c r="F21" s="2" t="inlineStr">
        <is>
          <t>Preprint</t>
        </is>
      </c>
      <c r="G21" s="2" t="n"/>
      <c r="H21" s="2" t="n"/>
      <c r="I21" s="2" t="n"/>
      <c r="J21" s="2" t="n"/>
      <c r="K21" s="2" t="inlineStr">
        <is>
          <t>⚠️ Grounding DINO 1.5 Pro 開放詞彙 (COCO/LVIS/ODinW)，未報標準 VOC 2007 mAP</t>
        </is>
      </c>
      <c r="L21" s="9" t="inlineStr">
        <is>
          <t>https://arxiv.org/abs/2405.10300</t>
        </is>
      </c>
      <c r="M21" s="9" t="inlineStr">
        <is>
          <t>https://github.com/ZhangGongjie/Meta-DETR</t>
        </is>
      </c>
    </row>
    <row r="22">
      <c r="A22" s="2" t="inlineStr">
        <is>
          <t>Real-Time OD</t>
        </is>
      </c>
      <c r="B22" s="2" t="inlineStr">
        <is>
          <t>RTMDet-X</t>
        </is>
      </c>
      <c r="C22" s="2" t="inlineStr">
        <is>
          <t>Lyu et al.</t>
        </is>
      </c>
      <c r="D22" s="2" t="inlineStr">
        <is>
          <t>arXiv</t>
        </is>
      </c>
      <c r="E22" s="2" t="inlineStr">
        <is>
          <t>2022-12</t>
        </is>
      </c>
      <c r="F22" s="2" t="inlineStr">
        <is>
          <t>Preprint</t>
        </is>
      </c>
      <c r="G22" s="2" t="n"/>
      <c r="H22" s="2" t="n"/>
      <c r="I22" s="2" t="n"/>
      <c r="J22" s="2" t="n"/>
      <c r="K22" s="2" t="inlineStr">
        <is>
          <t>⚠️ RTMDet-X 僅 COCO，未測 VOC 2007</t>
        </is>
      </c>
      <c r="L22" s="9" t="inlineStr">
        <is>
          <t>https://arxiv.org/abs/2212.07784</t>
        </is>
      </c>
      <c r="M22" s="9" t="inlineStr">
        <is>
          <t>https://github.com/amirbar/DETReg</t>
        </is>
      </c>
    </row>
    <row r="23">
      <c r="A23" s="2" t="inlineStr">
        <is>
          <t>Few-Shot OD</t>
        </is>
      </c>
      <c r="B23" s="2" t="inlineStr">
        <is>
          <t>Meta-DETR</t>
        </is>
      </c>
      <c r="C23" s="2" t="inlineStr">
        <is>
          <t>Zhang et al.</t>
        </is>
      </c>
      <c r="D23" s="2" t="inlineStr">
        <is>
          <t>TPAMI</t>
        </is>
      </c>
      <c r="E23" s="2" t="inlineStr">
        <is>
          <t>2022-08</t>
        </is>
      </c>
      <c r="F23" s="2" t="inlineStr">
        <is>
          <t>Preprint</t>
        </is>
      </c>
      <c r="G23" s="2" t="n"/>
      <c r="H23" s="2" t="n"/>
      <c r="I23" s="2" t="n"/>
      <c r="J23" s="2" t="n"/>
      <c r="K23" s="2" t="inlineStr">
        <is>
          <t>⚠️ Meta-DETR (Zhang et al. TPAMI 2022, arxiv 2208.00219) is a few-shot OD method. It evaluates on MS-COCO novel AP at K-shot (1/5/10/30) — see MS-COCO few-shot sheets. It does NOT report standard PASCAL VOC 2007 20-class closed-set mAP@0.5. This entry is misplaced; should be in COCO few-shot sheets only.</t>
        </is>
      </c>
      <c r="L23" s="9" t="inlineStr">
        <is>
          <t>https://arxiv.org/abs/2208.00219</t>
        </is>
      </c>
      <c r="M23" s="9" t="inlineStr">
        <is>
          <t>https://github.com/er-muyue/DeFRCN</t>
        </is>
      </c>
    </row>
    <row r="24">
      <c r="A24" s="2" t="inlineStr">
        <is>
          <t>Few-Shot OD</t>
        </is>
      </c>
      <c r="B24" s="2" t="inlineStr">
        <is>
          <t>DeFRCN</t>
        </is>
      </c>
      <c r="C24" s="2" t="inlineStr">
        <is>
          <t>Qiao et al.</t>
        </is>
      </c>
      <c r="D24" s="2" t="inlineStr">
        <is>
          <t>ICCV</t>
        </is>
      </c>
      <c r="E24" s="2" t="inlineStr">
        <is>
          <t>2021-10</t>
        </is>
      </c>
      <c r="F24" s="2" t="inlineStr">
        <is>
          <t>Preprint</t>
        </is>
      </c>
      <c r="G24" s="2" t="n"/>
      <c r="H24" s="2" t="n"/>
      <c r="I24" s="2" t="n"/>
      <c r="J24" s="2" t="n"/>
      <c r="K24" s="2" t="inlineStr">
        <is>
          <t>⚠️ 誤放：DeFRCN 是 few-shot OD 方法，使用 PASCAL VOC novel splits（K-shot）而非標準 closed-set 20-class mAP；應移至 PASCAL VOC 2007 15+5 sheet 而非此 sheet</t>
        </is>
      </c>
      <c r="L24" s="9" t="inlineStr">
        <is>
          <t>https://arxiv.org/abs/2108.09017</t>
        </is>
      </c>
      <c r="M24" s="9" t="inlineStr">
        <is>
          <t>https://github.com/megvii-research/FSCE</t>
        </is>
      </c>
    </row>
    <row r="25">
      <c r="A25" s="2" t="inlineStr">
        <is>
          <t>Few-Shot OD</t>
        </is>
      </c>
      <c r="B25" s="2" t="inlineStr">
        <is>
          <t>FSCE</t>
        </is>
      </c>
      <c r="C25" s="2" t="inlineStr">
        <is>
          <t>Sun et al.</t>
        </is>
      </c>
      <c r="D25" s="2" t="inlineStr">
        <is>
          <t>CVPR</t>
        </is>
      </c>
      <c r="E25" s="2" t="inlineStr">
        <is>
          <t>2021-06</t>
        </is>
      </c>
      <c r="F25" s="2" t="inlineStr">
        <is>
          <t>Preprint</t>
        </is>
      </c>
      <c r="G25" s="2" t="n"/>
      <c r="H25" s="2" t="n"/>
      <c r="I25" s="2" t="n"/>
      <c r="J25" s="2" t="n"/>
      <c r="K25" s="2" t="inlineStr">
        <is>
          <t>⚠️ 誤放：FSCE 是 few-shot OD 方法，使用 PASCAL VOC novel splits（K-shot）而非標準 closed-set 20-class mAP；應移至 PASCAL VOC 2007 15+5 sheet 而非此 sheet</t>
        </is>
      </c>
      <c r="L25" s="9" t="inlineStr">
        <is>
          <t>https://arxiv.org/abs/2103.05950</t>
        </is>
      </c>
      <c r="M25" s="9" t="inlineStr">
        <is>
          <t>https://github.com/backseason/PoolNet</t>
        </is>
      </c>
    </row>
    <row r="26">
      <c r="A26" s="2" t="inlineStr">
        <is>
          <t>RGB Salient OD</t>
        </is>
      </c>
      <c r="B26" s="2" t="inlineStr">
        <is>
          <t>PoolNet+</t>
        </is>
      </c>
      <c r="C26" s="2" t="inlineStr">
        <is>
          <t>Liu et al.</t>
        </is>
      </c>
      <c r="D26" s="2" t="inlineStr">
        <is>
          <t>TPAMI</t>
        </is>
      </c>
      <c r="E26" s="2" t="inlineStr">
        <is>
          <t>2021-04</t>
        </is>
      </c>
      <c r="F26" s="2" t="inlineStr">
        <is>
          <t>Preprint</t>
        </is>
      </c>
      <c r="G26" s="2" t="n"/>
      <c r="H26" s="2" t="n"/>
      <c r="I26" s="2" t="n"/>
      <c r="J26" s="2" t="n"/>
      <c r="K26" s="2" t="inlineStr">
        <is>
          <t>⚠️ PoolNet+ 為顯著物件偵測 (SOD，S-measure/MAE)，非 VOC 物件偵測 mAP — 誤放</t>
        </is>
      </c>
      <c r="L26" s="9" t="inlineStr">
        <is>
          <t>https://arxiv.org/abs/1904.09569</t>
        </is>
      </c>
      <c r="M26" s="9" t="inlineStr">
        <is>
          <t>https://github.com/jiaxi-wu/MPSR</t>
        </is>
      </c>
    </row>
    <row r="27">
      <c r="A27" s="2" t="inlineStr">
        <is>
          <t>Few-Shot OD</t>
        </is>
      </c>
      <c r="B27" s="2" t="inlineStr">
        <is>
          <t>MPSR</t>
        </is>
      </c>
      <c r="C27" s="2" t="inlineStr">
        <is>
          <t>Wu et al.</t>
        </is>
      </c>
      <c r="D27" s="2" t="inlineStr">
        <is>
          <t>ECCV</t>
        </is>
      </c>
      <c r="E27" s="2" t="inlineStr">
        <is>
          <t>2020-08</t>
        </is>
      </c>
      <c r="F27" s="2" t="inlineStr">
        <is>
          <t>Preprint</t>
        </is>
      </c>
      <c r="G27" s="2" t="n"/>
      <c r="H27" s="2" t="n"/>
      <c r="I27" s="2" t="n"/>
      <c r="J27" s="2" t="n"/>
      <c r="K27" s="2" t="inlineStr">
        <is>
          <t>⚠️ 誤放：MPSR 是 few-shot OD 方法，使用 PASCAL VOC novel splits（K-shot）而非標準 closed-set 20-class mAP；應移至 PASCAL VOC 2007 15+5 sheet 而非此 sheet</t>
        </is>
      </c>
      <c r="L27" s="9" t="inlineStr">
        <is>
          <t>https://arxiv.org/abs/2007.09384</t>
        </is>
      </c>
      <c r="M27" s="9" t="inlineStr">
        <is>
          <t>https://github.com/ucbdrive/few-shot-object-detection</t>
        </is>
      </c>
    </row>
    <row r="28">
      <c r="A28" s="2" t="inlineStr">
        <is>
          <t>Few-Shot OD</t>
        </is>
      </c>
      <c r="B28" s="2" t="inlineStr">
        <is>
          <t>TFA w/cos</t>
        </is>
      </c>
      <c r="C28" s="2" t="inlineStr">
        <is>
          <t>Wang et al.</t>
        </is>
      </c>
      <c r="D28" s="2" t="inlineStr">
        <is>
          <t>ICML</t>
        </is>
      </c>
      <c r="E28" s="2" t="inlineStr">
        <is>
          <t>2020-07</t>
        </is>
      </c>
      <c r="F28" s="2" t="inlineStr">
        <is>
          <t>Preprint</t>
        </is>
      </c>
      <c r="G28" s="2" t="n"/>
      <c r="H28" s="2" t="n"/>
      <c r="I28" s="2" t="n"/>
      <c r="J28" s="2" t="n"/>
      <c r="K28" s="2" t="inlineStr">
        <is>
          <t>⚠️ 誤放：TFA w/cos 是 few-shot OD 方法，使用 PASCAL VOC novel splits（K-shot）而非標準 closed-set 20-class mAP；應移至 PASCAL VOC 2007 15+5 sheet 而非此 sheet</t>
        </is>
      </c>
      <c r="L28" s="9" t="inlineStr">
        <is>
          <t>https://arxiv.org/abs/2003.06957</t>
        </is>
      </c>
      <c r="M28" s="9" t="inlineStr">
        <is>
          <t>https://github.com/google/automl/tree/master/efficientdet</t>
        </is>
      </c>
    </row>
    <row r="29">
      <c r="A29" s="2" t="inlineStr">
        <is>
          <t>Real-Time OD</t>
        </is>
      </c>
      <c r="B29" s="2" t="inlineStr">
        <is>
          <t>EfficientDet-D7</t>
        </is>
      </c>
      <c r="C29" s="2" t="inlineStr">
        <is>
          <t>Tan et al.</t>
        </is>
      </c>
      <c r="D29" s="2" t="inlineStr">
        <is>
          <t>CVPR</t>
        </is>
      </c>
      <c r="E29" s="2" t="inlineStr">
        <is>
          <t>2020-06</t>
        </is>
      </c>
      <c r="F29" s="2" t="inlineStr">
        <is>
          <t>Preprint</t>
        </is>
      </c>
      <c r="G29" s="2" t="n"/>
      <c r="H29" s="2" t="n"/>
      <c r="I29" s="2" t="n"/>
      <c r="J29" s="2" t="n"/>
      <c r="K29" s="2" t="inlineStr">
        <is>
          <t>⚠️ EfficientDet-D7 僅 COCO test-dev，未測 VOC 2007</t>
        </is>
      </c>
      <c r="L29" s="9" t="inlineStr">
        <is>
          <t>https://arxiv.org/abs/1911.09070</t>
        </is>
      </c>
      <c r="M29" s="9" t="inlineStr">
        <is>
          <t>https://github.com/yanxp/MetaR-CNN</t>
        </is>
      </c>
    </row>
    <row r="30">
      <c r="A30" s="2" t="inlineStr">
        <is>
          <t>Few-Shot OD</t>
        </is>
      </c>
      <c r="B30" s="2" t="inlineStr">
        <is>
          <t>Meta R-CNN</t>
        </is>
      </c>
      <c r="C30" s="2" t="inlineStr">
        <is>
          <t>Yan et al.</t>
        </is>
      </c>
      <c r="D30" s="2" t="inlineStr">
        <is>
          <t>ICCV</t>
        </is>
      </c>
      <c r="E30" s="2" t="inlineStr">
        <is>
          <t>2019-10</t>
        </is>
      </c>
      <c r="F30" s="2" t="inlineStr">
        <is>
          <t>Preprint</t>
        </is>
      </c>
      <c r="G30" s="2" t="n"/>
      <c r="H30" s="2" t="n"/>
      <c r="I30" s="2" t="n"/>
      <c r="J30" s="2" t="n"/>
      <c r="K30" s="2" t="inlineStr">
        <is>
          <t>⚠️ 誤放：Meta R-CNN 是 few-shot OD 方法，使用 PASCAL VOC novel splits（K-shot）而非標準 closed-set 20-class mAP；應移至 PASCAL VOC 2007 15+5 sheet 而非此 sheet</t>
        </is>
      </c>
      <c r="L30" s="9" t="inlineStr">
        <is>
          <t>https://arxiv.org/abs/1909.13032</t>
        </is>
      </c>
      <c r="M30" s="9" t="inlineStr">
        <is>
          <t>https://github.com/bingykang/Fewshot_Detection</t>
        </is>
      </c>
    </row>
    <row r="31">
      <c r="A31" s="2" t="inlineStr">
        <is>
          <t>Few-Shot OD</t>
        </is>
      </c>
      <c r="B31" s="2" t="inlineStr">
        <is>
          <t>FSRW</t>
        </is>
      </c>
      <c r="C31" s="2" t="inlineStr">
        <is>
          <t>Kang et al.</t>
        </is>
      </c>
      <c r="D31" s="2" t="inlineStr">
        <is>
          <t>ICCV</t>
        </is>
      </c>
      <c r="E31" s="2" t="inlineStr">
        <is>
          <t>2019-10</t>
        </is>
      </c>
      <c r="F31" s="2" t="inlineStr">
        <is>
          <t>Preprint</t>
        </is>
      </c>
      <c r="G31" s="2" t="n"/>
      <c r="H31" s="2" t="n"/>
      <c r="I31" s="2" t="n"/>
      <c r="J31" s="2" t="n"/>
      <c r="K31" s="2" t="inlineStr">
        <is>
          <t>⚠️ 誤放：FSRW 是 few-shot OD 方法，使用 PASCAL VOC novel splits（K-shot）而非標準 closed-set 20-class mAP；應移至 PASCAL VOC 2007 15+5 sheet 而非此 sheet</t>
        </is>
      </c>
      <c r="L31" s="9" t="inlineStr">
        <is>
          <t>https://arxiv.org/abs/1812.01866</t>
        </is>
      </c>
      <c r="M31" s="9" t="inlineStr">
        <is>
          <t>https://github.com/xingyizhou/CenterNet</t>
        </is>
      </c>
    </row>
    <row r="32">
      <c r="A32" s="2" t="inlineStr">
        <is>
          <t>General OD</t>
        </is>
      </c>
      <c r="B32" s="2" t="inlineStr">
        <is>
          <t>CenterNet</t>
        </is>
      </c>
      <c r="C32" s="2" t="inlineStr">
        <is>
          <t>Zhou et al.</t>
        </is>
      </c>
      <c r="D32" s="2" t="inlineStr">
        <is>
          <t>arXiv</t>
        </is>
      </c>
      <c r="E32" s="2" t="inlineStr">
        <is>
          <t>2019-04</t>
        </is>
      </c>
      <c r="F32" s="2" t="inlineStr">
        <is>
          <t>Preprint</t>
        </is>
      </c>
      <c r="G32" s="2" t="n"/>
      <c r="H32" s="2" t="n"/>
      <c r="I32" s="2" t="n"/>
      <c r="J32" s="2" t="n"/>
      <c r="K32" s="2" t="inlineStr">
        <is>
          <t>⚠️ CenterNet (Objects as Points) 報 COCO/KITTI/keypoints；VOC 值需 PDF 確認（原論文 VOC 結果表）</t>
        </is>
      </c>
      <c r="L32" s="9" t="inlineStr">
        <is>
          <t>https://arxiv.org/abs/1904.07850</t>
        </is>
      </c>
      <c r="M32" s="9" t="inlineStr">
        <is>
          <t>https://github.com/rbgirshick/py-faster-rcnn</t>
        </is>
      </c>
    </row>
    <row r="33">
      <c r="A33" s="2" t="inlineStr">
        <is>
          <t>General OD</t>
        </is>
      </c>
      <c r="B33" s="2" t="inlineStr">
        <is>
          <t>SEEN-DA</t>
        </is>
      </c>
      <c r="C33" s="2" t="inlineStr">
        <is>
          <t>—</t>
        </is>
      </c>
      <c r="D33" s="2" t="inlineStr">
        <is>
          <t>CVPR 2025</t>
        </is>
      </c>
      <c r="E33" s="2" t="inlineStr">
        <is>
          <t>2025-06</t>
        </is>
      </c>
      <c r="F33" s="2" t="inlineStr">
        <is>
          <t>Preprint</t>
        </is>
      </c>
      <c r="G33" s="2" t="n"/>
      <c r="H33" s="2" t="n"/>
      <c r="I33" s="2" t="n"/>
      <c r="J33" s="2" t="n"/>
      <c r="K33" s="2" t="inlineStr">
        <is>
          <t>⚠️ SEEN-DA (PDF: domain-adaptation ×14, weather/clipart): 領域適應 OD (VOC→Clipart/Watercolor/天候)，非標準 closed-set VOC mAP</t>
        </is>
      </c>
      <c r="L33" s="9" t="inlineStr">
        <is>
          <t>https://openaccess.thecvf.com/content/CVPR2025/html/Li_SEEN-DA_SEmantic_ENtropy_guided_Domain-aware_Attention_for_Domain_Adaptive_Object_CVPR_2025_paper.html</t>
        </is>
      </c>
      <c r="M33" s="9" t="inlineStr">
        <is>
          <t>N/A</t>
        </is>
      </c>
    </row>
    <row r="34">
      <c r="A34" s="2" t="inlineStr">
        <is>
          <t>General OD</t>
        </is>
      </c>
      <c r="B34" s="2" t="inlineStr">
        <is>
          <t>Test-Time Backdoor Detection for Object Detection Models</t>
        </is>
      </c>
      <c r="C34" s="2" t="inlineStr">
        <is>
          <t>—</t>
        </is>
      </c>
      <c r="D34" s="2" t="inlineStr">
        <is>
          <t>CVPR 2025</t>
        </is>
      </c>
      <c r="E34" s="2" t="inlineStr">
        <is>
          <t>2025-06</t>
        </is>
      </c>
      <c r="F34" s="2" t="inlineStr">
        <is>
          <t>Preprint</t>
        </is>
      </c>
      <c r="G34" s="2" t="n"/>
      <c r="H34" s="2" t="n"/>
      <c r="I34" s="2" t="n"/>
      <c r="J34" s="2" t="n"/>
      <c r="K34" s="2" t="inlineStr">
        <is>
          <t>⚠️ Test-Time Backdoor Detection for OD Models (Zhang et al. CVPR 2025) is a security paper about backdoor attack detection. VOC 2007 is used as an attack-evaluation target (not as a standard benchmark for detection mAP). Does NOT report standard 20-class mAP@0.5; reports attack-success rate / detection accuracy.</t>
        </is>
      </c>
      <c r="L34" s="9" t="inlineStr">
        <is>
          <t>https://openaccess.thecvf.com/content/CVPR2025/html/Zhang_Test-Time_Backdoor_Detection_for_Object_Detection_Models_CVPR_2025_paper.html</t>
        </is>
      </c>
      <c r="M34" s="9" t="inlineStr">
        <is>
          <t>N/A</t>
        </is>
      </c>
    </row>
    <row r="35">
      <c r="A35" s="2" t="inlineStr">
        <is>
          <t>General OD</t>
        </is>
      </c>
      <c r="B35" s="2" t="inlineStr">
        <is>
          <t>SET</t>
        </is>
      </c>
      <c r="C35" s="2" t="inlineStr">
        <is>
          <t>—</t>
        </is>
      </c>
      <c r="D35" s="2" t="inlineStr">
        <is>
          <t>CVPR 2025</t>
        </is>
      </c>
      <c r="E35" s="2" t="inlineStr">
        <is>
          <t>2025-06</t>
        </is>
      </c>
      <c r="F35" s="2" t="inlineStr">
        <is>
          <t>Preprint</t>
        </is>
      </c>
      <c r="G35" s="2" t="n"/>
      <c r="H35" s="2" t="n"/>
      <c r="I35" s="2" t="n"/>
      <c r="J35" s="2" t="n"/>
      <c r="K35" s="2" t="inlineStr">
        <is>
          <t>⚠️ SET — Spectral Enhancement for Tiny Object Detection (Sun et al. CVPR 2025) is a tiny OD paper. Evaluated on tiny-object benchmarks (e.g. VisDrone, AI-TOD, DOTA). Does NOT report PASCAL VOC 2007 standard 20-class mAP@0.5.</t>
        </is>
      </c>
      <c r="L35" s="9" t="inlineStr">
        <is>
          <t>https://openaccess.thecvf.com/content/CVPR2025/html/Sun_SET_Spectral_Enhancement_for_Tiny_Object_Detection_CVPR_2025_paper.html</t>
        </is>
      </c>
      <c r="M35" s="9" t="inlineStr">
        <is>
          <t>N/A</t>
        </is>
      </c>
    </row>
    <row r="36">
      <c r="A36" s="2" t="inlineStr">
        <is>
          <t>General OD</t>
        </is>
      </c>
      <c r="B36" s="2" t="inlineStr">
        <is>
          <t>Style Evolving along Chain-of-Thought for Unknown-Domain Obj</t>
        </is>
      </c>
      <c r="C36" s="2" t="inlineStr">
        <is>
          <t>—</t>
        </is>
      </c>
      <c r="D36" s="2" t="inlineStr">
        <is>
          <t>CVPR 2025</t>
        </is>
      </c>
      <c r="E36" s="2" t="inlineStr">
        <is>
          <t>2025-06</t>
        </is>
      </c>
      <c r="F36" s="2" t="inlineStr">
        <is>
          <t>Preprint</t>
        </is>
      </c>
      <c r="G36" s="2" t="n"/>
      <c r="H36" s="2" t="n"/>
      <c r="I36" s="2" t="n"/>
      <c r="J36" s="2" t="n"/>
      <c r="K36" s="2" t="inlineStr">
        <is>
          <t>⚠️ Style Evolving along Chain-of-Thought for Unknown-Domain OD (Zhang et al. CVPR 2025) is a domain generalization / style adaptation paper. Evaluates on unknown-domain transfer benchmarks (not standard closed-set VOC 2007 mAP@0.5). VOC may appear as a source domain but results are domain-shift metrics.</t>
        </is>
      </c>
      <c r="L36" s="9" t="inlineStr">
        <is>
          <t>https://openaccess.thecvf.com/content/CVPR2025/html/Zhang_Style_Evolving_along_Chain-of-Thought_for_Unknown-Domain_Object_Detection_CVPR_2025_paper.html</t>
        </is>
      </c>
      <c r="M36" s="9" t="inlineStr">
        <is>
          <t>N/A</t>
        </is>
      </c>
    </row>
    <row r="37">
      <c r="A37" s="2" t="inlineStr">
        <is>
          <t>General OD</t>
        </is>
      </c>
      <c r="B37" s="2" t="inlineStr">
        <is>
          <t>Towards RAW Object Detection in Diverse Conditions</t>
        </is>
      </c>
      <c r="C37" s="2" t="inlineStr">
        <is>
          <t>—</t>
        </is>
      </c>
      <c r="D37" s="2" t="inlineStr">
        <is>
          <t>CVPR 2025</t>
        </is>
      </c>
      <c r="E37" s="2" t="inlineStr">
        <is>
          <t>2025-06</t>
        </is>
      </c>
      <c r="F37" s="2" t="inlineStr">
        <is>
          <t>Preprint</t>
        </is>
      </c>
      <c r="G37" s="2" t="n"/>
      <c r="H37" s="2" t="n"/>
      <c r="I37" s="2" t="n"/>
      <c r="J37" s="2" t="n"/>
      <c r="K37" s="2" t="inlineStr">
        <is>
          <t>⚠️ Towards RAW Object Detection in Diverse Conditions (Li et al. CVPR 2025) evaluates on RAW-image domain-specific datasets (not standard RGB PASCAL VOC 2007). Does NOT report standard 20-class VOC mAP@0.5; focuses on RAW-domain detection metrics.</t>
        </is>
      </c>
      <c r="L37" s="9" t="inlineStr">
        <is>
          <t>https://openaccess.thecvf.com/content/CVPR2025/html/Li_Towards_RAW_Object_Detection_in_Diverse_Conditions_CVPR_2025_paper.html</t>
        </is>
      </c>
      <c r="M37" s="9" t="inlineStr">
        <is>
          <t>N/A</t>
        </is>
      </c>
    </row>
    <row r="38">
      <c r="A38" s="2" t="inlineStr">
        <is>
          <t>General OD</t>
        </is>
      </c>
      <c r="B38" s="2" t="inlineStr">
        <is>
          <t>Revisiting Generative Replay for Class Incremental Object De</t>
        </is>
      </c>
      <c r="C38" s="2" t="inlineStr">
        <is>
          <t>—</t>
        </is>
      </c>
      <c r="D38" s="2" t="inlineStr">
        <is>
          <t>CVPR 2025</t>
        </is>
      </c>
      <c r="E38" s="2" t="inlineStr">
        <is>
          <t>2025-06</t>
        </is>
      </c>
      <c r="F38" s="2" t="inlineStr">
        <is>
          <t>Preprint</t>
        </is>
      </c>
      <c r="G38" s="2" t="n"/>
      <c r="H38" s="2" t="n"/>
      <c r="I38" s="2" t="n"/>
      <c r="J38" s="2" t="n"/>
      <c r="K38" s="2" t="inlineStr">
        <is>
          <t>⚠️ Revisiting Generative Replay for Class Incremental OD (Zhang et al. CVPR 2025) uses VOC 2007 in a class-incremental learning protocol (multi-task splits, e.g. first 10 classes then next 10). Reports "current task AP" / "all-task AP" under incremental constraints — NOT directly comparable to standard closed-set 20-class mAP@0.5.</t>
        </is>
      </c>
      <c r="L38" s="9" t="inlineStr">
        <is>
          <t>https://openaccess.thecvf.com/content/CVPR2025/html/Zhang_Revisiting_Generative_Replay_for_Class_Incremental_Object_Detection_CVPR_2025_paper.html</t>
        </is>
      </c>
      <c r="M38" s="9" t="inlineStr">
        <is>
          <t>N/A</t>
        </is>
      </c>
    </row>
    <row r="39">
      <c r="A39" s="2" t="inlineStr">
        <is>
          <t>General OD</t>
        </is>
      </c>
      <c r="B39" s="2" t="inlineStr">
        <is>
          <t>Percept, Memory, and Imagine</t>
        </is>
      </c>
      <c r="C39" s="2" t="inlineStr">
        <is>
          <t>—</t>
        </is>
      </c>
      <c r="D39" s="2" t="inlineStr">
        <is>
          <t>CVPR 2025</t>
        </is>
      </c>
      <c r="E39" s="2" t="inlineStr">
        <is>
          <t>2025-06</t>
        </is>
      </c>
      <c r="F39" s="2" t="inlineStr">
        <is>
          <t>Preprint</t>
        </is>
      </c>
      <c r="G39" s="2" t="n"/>
      <c r="H39" s="2" t="n"/>
      <c r="I39" s="2" t="n"/>
      <c r="J39" s="2" t="n"/>
      <c r="K39" s="2" t="inlineStr">
        <is>
          <t>⚠️ Percept, Memory, and Imagine — World Feature Simulating for Open-Domain Unknown (Wu et al. CVPR 2025) is an open-domain unknown OD paper. Evaluates in open-world / open-domain setting, not standard closed-set VOC 2007 mAP@0.5.</t>
        </is>
      </c>
      <c r="L39" s="9" t="inlineStr">
        <is>
          <t>https://openaccess.thecvf.com/content/CVPR2025/html/Wu_Percept_Memory_and_Imagine_World_Feature_Simulating_for_Open-Domain_Unknown_CVPR_2025_paper.html</t>
        </is>
      </c>
      <c r="M39" s="9" t="inlineStr">
        <is>
          <t>N/A</t>
        </is>
      </c>
    </row>
    <row r="40">
      <c r="A40" s="2" t="inlineStr">
        <is>
          <t>General OD</t>
        </is>
      </c>
      <c r="B40" s="2" t="inlineStr">
        <is>
          <t>SimLTD</t>
        </is>
      </c>
      <c r="C40" s="2" t="inlineStr">
        <is>
          <t>—</t>
        </is>
      </c>
      <c r="D40" s="2" t="inlineStr">
        <is>
          <t>CVPR 2025</t>
        </is>
      </c>
      <c r="E40" s="2" t="inlineStr">
        <is>
          <t>2025-06</t>
        </is>
      </c>
      <c r="F40" s="2" t="inlineStr">
        <is>
          <t>Preprint</t>
        </is>
      </c>
      <c r="G40" s="2" t="n"/>
      <c r="H40" s="2" t="n"/>
      <c r="I40" s="2" t="n"/>
      <c r="J40" s="2" t="n"/>
      <c r="K40" s="2" t="inlineStr">
        <is>
          <t>⚠️ SimLTD (Tran et al. CVPR 2025) is a long-tailed OD paper evaluated on the LVIS v1 benchmark (supervised + semi-supervised settings). Does NOT evaluate on PASCAL VOC 2007. This entry is misplaced; should be in the LVIS v1.0 val sheet (r23 there).</t>
        </is>
      </c>
      <c r="L40" s="9" t="inlineStr">
        <is>
          <t>https://openaccess.thecvf.com/content/CVPR2025/html/Tran_SimLTD_Simple_Supervised_and_Semi-Supervised_Long-Tailed_Object_Detection_CVPR_2025_paper.html</t>
        </is>
      </c>
      <c r="M40" s="9" t="inlineStr">
        <is>
          <t>N/A</t>
        </is>
      </c>
    </row>
    <row r="41">
      <c r="A41" s="2" t="inlineStr">
        <is>
          <t>General OD</t>
        </is>
      </c>
      <c r="B41" s="2" t="inlineStr">
        <is>
          <t>Learning Endogenous Attention for Incremental Object Detecti</t>
        </is>
      </c>
      <c r="C41" s="2" t="inlineStr">
        <is>
          <t>—</t>
        </is>
      </c>
      <c r="D41" s="2" t="inlineStr">
        <is>
          <t>CVPR 2025</t>
        </is>
      </c>
      <c r="E41" s="2" t="inlineStr">
        <is>
          <t>2025-06</t>
        </is>
      </c>
      <c r="F41" s="2" t="inlineStr">
        <is>
          <t>Preprint</t>
        </is>
      </c>
      <c r="G41" s="2" t="n"/>
      <c r="H41" s="2" t="n"/>
      <c r="I41" s="2" t="n"/>
      <c r="J41" s="2" t="n"/>
      <c r="K41" s="2" t="inlineStr">
        <is>
          <t>⚠️ Learning Endogenous Attention for Incremental OD (Song et al. CVPR 2025) uses VOC 2007 in a class-incremental / continual learning protocol (task splits). Reports forgetting / plasticity metrics — NOT standard closed-set 20-class mAP@0.5. Not directly comparable to standard VOC ranking.</t>
        </is>
      </c>
      <c r="L41" s="9" t="inlineStr">
        <is>
          <t>https://openaccess.thecvf.com/content/CVPR2025/html/Song_Learning_Endogenous_Attention_for_Incremental_Object_Detection_CVPR_2025_paper.html</t>
        </is>
      </c>
      <c r="M41" s="9" t="inlineStr">
        <is>
          <t>N/A</t>
        </is>
      </c>
    </row>
    <row r="42">
      <c r="A42" s="2" t="inlineStr">
        <is>
          <t>General OD</t>
        </is>
      </c>
      <c r="B42" s="2" t="inlineStr">
        <is>
          <t>Bit-Flip Induced Latency Attacks in Object Detection</t>
        </is>
      </c>
      <c r="C42" s="2" t="inlineStr">
        <is>
          <t>—</t>
        </is>
      </c>
      <c r="D42" s="2" t="inlineStr">
        <is>
          <t>WACV 2025</t>
        </is>
      </c>
      <c r="E42" s="2" t="inlineStr">
        <is>
          <t>2025-01</t>
        </is>
      </c>
      <c r="F42" s="2" t="inlineStr">
        <is>
          <t>Preprint</t>
        </is>
      </c>
      <c r="G42" s="2" t="n"/>
      <c r="H42" s="2" t="n"/>
      <c r="I42" s="2" t="n"/>
      <c r="J42" s="2" t="n"/>
      <c r="K42" s="2" t="inlineStr">
        <is>
          <t>⚠️ Bit-Flip Induced Latency Attacks in OD (Sistla et al. WACV 2025) is a security / adversarial paper. VOC and COCO appear as target datasets for bit-flip attack evaluation (attack success rate / latency degradation), NOT standard detection mAP. Does NOT report standard closed-set PASCAL VOC 2007 mAP@0.5.</t>
        </is>
      </c>
      <c r="L42" s="9" t="inlineStr">
        <is>
          <t>https://openaccess.thecvf.com/content/WACV2025/html/Sistla_Bit-Flip_Induced_Latency_Attacks_in_Object_Detection_WACV_2025_paper.html</t>
        </is>
      </c>
      <c r="M42" s="9" t="inlineStr">
        <is>
          <t>N/A</t>
        </is>
      </c>
    </row>
    <row r="43">
      <c r="A43" s="2" t="inlineStr">
        <is>
          <t>Real-Time OD</t>
        </is>
      </c>
      <c r="B43" s="2" t="inlineStr">
        <is>
          <t>ERUP-YOLO</t>
        </is>
      </c>
      <c r="C43" s="2" t="inlineStr">
        <is>
          <t>—</t>
        </is>
      </c>
      <c r="D43" s="2" t="inlineStr">
        <is>
          <t>WACV 2025</t>
        </is>
      </c>
      <c r="E43" s="2" t="inlineStr">
        <is>
          <t>2025-01</t>
        </is>
      </c>
      <c r="F43" s="2" t="inlineStr">
        <is>
          <t>Preprint</t>
        </is>
      </c>
      <c r="G43" s="2" t="n"/>
      <c r="H43" s="2" t="n"/>
      <c r="I43" s="2" t="n"/>
      <c r="J43" s="2" t="n"/>
      <c r="K43" s="2" t="inlineStr">
        <is>
          <t>⚠️ ERUP-YOLO (PDF: weather ×59): 惡劣天候強健性 OD，非標準 VOC 2007 mAP</t>
        </is>
      </c>
      <c r="L43" s="9" t="inlineStr">
        <is>
          <t>https://openaccess.thecvf.com/content/WACV2025/html/Ogino_ERUP-YOLO_Enhancing_Object_Detection_Robustness_for_Adverse_Weather_Condition_by_WACV_2025_paper.html</t>
        </is>
      </c>
      <c r="M43" s="9" t="inlineStr">
        <is>
          <t>N/A</t>
        </is>
      </c>
    </row>
    <row r="44">
      <c r="A44" s="2" t="inlineStr">
        <is>
          <t>Few-Shot OD</t>
        </is>
      </c>
      <c r="B44" s="2" t="inlineStr">
        <is>
          <t>Cross-Domain Multi-Modal Few-Shot Object Detection via Rich</t>
        </is>
      </c>
      <c r="C44" s="2" t="inlineStr">
        <is>
          <t>—</t>
        </is>
      </c>
      <c r="D44" s="2" t="inlineStr">
        <is>
          <t>WACV 2025</t>
        </is>
      </c>
      <c r="E44" s="2" t="inlineStr">
        <is>
          <t>2025-01</t>
        </is>
      </c>
      <c r="F44" s="2" t="inlineStr">
        <is>
          <t>Preprint</t>
        </is>
      </c>
      <c r="G44" s="2" t="n"/>
      <c r="H44" s="2" t="n"/>
      <c r="I44" s="2" t="n"/>
      <c r="J44" s="2" t="n"/>
      <c r="K44" s="2" t="inlineStr">
        <is>
          <t>⚠️ Cross-Domain Multi-Modal Few-Shot OD via Rich Text (Shangguan et al. WACV 2025) is a cross-domain few-shot OD paper. Uses VOC and COCO in few-shot cross-domain protocol (K-shot novel class AP). NOT standard closed-set PASCAL VOC 2007 20-class mAP@0.5. This entry is misplaced; should be in few-shot OD sheets.</t>
        </is>
      </c>
      <c r="L44" s="9" t="inlineStr">
        <is>
          <t>https://openaccess.thecvf.com/content/WACV2025/html/Shangguan_Cross-Domain_Multi-Modal_Few-Shot_Object_Detection_via_Rich_Text_WACV_2025_paper.html</t>
        </is>
      </c>
      <c r="M44" s="9" t="inlineStr">
        <is>
          <t>N/A</t>
        </is>
      </c>
    </row>
  </sheetData>
  <autoFilter ref="A1:M12"/>
  <hyperlinks>
    <hyperlink xmlns:r="http://schemas.openxmlformats.org/officeDocument/2006/relationships" ref="M2" r:id="rId1"/>
    <hyperlink xmlns:r="http://schemas.openxmlformats.org/officeDocument/2006/relationships" ref="L3" r:id="rId2"/>
    <hyperlink xmlns:r="http://schemas.openxmlformats.org/officeDocument/2006/relationships" ref="M3" r:id="rId3"/>
    <hyperlink xmlns:r="http://schemas.openxmlformats.org/officeDocument/2006/relationships" ref="L4" r:id="rId4"/>
    <hyperlink xmlns:r="http://schemas.openxmlformats.org/officeDocument/2006/relationships" ref="M4" r:id="rId5"/>
    <hyperlink xmlns:r="http://schemas.openxmlformats.org/officeDocument/2006/relationships" ref="L5" r:id="rId6"/>
    <hyperlink xmlns:r="http://schemas.openxmlformats.org/officeDocument/2006/relationships" ref="M5" r:id="rId7"/>
    <hyperlink xmlns:r="http://schemas.openxmlformats.org/officeDocument/2006/relationships" ref="L6" r:id="rId8"/>
    <hyperlink xmlns:r="http://schemas.openxmlformats.org/officeDocument/2006/relationships" ref="M6" r:id="rId9"/>
    <hyperlink xmlns:r="http://schemas.openxmlformats.org/officeDocument/2006/relationships" ref="L7" r:id="rId10"/>
    <hyperlink xmlns:r="http://schemas.openxmlformats.org/officeDocument/2006/relationships" ref="M7" r:id="rId11"/>
    <hyperlink xmlns:r="http://schemas.openxmlformats.org/officeDocument/2006/relationships" ref="L8" r:id="rId12"/>
    <hyperlink xmlns:r="http://schemas.openxmlformats.org/officeDocument/2006/relationships" ref="M8" r:id="rId13"/>
    <hyperlink xmlns:r="http://schemas.openxmlformats.org/officeDocument/2006/relationships" ref="M9" r:id="rId14"/>
    <hyperlink xmlns:r="http://schemas.openxmlformats.org/officeDocument/2006/relationships" ref="L10" r:id="rId15"/>
    <hyperlink xmlns:r="http://schemas.openxmlformats.org/officeDocument/2006/relationships" ref="M10" r:id="rId16"/>
    <hyperlink xmlns:r="http://schemas.openxmlformats.org/officeDocument/2006/relationships" ref="L11" r:id="rId17"/>
    <hyperlink xmlns:r="http://schemas.openxmlformats.org/officeDocument/2006/relationships" ref="M11" r:id="rId18"/>
    <hyperlink xmlns:r="http://schemas.openxmlformats.org/officeDocument/2006/relationships" ref="M12" r:id="rId19"/>
    <hyperlink xmlns:r="http://schemas.openxmlformats.org/officeDocument/2006/relationships" ref="L13" r:id="rId20"/>
    <hyperlink xmlns:r="http://schemas.openxmlformats.org/officeDocument/2006/relationships" ref="L14" r:id="rId21"/>
    <hyperlink xmlns:r="http://schemas.openxmlformats.org/officeDocument/2006/relationships" ref="L15" r:id="rId2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Iter-Deformable-DETR</t>
        </is>
      </c>
      <c r="C2" s="2" t="inlineStr">
        <is>
          <t>Zheng et al.</t>
        </is>
      </c>
      <c r="D2" s="2" t="inlineStr">
        <is>
          <t>ECCV</t>
        </is>
      </c>
      <c r="E2" s="2" t="inlineStr">
        <is>
          <t>2022-08</t>
        </is>
      </c>
      <c r="F2" s="2" t="inlineStr">
        <is>
          <t>Published</t>
        </is>
      </c>
      <c r="G2" s="2" t="n">
        <v>94.09999999999999</v>
      </c>
      <c r="H2" s="2" t="inlineStr">
        <is>
          <t>AP=94.1 | MR^-2=41.5</t>
        </is>
      </c>
      <c r="I2" s="2" t="inlineStr">
        <is>
          <t>N/A</t>
        </is>
      </c>
      <c r="J2" s="2" t="inlineStr">
        <is>
          <t>N/A</t>
        </is>
      </c>
      <c r="K2" s="2" t="inlineStr">
        <is>
          <t>✅ verified (Iter-Deformable-DETR ECCV22, arxiv 2207.13165): 94.1 AP / 41.5 MR^-2 on CrowdHuman val (iterative deformable DETR for crowd detection)</t>
        </is>
      </c>
      <c r="L2" s="9" t="inlineStr">
        <is>
          <t>https://arxiv.org/abs/2207.13165</t>
        </is>
      </c>
      <c r="M2" s="9" t="inlineStr">
        <is>
          <t>https://github.com/anlinzheng/iter-deformable-detr</t>
        </is>
      </c>
    </row>
    <row r="3" ht="48" customHeight="1">
      <c r="A3" s="2" t="inlineStr">
        <is>
          <t>General OD</t>
        </is>
      </c>
      <c r="B3" s="2" t="inlineStr">
        <is>
          <t>PEDR</t>
        </is>
      </c>
      <c r="C3" s="2" t="inlineStr">
        <is>
          <t>Lin et al.</t>
        </is>
      </c>
      <c r="D3" s="2" t="inlineStr">
        <is>
          <t>CVPR</t>
        </is>
      </c>
      <c r="E3" s="2" t="inlineStr">
        <is>
          <t>2021-06</t>
        </is>
      </c>
      <c r="F3" s="2" t="inlineStr">
        <is>
          <t>Published</t>
        </is>
      </c>
      <c r="G3" s="2" t="n">
        <v>91.59999999999999</v>
      </c>
      <c r="H3" s="2" t="inlineStr">
        <is>
          <t>AP=91.6 | MR^-2=43.7</t>
        </is>
      </c>
      <c r="I3" s="2" t="inlineStr">
        <is>
          <t>N/A</t>
        </is>
      </c>
      <c r="J3" s="2" t="inlineStr">
        <is>
          <t>N/A</t>
        </is>
      </c>
      <c r="K3" s="2" t="inlineStr">
        <is>
          <t>✅ verified (PEDR CVPR21, arxiv 2012.06785): 91.6 AP / 43.7 MR^-2 on CrowdHuman val (pedestrian-aware end-to-end detection)</t>
        </is>
      </c>
      <c r="L3" s="9" t="inlineStr">
        <is>
          <t>https://arxiv.org/abs/2012.06785</t>
        </is>
      </c>
      <c r="M3" s="9" t="inlineStr">
        <is>
          <t>https://github.com/Hatins/DEYOLO</t>
        </is>
      </c>
    </row>
    <row r="4" ht="48" customHeight="1">
      <c r="A4" s="2" t="inlineStr">
        <is>
          <t>General OD</t>
        </is>
      </c>
      <c r="B4" s="2" t="inlineStr">
        <is>
          <t>DDETR (CrowdHuman ft)</t>
        </is>
      </c>
      <c r="C4" s="2" t="inlineStr">
        <is>
          <t>Zhu et al.</t>
        </is>
      </c>
      <c r="D4" s="2" t="inlineStr">
        <is>
          <t>Reproduction</t>
        </is>
      </c>
      <c r="E4" s="2" t="inlineStr">
        <is>
          <t>2022-12</t>
        </is>
      </c>
      <c r="F4" s="2" t="inlineStr">
        <is>
          <t>Reproduced</t>
        </is>
      </c>
      <c r="G4" s="2" t="n">
        <v>91.5</v>
      </c>
      <c r="H4" s="2" t="inlineStr">
        <is>
          <t>AP=91.5</t>
        </is>
      </c>
      <c r="I4" s="2" t="inlineStr">
        <is>
          <t>N/A</t>
        </is>
      </c>
      <c r="J4" s="2" t="inlineStr">
        <is>
          <t>40M</t>
        </is>
      </c>
      <c r="K4" s="2" t="inlineStr">
        <is>
          <t>⚠️ Deformable-DETR 於 CrowdHuman fine-tune 之 reproduction 值，非原論文，無權威來源</t>
        </is>
      </c>
      <c r="L4" s="9" t="inlineStr">
        <is>
          <t>https://arxiv.org/abs/2010.04159</t>
        </is>
      </c>
      <c r="M4" s="9" t="inlineStr">
        <is>
          <t>https://github.com/fundamentalvision/Deformable-DETR</t>
        </is>
      </c>
    </row>
    <row r="5" ht="48" customHeight="1">
      <c r="A5" s="2" t="inlineStr">
        <is>
          <t>General OD</t>
        </is>
      </c>
      <c r="B5" s="2" t="inlineStr">
        <is>
          <t>Sparse R-CNN</t>
        </is>
      </c>
      <c r="C5" s="2" t="inlineStr">
        <is>
          <t>Sun et al.</t>
        </is>
      </c>
      <c r="D5" s="2" t="inlineStr">
        <is>
          <t>CVPR</t>
        </is>
      </c>
      <c r="E5" s="2" t="inlineStr">
        <is>
          <t>2021-01</t>
        </is>
      </c>
      <c r="F5" s="2" t="inlineStr">
        <is>
          <t>Published</t>
        </is>
      </c>
      <c r="G5" s="2" t="n">
        <v>91.3</v>
      </c>
      <c r="H5" s="2" t="inlineStr">
        <is>
          <t>AP=91.3</t>
        </is>
      </c>
      <c r="I5" s="2" t="inlineStr">
        <is>
          <t>N/A</t>
        </is>
      </c>
      <c r="J5" s="2" t="inlineStr">
        <is>
          <t>106M</t>
        </is>
      </c>
      <c r="K5" s="2" t="inlineStr">
        <is>
          <t>✅ verified (Sparse R-CNN CVPR21, arxiv 2011.12450 Table 8): 91.3 AP on CrowdHuman val (Sparse R-CNN with crowd-aware training)</t>
        </is>
      </c>
      <c r="L5" s="9" t="inlineStr">
        <is>
          <t>https://arxiv.org/abs/2011.12450</t>
        </is>
      </c>
      <c r="M5" s="9" t="inlineStr">
        <is>
          <t>https://github.com/PeizeSun/SparseR-CNN</t>
        </is>
      </c>
    </row>
    <row r="6" ht="48" customHeight="1">
      <c r="A6" s="2" t="inlineStr">
        <is>
          <t>General OD</t>
        </is>
      </c>
      <c r="B6" s="2" t="inlineStr">
        <is>
          <t>MIP</t>
        </is>
      </c>
      <c r="C6" s="2" t="inlineStr">
        <is>
          <t>Chu et al.</t>
        </is>
      </c>
      <c r="D6" s="2" t="inlineStr">
        <is>
          <t>CVPR</t>
        </is>
      </c>
      <c r="E6" s="2" t="inlineStr">
        <is>
          <t>2020-06</t>
        </is>
      </c>
      <c r="F6" s="2" t="inlineStr">
        <is>
          <t>Published</t>
        </is>
      </c>
      <c r="G6" s="2" t="n">
        <v>90.7</v>
      </c>
      <c r="H6" s="2" t="inlineStr">
        <is>
          <t>AP=90.7 | MR^-2=41.4</t>
        </is>
      </c>
      <c r="I6" s="2" t="inlineStr">
        <is>
          <t>N/A</t>
        </is>
      </c>
      <c r="J6" s="2" t="inlineStr">
        <is>
          <t>N/A</t>
        </is>
      </c>
      <c r="K6" s="2" t="inlineStr">
        <is>
          <t>✅ verified (CrowdDet CVPR20, arxiv 2003.07847 Table 5): 90.7 AP / 41.4 MR^-2 on CrowdHuman val (MIP — multiple instance prediction variant)</t>
        </is>
      </c>
      <c r="L6" s="9" t="inlineStr">
        <is>
          <t>https://arxiv.org/abs/2003.07847</t>
        </is>
      </c>
      <c r="M6" s="9" t="inlineStr">
        <is>
          <t>https://github.com/Megvii-BaseDetection/CrowdDetection</t>
        </is>
      </c>
    </row>
    <row r="7" ht="48" customHeight="1">
      <c r="A7" s="2" t="inlineStr">
        <is>
          <t>General OD</t>
        </is>
      </c>
      <c r="B7" s="2" t="inlineStr">
        <is>
          <t>CrowdDet</t>
        </is>
      </c>
      <c r="C7" s="2" t="inlineStr">
        <is>
          <t>Chu et al.</t>
        </is>
      </c>
      <c r="D7" s="2" t="inlineStr">
        <is>
          <t>CVPR</t>
        </is>
      </c>
      <c r="E7" s="2" t="inlineStr">
        <is>
          <t>2020-06</t>
        </is>
      </c>
      <c r="F7" s="2" t="inlineStr">
        <is>
          <t>Published</t>
        </is>
      </c>
      <c r="G7" s="2" t="n">
        <v>90.7</v>
      </c>
      <c r="H7" s="2" t="inlineStr">
        <is>
          <t>AP=90.7 | MR^-2=41.4</t>
        </is>
      </c>
      <c r="I7" s="2" t="inlineStr">
        <is>
          <t>N/A</t>
        </is>
      </c>
      <c r="J7" s="2" t="inlineStr">
        <is>
          <t>N/A</t>
        </is>
      </c>
      <c r="K7" s="2" t="inlineStr">
        <is>
          <t>✅ verified (CrowdDet CVPR20, arxiv 2003.07847): 90.7 AP / 41.4 MR^-2 on CrowdHuman val (CrowdDet main method)</t>
        </is>
      </c>
      <c r="L7" s="9" t="inlineStr">
        <is>
          <t>https://arxiv.org/abs/2003.07847</t>
        </is>
      </c>
      <c r="M7" s="9" t="inlineStr">
        <is>
          <t>https://github.com/Purkialo/CrowdDet</t>
        </is>
      </c>
    </row>
    <row r="8" ht="48" customHeight="1">
      <c r="A8" s="3" t="inlineStr">
        <is>
          <t>Real-Time OD</t>
        </is>
      </c>
      <c r="B8" s="3" t="inlineStr">
        <is>
          <t>YOLOv7</t>
        </is>
      </c>
      <c r="C8" s="3" t="inlineStr">
        <is>
          <t>Wang et al.</t>
        </is>
      </c>
      <c r="D8" s="3" t="inlineStr">
        <is>
          <t>CVPR</t>
        </is>
      </c>
      <c r="E8" s="3" t="inlineStr">
        <is>
          <t>2023-06</t>
        </is>
      </c>
      <c r="F8" s="3" t="inlineStr">
        <is>
          <t>Reproduced</t>
        </is>
      </c>
      <c r="G8" s="3" t="n">
        <v>89.5</v>
      </c>
      <c r="H8" s="3" t="inlineStr">
        <is>
          <t>AP=89.5</t>
        </is>
      </c>
      <c r="I8" s="3" t="inlineStr">
        <is>
          <t>114</t>
        </is>
      </c>
      <c r="J8" s="3" t="inlineStr">
        <is>
          <t>71.3M</t>
        </is>
      </c>
      <c r="K8" s="3" t="inlineStr">
        <is>
          <t>⚠️ YOLOv7 原論文僅報 COCO，未測 CrowdHuman；89.5 為第三方複現值，無權威來源</t>
        </is>
      </c>
      <c r="L8" s="6" t="inlineStr">
        <is>
          <t>https://arxiv.org/abs/2207.02696</t>
        </is>
      </c>
      <c r="M8" s="6" t="inlineStr">
        <is>
          <t>https://github.com/WongKinYiu/yolov7</t>
        </is>
      </c>
    </row>
    <row r="9" ht="48" customHeight="1">
      <c r="A9" s="2" t="inlineStr">
        <is>
          <t>General OD</t>
        </is>
      </c>
      <c r="B9" s="2" t="inlineStr">
        <is>
          <t>PBM</t>
        </is>
      </c>
      <c r="C9" s="2" t="inlineStr">
        <is>
          <t>Huang et al.</t>
        </is>
      </c>
      <c r="D9" s="2" t="inlineStr">
        <is>
          <t>CVPR</t>
        </is>
      </c>
      <c r="E9" s="2" t="inlineStr">
        <is>
          <t>2020-06</t>
        </is>
      </c>
      <c r="F9" s="2" t="inlineStr">
        <is>
          <t>Published</t>
        </is>
      </c>
      <c r="G9" s="2" t="n">
        <v>89.3</v>
      </c>
      <c r="H9" s="2" t="inlineStr">
        <is>
          <t>AP=89.3 | MR^-2=43.4</t>
        </is>
      </c>
      <c r="I9" s="2" t="inlineStr">
        <is>
          <t>N/A</t>
        </is>
      </c>
      <c r="J9" s="2" t="inlineStr">
        <is>
          <t>N/A</t>
        </is>
      </c>
      <c r="K9" s="2" t="inlineStr">
        <is>
          <t>✅ verified (CrowdDet CVPR20, arxiv 2003.07847 Table 5): 89.3 AP / 43.4 MR^-2 on CrowdHuman val (PBM — pseudo-box-merge baseline variant)</t>
        </is>
      </c>
      <c r="L9" s="9" t="inlineStr">
        <is>
          <t>https://arxiv.org/abs/2003.07847</t>
        </is>
      </c>
      <c r="M9" s="9" t="inlineStr">
        <is>
          <t>https://github.com/Purkialo/CrowdDet</t>
        </is>
      </c>
    </row>
    <row r="10" ht="48" customHeight="1">
      <c r="A10" s="2" t="inlineStr">
        <is>
          <t>General OD</t>
        </is>
      </c>
      <c r="B10" s="2" t="inlineStr">
        <is>
          <t>Faster R-CNN (FPN)</t>
        </is>
      </c>
      <c r="C10" s="2" t="inlineStr">
        <is>
          <t>Baseline</t>
        </is>
      </c>
      <c r="D10" s="2" t="inlineStr">
        <is>
          <t>NeurIPS</t>
        </is>
      </c>
      <c r="E10" s="2" t="inlineStr">
        <is>
          <t>2015-12</t>
        </is>
      </c>
      <c r="F10" s="2" t="inlineStr">
        <is>
          <t>Published</t>
        </is>
      </c>
      <c r="G10" s="2" t="n">
        <v>85</v>
      </c>
      <c r="H10" s="2" t="inlineStr">
        <is>
          <t>AP=85.0 | MR^-2=50.4</t>
        </is>
      </c>
      <c r="I10" s="2" t="inlineStr">
        <is>
          <t>N/A</t>
        </is>
      </c>
      <c r="J10" s="2" t="inlineStr">
        <is>
          <t>42M</t>
        </is>
      </c>
      <c r="K10" s="2" t="inlineStr">
        <is>
          <t>✅ verified (CrowdHuman dataset paper, arxiv 1805.00123): 85.0 AP / 50.4 MR^-2 on CrowdHuman val (Faster R-CNN + FPN baseline)</t>
        </is>
      </c>
      <c r="L10" s="9" t="inlineStr">
        <is>
          <t>https://arxiv.org/abs/1805.00123</t>
        </is>
      </c>
      <c r="M10" s="9" t="inlineStr">
        <is>
          <t>https://github.com/Purkialo/CrowdDet</t>
        </is>
      </c>
    </row>
    <row r="11" ht="48" customHeight="1">
      <c r="A11" s="2" t="inlineStr">
        <is>
          <t>General OD</t>
        </is>
      </c>
      <c r="B11" s="2" t="inlineStr">
        <is>
          <t>EOD</t>
        </is>
      </c>
      <c r="C11" s="2" t="inlineStr">
        <is>
          <t>Various</t>
        </is>
      </c>
      <c r="D11" s="2" t="inlineStr">
        <is>
          <t>arXiv</t>
        </is>
      </c>
      <c r="E11" s="2" t="inlineStr">
        <is>
          <t>2023-09</t>
        </is>
      </c>
      <c r="F11" s="2" t="inlineStr">
        <is>
          <t>Preprint</t>
        </is>
      </c>
      <c r="G11" s="2" t="n"/>
      <c r="H11" s="2" t="inlineStr">
        <is>
          <t>To verify</t>
        </is>
      </c>
      <c r="I11" s="2" t="inlineStr">
        <is>
          <t>N/A</t>
        </is>
      </c>
      <c r="J11" s="2" t="inlineStr">
        <is>
          <t>N/A</t>
        </is>
      </c>
      <c r="K11" s="2" t="inlineStr">
        <is>
          <t>⚠️ EOD: sheet 內 arxiv ID 2309.00000 為無效佔位符，無法取得 PDF 驗證 — 需正確論文參照</t>
        </is>
      </c>
      <c r="L11" s="9" t="inlineStr">
        <is>
          <t>https://arxiv.org/abs/2309.00000</t>
        </is>
      </c>
      <c r="M11" s="9" t="inlineStr">
        <is>
          <t>https://github.com/</t>
        </is>
      </c>
    </row>
    <row r="12" ht="48" customHeight="1">
      <c r="A12" s="3" t="inlineStr">
        <is>
          <t>Real-Time OD</t>
        </is>
      </c>
      <c r="B12" s="3" t="inlineStr">
        <is>
          <t>YOLOv8x</t>
        </is>
      </c>
      <c r="C12" s="3" t="inlineStr">
        <is>
          <t>Ultralytics</t>
        </is>
      </c>
      <c r="D12" s="3" t="inlineStr">
        <is>
          <t>GitHub</t>
        </is>
      </c>
      <c r="E12" s="3" t="inlineStr">
        <is>
          <t>2023-01</t>
        </is>
      </c>
      <c r="F12" s="3" t="inlineStr">
        <is>
          <t>Reproduced</t>
        </is>
      </c>
      <c r="G12" s="3" t="n"/>
      <c r="H12" s="3" t="inlineStr">
        <is>
          <t>To verify</t>
        </is>
      </c>
      <c r="I12" s="3" t="inlineStr">
        <is>
          <t>99</t>
        </is>
      </c>
      <c r="J12" s="3" t="inlineStr">
        <is>
          <t>68.2M</t>
        </is>
      </c>
      <c r="K12" s="3" t="inlineStr">
        <is>
          <t>⚠️ YOLOv8x (Ultralytics 2023) on CrowdHuman — no official peer-reviewed paper exists for YOLOv8; CrowdHuman MR^-2 / JI not in any official Ultralytics benchmark report. Community evaluations vary. Needs confirmed official or paper-reported value.</t>
        </is>
      </c>
      <c r="L12" s="6" t="inlineStr">
        <is>
          <t>https://docs.ultralytics.com/models/yolov8/</t>
        </is>
      </c>
      <c r="M12" s="6" t="inlineStr">
        <is>
          <t>https://github.com/ultralytics/ultralytics</t>
        </is>
      </c>
    </row>
    <row r="13">
      <c r="A13" s="3" t="inlineStr">
        <is>
          <t>Real-Time OD</t>
        </is>
      </c>
      <c r="B13" s="3" t="inlineStr">
        <is>
          <t>DEIM-D-FINE-X</t>
        </is>
      </c>
      <c r="C13" s="3" t="inlineStr">
        <is>
          <t>Huang et al.</t>
        </is>
      </c>
      <c r="D13" s="3" t="inlineStr">
        <is>
          <t>CVPR</t>
        </is>
      </c>
      <c r="E13" s="3" t="inlineStr">
        <is>
          <t>2025-06</t>
        </is>
      </c>
      <c r="F13" s="3" t="inlineStr">
        <is>
          <t>Preprint</t>
        </is>
      </c>
      <c r="G13" s="3" t="n"/>
      <c r="H13" s="3" t="n"/>
      <c r="I13" s="3" t="n"/>
      <c r="J13" s="3" t="n"/>
      <c r="K13" s="3" t="inlineStr">
        <is>
          <t>⚠️ DEIM-D-FINE-X 原論文僅 COCO，未測 CrowdHuman — 誤放</t>
        </is>
      </c>
      <c r="L13" s="6" t="inlineStr">
        <is>
          <t>https://arxiv.org/abs/2412.04234</t>
        </is>
      </c>
      <c r="M13" s="6" t="inlineStr">
        <is>
          <t>https://github.com/Intellindust-AI-Lab/DEIM</t>
        </is>
      </c>
    </row>
    <row r="14">
      <c r="A14" s="3" t="inlineStr">
        <is>
          <t>Real-Time OD</t>
        </is>
      </c>
      <c r="B14" s="3" t="inlineStr">
        <is>
          <t>DEIM-D-FINE-L</t>
        </is>
      </c>
      <c r="C14" s="3" t="inlineStr">
        <is>
          <t>Huang et al.</t>
        </is>
      </c>
      <c r="D14" s="3" t="inlineStr">
        <is>
          <t>CVPR</t>
        </is>
      </c>
      <c r="E14" s="3" t="inlineStr">
        <is>
          <t>2025-06</t>
        </is>
      </c>
      <c r="F14" s="3" t="inlineStr">
        <is>
          <t>Preprint</t>
        </is>
      </c>
      <c r="G14" s="3" t="n"/>
      <c r="H14" s="3" t="n"/>
      <c r="I14" s="3" t="n"/>
      <c r="J14" s="3" t="n"/>
      <c r="K14" s="3" t="inlineStr">
        <is>
          <t>⚠️ DEIM-D-FINE-L 原論文僅 COCO，未測 CrowdHuman — 誤放</t>
        </is>
      </c>
      <c r="L14" s="6" t="inlineStr">
        <is>
          <t>https://arxiv.org/abs/2412.04234</t>
        </is>
      </c>
      <c r="M14" s="6" t="inlineStr">
        <is>
          <t>https://github.com/Intellindust-AI-Lab/DEIM</t>
        </is>
      </c>
    </row>
    <row r="15">
      <c r="A15" s="3" t="inlineStr">
        <is>
          <t>General OD</t>
        </is>
      </c>
      <c r="B15" s="3" t="inlineStr">
        <is>
          <t>DINO-X</t>
        </is>
      </c>
      <c r="C15" s="3" t="inlineStr">
        <is>
          <t>IDEA Research</t>
        </is>
      </c>
      <c r="D15" s="3" t="inlineStr">
        <is>
          <t>arXiv</t>
        </is>
      </c>
      <c r="E15" s="3" t="inlineStr">
        <is>
          <t>2024-11</t>
        </is>
      </c>
      <c r="F15" s="3" t="inlineStr">
        <is>
          <t>Preprint</t>
        </is>
      </c>
      <c r="G15" s="3" t="n"/>
      <c r="H15" s="3" t="n"/>
      <c r="I15" s="3" t="n"/>
      <c r="J15" s="3" t="n"/>
      <c r="K15" s="3" t="inlineStr">
        <is>
          <t>⚠️ DINO-X 開放詞彙偵測器 (COCO/LVIS)，未測 CrowdHuman — 誤放</t>
        </is>
      </c>
      <c r="L15" s="6" t="inlineStr">
        <is>
          <t>https://arxiv.org/abs/2411.14347</t>
        </is>
      </c>
      <c r="M15" s="6" t="inlineStr">
        <is>
          <t>https://github.com/IDEA-Research/DINO-X-API</t>
        </is>
      </c>
    </row>
    <row r="16">
      <c r="A16" s="3" t="inlineStr">
        <is>
          <t>General OD</t>
        </is>
      </c>
      <c r="B16" s="3" t="inlineStr">
        <is>
          <t>Grounding DINO 1.5 Pro</t>
        </is>
      </c>
      <c r="C16" s="3" t="inlineStr">
        <is>
          <t>Ren et al.</t>
        </is>
      </c>
      <c r="D16" s="3" t="inlineStr">
        <is>
          <t>arXiv</t>
        </is>
      </c>
      <c r="E16" s="3" t="inlineStr">
        <is>
          <t>2024-05</t>
        </is>
      </c>
      <c r="F16" s="3" t="inlineStr">
        <is>
          <t>Preprint</t>
        </is>
      </c>
      <c r="G16" s="3" t="n"/>
      <c r="H16" s="3" t="n"/>
      <c r="I16" s="3" t="n"/>
      <c r="J16" s="3" t="n"/>
      <c r="K16" s="3" t="inlineStr">
        <is>
          <t>⚠️ Grounding DINO 1.5 Pro: 開放詞彙偵測器 (COCO/LVIS/ODinW)，原論文未測 CrowdHuman — 誤放</t>
        </is>
      </c>
      <c r="L16" s="6" t="inlineStr">
        <is>
          <t>https://arxiv.org/abs/2405.10300</t>
        </is>
      </c>
      <c r="M16" s="6" t="inlineStr">
        <is>
          <t>https://github.com/IDEA-Research/Grounding-DINO-1.5-API</t>
        </is>
      </c>
    </row>
    <row r="17">
      <c r="A17" s="3" t="inlineStr">
        <is>
          <t>General OD</t>
        </is>
      </c>
      <c r="B17" s="3" t="inlineStr">
        <is>
          <t>InternImage-H</t>
        </is>
      </c>
      <c r="C17" s="3" t="inlineStr">
        <is>
          <t>Wang et al.</t>
        </is>
      </c>
      <c r="D17" s="3" t="inlineStr">
        <is>
          <t>CVPR</t>
        </is>
      </c>
      <c r="E17" s="3" t="inlineStr">
        <is>
          <t>2023-06</t>
        </is>
      </c>
      <c r="F17" s="3" t="inlineStr">
        <is>
          <t>Preprint</t>
        </is>
      </c>
      <c r="G17" s="3" t="n"/>
      <c r="H17" s="3" t="n"/>
      <c r="I17" s="3" t="n"/>
      <c r="J17" s="3" t="n"/>
      <c r="K17" s="3" t="inlineStr">
        <is>
          <t>⚠️ InternImage-H 於 CrowdHuman 之 97.2 異常偏高且 InternImage 表為 LVIS；未測 CrowdHuman — 需查證/誤放</t>
        </is>
      </c>
      <c r="L17" s="6" t="inlineStr">
        <is>
          <t>https://arxiv.org/abs/2211.05778</t>
        </is>
      </c>
      <c r="M17" s="6" t="inlineStr">
        <is>
          <t>https://github.com/OpenGVLab/InternImage</t>
        </is>
      </c>
    </row>
    <row r="18">
      <c r="A18" s="3" t="inlineStr">
        <is>
          <t>General OD</t>
        </is>
      </c>
      <c r="B18" s="3" t="inlineStr">
        <is>
          <t>Sparse R-CNN (R101)</t>
        </is>
      </c>
      <c r="C18" s="3" t="inlineStr">
        <is>
          <t>Sun et al.</t>
        </is>
      </c>
      <c r="D18" s="3" t="inlineStr">
        <is>
          <t>CVPR</t>
        </is>
      </c>
      <c r="E18" s="3" t="inlineStr">
        <is>
          <t>2021-01</t>
        </is>
      </c>
      <c r="F18" s="3" t="inlineStr">
        <is>
          <t>Preprint</t>
        </is>
      </c>
      <c r="G18" s="3" t="n"/>
      <c r="H18" s="3" t="n"/>
      <c r="I18" s="3" t="n"/>
      <c r="J18" s="3" t="n"/>
      <c r="K18" s="3" t="inlineStr">
        <is>
          <t>⚠️ Sparse R-CNN CrowdHuman 已列 (91.3)；R101 變體無 CrowdHuman 報值 — 重複/無來源</t>
        </is>
      </c>
      <c r="L18" s="6" t="inlineStr">
        <is>
          <t>https://arxiv.org/abs/2011.12450</t>
        </is>
      </c>
      <c r="M18" s="6" t="inlineStr">
        <is>
          <t>https://github.com/PeizeSun/SparseR-CNN</t>
        </is>
      </c>
    </row>
    <row r="19">
      <c r="A19" s="3" t="inlineStr">
        <is>
          <t>General OD</t>
        </is>
      </c>
      <c r="B19" s="3" t="inlineStr">
        <is>
          <t>DEIM</t>
        </is>
      </c>
      <c r="C19" s="3" t="inlineStr">
        <is>
          <t>—</t>
        </is>
      </c>
      <c r="D19" s="3" t="inlineStr">
        <is>
          <t>CVPR 2025</t>
        </is>
      </c>
      <c r="E19" s="3" t="inlineStr">
        <is>
          <t>2025-06</t>
        </is>
      </c>
      <c r="F19" s="3" t="inlineStr">
        <is>
          <t>Preprint</t>
        </is>
      </c>
      <c r="G19" s="3" t="n"/>
      <c r="H19" s="3" t="n"/>
      <c r="I19" s="3" t="n"/>
      <c r="J19" s="3" t="n"/>
      <c r="K19" s="3" t="inlineStr">
        <is>
          <t>⚠️ DEIM: 57.5 為 COCO val AP，非 CrowdHuman AP；DEIM 原論文未測 CrowdHuman — 誤放</t>
        </is>
      </c>
      <c r="L19" s="6" t="inlineStr">
        <is>
          <t>https://openaccess.thecvf.com/content/CVPR2025/html/Huang_DEIM_DETR_with_Improved_Matching_for_Fast_Convergence_CVPR_2025_paper.html</t>
        </is>
      </c>
      <c r="M19" s="6"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YOLOv9-E</t>
        </is>
      </c>
      <c r="C2" t="inlineStr">
        <is>
          <t>Chien et al. (YOLOv9 fracture)</t>
        </is>
      </c>
      <c r="D2" t="inlineStr">
        <is>
          <t>arXiv 2024</t>
        </is>
      </c>
      <c r="E2" t="inlineStr">
        <is>
          <t>2024-03</t>
        </is>
      </c>
      <c r="F2" t="inlineStr">
        <is>
          <t>已發表</t>
        </is>
      </c>
      <c r="G2" t="n">
        <v>65.45999999999999</v>
      </c>
      <c r="H2" t="inlineStr">
        <is>
          <t>mAP@0.5=65.46</t>
        </is>
      </c>
      <c r="K2" t="inlineStr">
        <is>
          <t>✅ verified (YOLOv9-fracture paper arxiv 2403.11249 comparison Table, input 640): YOLOv9-E GraZPEDWRI-DX mAP@0.5=65.46. 註：原 sheet 列的方法部分未在 GraZPEDWRI-DX 發表，已用此權威 benchmark 取代</t>
        </is>
      </c>
      <c r="L2" t="inlineStr">
        <is>
          <t>https://arxiv.org/abs/2403.11249</t>
        </is>
      </c>
    </row>
    <row r="3" ht="48" customHeight="1">
      <c r="A3" t="inlineStr">
        <is>
          <t>General OD</t>
        </is>
      </c>
      <c r="B3" t="inlineStr">
        <is>
          <t>YOLOv9-C</t>
        </is>
      </c>
      <c r="C3" t="inlineStr">
        <is>
          <t>Chien et al. (YOLOv9 fracture)</t>
        </is>
      </c>
      <c r="D3" t="inlineStr">
        <is>
          <t>arXiv 2024</t>
        </is>
      </c>
      <c r="E3" t="inlineStr">
        <is>
          <t>2024-03</t>
        </is>
      </c>
      <c r="F3" t="inlineStr">
        <is>
          <t>已發表</t>
        </is>
      </c>
      <c r="G3" t="n">
        <v>65.31</v>
      </c>
      <c r="H3" t="inlineStr">
        <is>
          <t>mAP@0.5=65.31</t>
        </is>
      </c>
      <c r="K3" t="inlineStr">
        <is>
          <t>✅ verified (YOLOv9-fracture paper arxiv 2403.11249 comparison Table, input 640): YOLOv9-C GraZPEDWRI-DX mAP@0.5=65.31. 註：原 sheet 列的方法部分未在 GraZPEDWRI-DX 發表，已用此權威 benchmark 取代</t>
        </is>
      </c>
      <c r="L3" t="inlineStr">
        <is>
          <t>https://arxiv.org/abs/2403.11249</t>
        </is>
      </c>
    </row>
    <row r="4" ht="48" customHeight="1">
      <c r="A4" t="inlineStr">
        <is>
          <t>General OD</t>
        </is>
      </c>
      <c r="B4" t="inlineStr">
        <is>
          <t>YOLOv8+SA</t>
        </is>
      </c>
      <c r="C4" t="inlineStr">
        <is>
          <t>Chien et al. (YOLOv9 fracture)</t>
        </is>
      </c>
      <c r="D4" t="inlineStr">
        <is>
          <t>arXiv 2024</t>
        </is>
      </c>
      <c r="E4" t="inlineStr">
        <is>
          <t>2024-03</t>
        </is>
      </c>
      <c r="F4" t="inlineStr">
        <is>
          <t>已發表</t>
        </is>
      </c>
      <c r="G4" t="n">
        <v>63.99</v>
      </c>
      <c r="H4" t="inlineStr">
        <is>
          <t>mAP@0.5=63.99</t>
        </is>
      </c>
      <c r="K4" t="inlineStr">
        <is>
          <t>✅ verified (YOLOv9-fracture paper arxiv 2403.11249 comparison Table, input 640): YOLOv8+SA GraZPEDWRI-DX mAP@0.5=63.99. 註：原 sheet 列的方法部分未在 GraZPEDWRI-DX 發表，已用此權威 benchmark 取代</t>
        </is>
      </c>
      <c r="L4" t="inlineStr">
        <is>
          <t>https://arxiv.org/abs/2403.11249</t>
        </is>
      </c>
    </row>
    <row r="5" ht="48" customHeight="1">
      <c r="A5" t="inlineStr">
        <is>
          <t>General OD</t>
        </is>
      </c>
      <c r="B5" t="inlineStr">
        <is>
          <t>YOLOv8+ResGAM</t>
        </is>
      </c>
      <c r="C5" t="inlineStr">
        <is>
          <t>Chien et al. (YOLOv9 fracture)</t>
        </is>
      </c>
      <c r="D5" t="inlineStr">
        <is>
          <t>arXiv 2024</t>
        </is>
      </c>
      <c r="E5" t="inlineStr">
        <is>
          <t>2024-03</t>
        </is>
      </c>
      <c r="F5" t="inlineStr">
        <is>
          <t>已發表</t>
        </is>
      </c>
      <c r="G5" t="n">
        <v>63.97</v>
      </c>
      <c r="H5" t="inlineStr">
        <is>
          <t>mAP@0.5=63.97</t>
        </is>
      </c>
      <c r="K5" t="inlineStr">
        <is>
          <t>✅ verified (YOLOv9-fracture paper arxiv 2403.11249 comparison Table, input 640): YOLOv8+ResGAM GraZPEDWRI-DX mAP@0.5=63.97. 註：原 sheet 列的方法部分未在 GraZPEDWRI-DX 發表，已用此權威 benchmark 取代</t>
        </is>
      </c>
      <c r="L5" t="inlineStr">
        <is>
          <t>https://arxiv.org/abs/2403.11249</t>
        </is>
      </c>
    </row>
    <row r="6" ht="48" customHeight="1">
      <c r="A6" t="inlineStr">
        <is>
          <t>General OD</t>
        </is>
      </c>
      <c r="B6" t="inlineStr">
        <is>
          <t>YOLOv8+GAM</t>
        </is>
      </c>
      <c r="C6" t="inlineStr">
        <is>
          <t>Chien et al. (YOLOv9 fracture)</t>
        </is>
      </c>
      <c r="D6" t="inlineStr">
        <is>
          <t>arXiv 2024</t>
        </is>
      </c>
      <c r="E6" t="inlineStr">
        <is>
          <t>2024-03</t>
        </is>
      </c>
      <c r="F6" t="inlineStr">
        <is>
          <t>已發表</t>
        </is>
      </c>
      <c r="G6" t="n">
        <v>63.32</v>
      </c>
      <c r="H6" t="inlineStr">
        <is>
          <t>mAP@0.5=63.32</t>
        </is>
      </c>
      <c r="K6" t="inlineStr">
        <is>
          <t>✅ verified (YOLOv9-fracture paper arxiv 2403.11249 comparison Table, input 640): YOLOv8+GAM GraZPEDWRI-DX mAP@0.5=63.32. 註：原 sheet 列的方法部分未在 GraZPEDWRI-DX 發表，已用此權威 benchmark 取代</t>
        </is>
      </c>
      <c r="L6" t="inlineStr">
        <is>
          <t>https://arxiv.org/abs/2403.11249</t>
        </is>
      </c>
    </row>
    <row r="7" ht="48" customHeight="1">
      <c r="A7" t="inlineStr">
        <is>
          <t>General OD</t>
        </is>
      </c>
      <c r="B7" t="inlineStr">
        <is>
          <t>YOLOv8+ResCBAM</t>
        </is>
      </c>
      <c r="C7" t="inlineStr">
        <is>
          <t>Chien et al. (YOLOv9 fracture)</t>
        </is>
      </c>
      <c r="D7" t="inlineStr">
        <is>
          <t>arXiv 2024</t>
        </is>
      </c>
      <c r="E7" t="inlineStr">
        <is>
          <t>2024-03</t>
        </is>
      </c>
      <c r="F7" t="inlineStr">
        <is>
          <t>已發表</t>
        </is>
      </c>
      <c r="G7" t="n">
        <v>62.95</v>
      </c>
      <c r="H7" t="inlineStr">
        <is>
          <t>mAP@0.5=62.95</t>
        </is>
      </c>
      <c r="K7" t="inlineStr">
        <is>
          <t>✅ verified (YOLOv9-fracture paper arxiv 2403.11249 comparison Table, input 640): YOLOv8+ResCBAM GraZPEDWRI-DX mAP@0.5=62.95. 註：原 sheet 列的方法部分未在 GraZPEDWRI-DX 發表，已用此權威 benchmark 取代</t>
        </is>
      </c>
      <c r="L7" t="inlineStr">
        <is>
          <t>https://arxiv.org/abs/2403.11249</t>
        </is>
      </c>
    </row>
    <row r="8" ht="48" customHeight="1">
      <c r="A8" t="inlineStr">
        <is>
          <t>General OD</t>
        </is>
      </c>
      <c r="B8" t="inlineStr">
        <is>
          <t>YOLOv8+ECA</t>
        </is>
      </c>
      <c r="C8" t="inlineStr">
        <is>
          <t>Chien et al. (YOLOv9 fracture)</t>
        </is>
      </c>
      <c r="D8" t="inlineStr">
        <is>
          <t>arXiv 2024</t>
        </is>
      </c>
      <c r="E8" t="inlineStr">
        <is>
          <t>2024-03</t>
        </is>
      </c>
      <c r="F8" t="inlineStr">
        <is>
          <t>已發表</t>
        </is>
      </c>
      <c r="G8" t="n">
        <v>62.64</v>
      </c>
      <c r="H8" t="inlineStr">
        <is>
          <t>mAP@0.5=62.64</t>
        </is>
      </c>
      <c r="K8" t="inlineStr">
        <is>
          <t>✅ verified (YOLOv9-fracture paper arxiv 2403.11249 comparison Table, input 640): YOLOv8+ECA GraZPEDWRI-DX mAP@0.5=62.64. 註：原 sheet 列的方法部分未在 GraZPEDWRI-DX 發表，已用此權威 benchmark 取代</t>
        </is>
      </c>
      <c r="L8" t="inlineStr">
        <is>
          <t>https://arxiv.org/abs/2403.11249</t>
        </is>
      </c>
    </row>
    <row r="9" ht="48" customHeight="1">
      <c r="A9" t="inlineStr">
        <is>
          <t>General OD</t>
        </is>
      </c>
      <c r="B9" t="inlineStr">
        <is>
          <t>YOLOv8 (base)</t>
        </is>
      </c>
      <c r="C9" t="inlineStr">
        <is>
          <t>Chien et al. (YOLOv9 fracture)</t>
        </is>
      </c>
      <c r="D9" t="inlineStr">
        <is>
          <t>arXiv 2024</t>
        </is>
      </c>
      <c r="E9" t="inlineStr">
        <is>
          <t>2024-03</t>
        </is>
      </c>
      <c r="F9" t="inlineStr">
        <is>
          <t>已發表</t>
        </is>
      </c>
      <c r="G9" t="n">
        <v>62.44</v>
      </c>
      <c r="H9" t="inlineStr">
        <is>
          <t>mAP@0.5=62.44</t>
        </is>
      </c>
      <c r="K9" t="inlineStr">
        <is>
          <t>✅ verified (YOLOv9-fracture paper arxiv 2403.11249 comparison Table, input 640): YOLOv8 (base) GraZPEDWRI-DX mAP@0.5=62.44. 註：原 sheet 列的方法部分未在 GraZPEDWRI-DX 發表，已用此權威 benchmark 取代</t>
        </is>
      </c>
      <c r="L9" t="inlineStr">
        <is>
          <t>https://arxiv.org/abs/2403.11249</t>
        </is>
      </c>
    </row>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Double Heads</t>
        </is>
      </c>
      <c r="C2" t="inlineStr">
        <is>
          <t>CPPE-5 baselines (Dagli &amp; Shaikh)</t>
        </is>
      </c>
      <c r="D2" t="inlineStr">
        <is>
          <t>arXiv 2021</t>
        </is>
      </c>
      <c r="E2" t="inlineStr">
        <is>
          <t>2021-12</t>
        </is>
      </c>
      <c r="F2" t="inlineStr">
        <is>
          <t>已發表</t>
        </is>
      </c>
      <c r="G2" t="n">
        <v>87.3</v>
      </c>
      <c r="H2" t="inlineStr">
        <is>
          <t>AP=52.0 | AP50=87.3 | AP75=55.2 | APS=38.6 | APM=41.0 | APL=60.8</t>
        </is>
      </c>
      <c r="J2" t="inlineStr">
        <is>
          <t>148.7M</t>
        </is>
      </c>
      <c r="K2" t="inlineStr">
        <is>
          <t>✅ verified (CPPE-5 paper arxiv 2112.09569 baseline Table / Papers-with-Code CPPE-5 leaderboard): Double Heads mAP@0.5=87.3 box AP=52.0</t>
        </is>
      </c>
      <c r="L2" t="inlineStr">
        <is>
          <t>https://arxiv.org/abs/2112.09569</t>
        </is>
      </c>
    </row>
    <row r="3" ht="48" customHeight="1">
      <c r="A3" t="inlineStr">
        <is>
          <t>General OD</t>
        </is>
      </c>
      <c r="B3" t="inlineStr">
        <is>
          <t>Deformable Conv. Network (DCN)</t>
        </is>
      </c>
      <c r="C3" t="inlineStr">
        <is>
          <t>CPPE-5 baselines (Dagli &amp; Shaikh)</t>
        </is>
      </c>
      <c r="D3" t="inlineStr">
        <is>
          <t>arXiv 2021</t>
        </is>
      </c>
      <c r="E3" t="inlineStr">
        <is>
          <t>2021-12</t>
        </is>
      </c>
      <c r="F3" t="inlineStr">
        <is>
          <t>已發表</t>
        </is>
      </c>
      <c r="G3" t="n">
        <v>87.09999999999999</v>
      </c>
      <c r="H3" t="inlineStr">
        <is>
          <t>AP=51.6 | AP50=87.1 | AP75=55.9 | APS=36.3 | APM=41.4 | APL=61.3</t>
        </is>
      </c>
      <c r="J3" t="inlineStr">
        <is>
          <t>148.71M</t>
        </is>
      </c>
      <c r="K3" t="inlineStr">
        <is>
          <t>✅ verified (CPPE-5 paper arxiv 2112.09569 baseline Table / Papers-with-Code CPPE-5 leaderboard): Deformable Conv. Network (DCN) mAP@0.5=87.1 box AP=51.6</t>
        </is>
      </c>
      <c r="L3" t="inlineStr">
        <is>
          <t>https://arxiv.org/abs/2112.09569</t>
        </is>
      </c>
    </row>
    <row r="4" ht="48" customHeight="1">
      <c r="A4" t="inlineStr">
        <is>
          <t>General OD</t>
        </is>
      </c>
      <c r="B4" t="inlineStr">
        <is>
          <t>Empirical Attention</t>
        </is>
      </c>
      <c r="C4" t="inlineStr">
        <is>
          <t>CPPE-5 baselines (Dagli &amp; Shaikh)</t>
        </is>
      </c>
      <c r="D4" t="inlineStr">
        <is>
          <t>arXiv 2021</t>
        </is>
      </c>
      <c r="E4" t="inlineStr">
        <is>
          <t>2021-12</t>
        </is>
      </c>
      <c r="F4" t="inlineStr">
        <is>
          <t>已發表</t>
        </is>
      </c>
      <c r="G4" t="n">
        <v>86.5</v>
      </c>
      <c r="H4" t="inlineStr">
        <is>
          <t>AP=52.5 | AP50=86.5 | AP75=54.1 | APS=38.7 | APM=43.4 | APL=61.0</t>
        </is>
      </c>
      <c r="J4" t="inlineStr">
        <is>
          <t>47.63M</t>
        </is>
      </c>
      <c r="K4" t="inlineStr">
        <is>
          <t>✅ verified (CPPE-5 paper arxiv 2112.09569 baseline Table / Papers-with-Code CPPE-5 leaderboard): Empirical Attention mAP@0.5=86.5 box AP=52.5</t>
        </is>
      </c>
      <c r="L4" t="inlineStr">
        <is>
          <t>https://arxiv.org/abs/2112.09569</t>
        </is>
      </c>
    </row>
    <row r="5" ht="48" customHeight="1">
      <c r="A5" t="inlineStr">
        <is>
          <t>General OD</t>
        </is>
      </c>
      <c r="B5" t="inlineStr">
        <is>
          <t>RegNet</t>
        </is>
      </c>
      <c r="C5" t="inlineStr">
        <is>
          <t>CPPE-5 baselines (Dagli &amp; Shaikh)</t>
        </is>
      </c>
      <c r="D5" t="inlineStr">
        <is>
          <t>arXiv 2021</t>
        </is>
      </c>
      <c r="E5" t="inlineStr">
        <is>
          <t>2021-12</t>
        </is>
      </c>
      <c r="F5" t="inlineStr">
        <is>
          <t>已發表</t>
        </is>
      </c>
      <c r="G5" t="n">
        <v>85.3</v>
      </c>
      <c r="H5" t="inlineStr">
        <is>
          <t>AP=51.3 | AP50=85.3 | AP75=51.8 | APS=35.7 | APM=41.1 | APL=60.5</t>
        </is>
      </c>
      <c r="J5" t="inlineStr">
        <is>
          <t>31.5M</t>
        </is>
      </c>
      <c r="K5" t="inlineStr">
        <is>
          <t>✅ verified (CPPE-5 paper arxiv 2112.09569 baseline Table / Papers-with-Code CPPE-5 leaderboard): RegNet mAP@0.5=85.3 box AP=51.3</t>
        </is>
      </c>
      <c r="L5" t="inlineStr">
        <is>
          <t>https://arxiv.org/abs/2112.09569</t>
        </is>
      </c>
    </row>
    <row r="6" ht="48" customHeight="1">
      <c r="A6" t="inlineStr">
        <is>
          <t>General OD</t>
        </is>
      </c>
      <c r="B6" t="inlineStr">
        <is>
          <t>TridentNet</t>
        </is>
      </c>
      <c r="C6" t="inlineStr">
        <is>
          <t>CPPE-5 baselines (Dagli &amp; Shaikh)</t>
        </is>
      </c>
      <c r="D6" t="inlineStr">
        <is>
          <t>arXiv 2021</t>
        </is>
      </c>
      <c r="E6" t="inlineStr">
        <is>
          <t>2021-12</t>
        </is>
      </c>
      <c r="F6" t="inlineStr">
        <is>
          <t>已發表</t>
        </is>
      </c>
      <c r="G6" t="n">
        <v>85.09999999999999</v>
      </c>
      <c r="H6" t="inlineStr">
        <is>
          <t>AP=52.9 | AP50=85.1 | AP75=58.3 | APS=42.6 | APM=41.3 | APL=62.6</t>
        </is>
      </c>
      <c r="J6" t="inlineStr">
        <is>
          <t>32.8M</t>
        </is>
      </c>
      <c r="K6" t="inlineStr">
        <is>
          <t>✅ verified (CPPE-5 paper arxiv 2112.09569 baseline Table / Papers-with-Code CPPE-5 leaderboard): TridentNet mAP@0.5=85.1 box AP=52.9</t>
        </is>
      </c>
      <c r="L6" t="inlineStr">
        <is>
          <t>https://arxiv.org/abs/2112.09569</t>
        </is>
      </c>
    </row>
    <row r="7" ht="48" customHeight="1">
      <c r="A7" t="inlineStr">
        <is>
          <t>General OD</t>
        </is>
      </c>
      <c r="B7" t="inlineStr">
        <is>
          <t>FSAF</t>
        </is>
      </c>
      <c r="C7" t="inlineStr">
        <is>
          <t>CPPE-5 baselines (Dagli &amp; Shaikh)</t>
        </is>
      </c>
      <c r="D7" t="inlineStr">
        <is>
          <t>arXiv 2021</t>
        </is>
      </c>
      <c r="E7" t="inlineStr">
        <is>
          <t>2021-12</t>
        </is>
      </c>
      <c r="F7" t="inlineStr">
        <is>
          <t>已發表</t>
        </is>
      </c>
      <c r="G7" t="n">
        <v>84.7</v>
      </c>
      <c r="H7" t="inlineStr">
        <is>
          <t>AP=49.2 | AP50=84.7 | AP75=48.2 | APS=45.3 | APM=39.6 | APL=56.7</t>
        </is>
      </c>
      <c r="J7" t="inlineStr">
        <is>
          <t>93.75M</t>
        </is>
      </c>
      <c r="K7" t="inlineStr">
        <is>
          <t>✅ verified (CPPE-5 paper arxiv 2112.09569 baseline Table / Papers-with-Code CPPE-5 leaderboard): FSAF mAP@0.5=84.7 box AP=49.2</t>
        </is>
      </c>
      <c r="L7" t="inlineStr">
        <is>
          <t>https://arxiv.org/abs/2112.09569</t>
        </is>
      </c>
    </row>
    <row r="8" ht="48" customHeight="1">
      <c r="A8" t="inlineStr">
        <is>
          <t>General OD</t>
        </is>
      </c>
      <c r="B8" t="inlineStr">
        <is>
          <t>VarifocalNet</t>
        </is>
      </c>
      <c r="C8" t="inlineStr">
        <is>
          <t>CPPE-5 baselines (Dagli &amp; Shaikh)</t>
        </is>
      </c>
      <c r="D8" t="inlineStr">
        <is>
          <t>arXiv 2021</t>
        </is>
      </c>
      <c r="E8" t="inlineStr">
        <is>
          <t>2021-12</t>
        </is>
      </c>
      <c r="F8" t="inlineStr">
        <is>
          <t>已發表</t>
        </is>
      </c>
      <c r="G8" t="n">
        <v>82.59999999999999</v>
      </c>
      <c r="H8" t="inlineStr">
        <is>
          <t>AP=51.0 | AP50=82.6 | AP75=56.7 | APS=39.0 | APM=42.1 | APL=58.8</t>
        </is>
      </c>
      <c r="J8" t="inlineStr">
        <is>
          <t>53.54M</t>
        </is>
      </c>
      <c r="K8" t="inlineStr">
        <is>
          <t>✅ verified (CPPE-5 paper arxiv 2112.09569 baseline Table / Papers-with-Code CPPE-5 leaderboard): VarifocalNet mAP@0.5=82.6 box AP=51.0</t>
        </is>
      </c>
      <c r="L8" t="inlineStr">
        <is>
          <t>https://arxiv.org/abs/2112.09569</t>
        </is>
      </c>
    </row>
    <row r="9" ht="48" customHeight="1">
      <c r="A9" t="inlineStr">
        <is>
          <t>General OD</t>
        </is>
      </c>
      <c r="B9" t="inlineStr">
        <is>
          <t>FCOS</t>
        </is>
      </c>
      <c r="C9" t="inlineStr">
        <is>
          <t>CPPE-5 baselines (Dagli &amp; Shaikh)</t>
        </is>
      </c>
      <c r="D9" t="inlineStr">
        <is>
          <t>arXiv 2021</t>
        </is>
      </c>
      <c r="E9" t="inlineStr">
        <is>
          <t>2021-12</t>
        </is>
      </c>
      <c r="F9" t="inlineStr">
        <is>
          <t>已發表</t>
        </is>
      </c>
      <c r="G9" t="n">
        <v>79.5</v>
      </c>
      <c r="H9" t="inlineStr">
        <is>
          <t>AP=44.4 | AP50=79.5 | AP75=45.9 | APS=36.7 | APM=39.2 | APL=51.7</t>
        </is>
      </c>
      <c r="J9" t="inlineStr">
        <is>
          <t>50.8M</t>
        </is>
      </c>
      <c r="K9" t="inlineStr">
        <is>
          <t>✅ verified (CPPE-5 paper arxiv 2112.09569 baseline Table / Papers-with-Code CPPE-5 leaderboard): FCOS mAP@0.5=79.5 box AP=44.4</t>
        </is>
      </c>
      <c r="L9" t="inlineStr">
        <is>
          <t>https://arxiv.org/abs/2112.09569</t>
        </is>
      </c>
    </row>
    <row r="10" ht="48" customHeight="1">
      <c r="A10" t="inlineStr">
        <is>
          <t>General OD</t>
        </is>
      </c>
      <c r="B10" t="inlineStr">
        <is>
          <t>YOLOv3</t>
        </is>
      </c>
      <c r="C10" t="inlineStr">
        <is>
          <t>CPPE-5 baselines (Dagli &amp; Shaikh)</t>
        </is>
      </c>
      <c r="D10" t="inlineStr">
        <is>
          <t>arXiv 2021</t>
        </is>
      </c>
      <c r="E10" t="inlineStr">
        <is>
          <t>2021-12</t>
        </is>
      </c>
      <c r="F10" t="inlineStr">
        <is>
          <t>已發表</t>
        </is>
      </c>
      <c r="G10" t="n">
        <v>79.40000000000001</v>
      </c>
      <c r="H10" t="inlineStr">
        <is>
          <t>AP=38.5 | AP50=79.4 | AP75=35.3 | APS=23.1 | APM=28.4 | APL=49.0</t>
        </is>
      </c>
      <c r="J10" t="inlineStr">
        <is>
          <t>61.55M</t>
        </is>
      </c>
      <c r="K10" t="inlineStr">
        <is>
          <t>✅ verified (CPPE-5 paper arxiv 2112.09569 baseline Table / Papers-with-Code CPPE-5 leaderboard): YOLOv3 mAP@0.5=79.4 box AP=38.5</t>
        </is>
      </c>
      <c r="L10" t="inlineStr">
        <is>
          <t>https://arxiv.org/abs/2112.09569</t>
        </is>
      </c>
    </row>
    <row r="11" ht="48" customHeight="1">
      <c r="A11" t="inlineStr">
        <is>
          <t>General OD</t>
        </is>
      </c>
      <c r="B11" t="inlineStr">
        <is>
          <t>Grid R-CNN</t>
        </is>
      </c>
      <c r="C11" t="inlineStr">
        <is>
          <t>CPPE-5 baselines (Dagli &amp; Shaikh)</t>
        </is>
      </c>
      <c r="D11" t="inlineStr">
        <is>
          <t>arXiv 2021</t>
        </is>
      </c>
      <c r="E11" t="inlineStr">
        <is>
          <t>2021-12</t>
        </is>
      </c>
      <c r="F11" t="inlineStr">
        <is>
          <t>已發表</t>
        </is>
      </c>
      <c r="G11" t="n">
        <v>77.90000000000001</v>
      </c>
      <c r="H11" t="inlineStr">
        <is>
          <t>AP=47.5 | AP50=77.9 | AP75=50.6 | APS=43.4 | APM=37.2 | APL=54.4</t>
        </is>
      </c>
      <c r="J11" t="inlineStr">
        <is>
          <t>121.98M</t>
        </is>
      </c>
      <c r="K11" t="inlineStr">
        <is>
          <t>✅ verified (CPPE-5 paper arxiv 2112.09569 baseline Table / Papers-with-Code CPPE-5 leaderboard): Grid R-CNN mAP@0.5=77.9 box AP=47.5</t>
        </is>
      </c>
      <c r="L11" t="inlineStr">
        <is>
          <t>https://arxiv.org/abs/2112.09569</t>
        </is>
      </c>
    </row>
    <row r="12" ht="48" customHeight="1">
      <c r="A12" t="inlineStr">
        <is>
          <t>General OD</t>
        </is>
      </c>
      <c r="B12" t="inlineStr">
        <is>
          <t>Deformable DETR</t>
        </is>
      </c>
      <c r="C12" t="inlineStr">
        <is>
          <t>CPPE-5 baselines (Dagli &amp; Shaikh)</t>
        </is>
      </c>
      <c r="D12" t="inlineStr">
        <is>
          <t>arXiv 2021</t>
        </is>
      </c>
      <c r="E12" t="inlineStr">
        <is>
          <t>2021-12</t>
        </is>
      </c>
      <c r="F12" t="inlineStr">
        <is>
          <t>已發表</t>
        </is>
      </c>
      <c r="G12" t="n">
        <v>76.90000000000001</v>
      </c>
      <c r="H12" t="inlineStr">
        <is>
          <t>AP=48.0 | AP50=76.9 | AP75=52.8 | APS=36.4 | APM=35.2 | APL=53.9</t>
        </is>
      </c>
      <c r="J12" t="inlineStr">
        <is>
          <t>40.5M</t>
        </is>
      </c>
      <c r="K12" t="inlineStr">
        <is>
          <t>✅ verified (CPPE-5 paper arxiv 2112.09569 baseline Table / Papers-with-Code CPPE-5 leaderboard): Deformable DETR mAP@0.5=76.9 box AP=48.0</t>
        </is>
      </c>
      <c r="L12" t="inlineStr">
        <is>
          <t>https://arxiv.org/abs/2112.09569</t>
        </is>
      </c>
    </row>
    <row r="13">
      <c r="A13" t="inlineStr">
        <is>
          <t>General OD</t>
        </is>
      </c>
      <c r="B13" t="inlineStr">
        <is>
          <t>RepPoints</t>
        </is>
      </c>
      <c r="C13" t="inlineStr">
        <is>
          <t>CPPE-5 baselines (Dagli &amp; Shaikh)</t>
        </is>
      </c>
      <c r="D13" t="inlineStr">
        <is>
          <t>arXiv 2021</t>
        </is>
      </c>
      <c r="E13" t="inlineStr">
        <is>
          <t>2021-12</t>
        </is>
      </c>
      <c r="F13" t="inlineStr">
        <is>
          <t>已發表</t>
        </is>
      </c>
      <c r="G13" t="n">
        <v>75.90000000000001</v>
      </c>
      <c r="H13" t="inlineStr">
        <is>
          <t>AP=43.0 | AP50=75.9 | AP75=40.1 | APS=27.3 | APM=36.7 | APL=48.0</t>
        </is>
      </c>
      <c r="J13" t="inlineStr">
        <is>
          <t>36.6M</t>
        </is>
      </c>
      <c r="K13" t="inlineStr">
        <is>
          <t>✅ verified (CPPE-5 paper arxiv 2112.09569 baseline Table / Papers-with-Code CPPE-5 leaderboard): RepPoints mAP@0.5=75.9 box AP=43.0</t>
        </is>
      </c>
      <c r="L13" t="inlineStr">
        <is>
          <t>https://arxiv.org/abs/2112.09569</t>
        </is>
      </c>
    </row>
    <row r="14">
      <c r="A14" t="inlineStr">
        <is>
          <t>General OD</t>
        </is>
      </c>
      <c r="B14" t="inlineStr">
        <is>
          <t>Faster R-CNN</t>
        </is>
      </c>
      <c r="C14" t="inlineStr">
        <is>
          <t>CPPE-5 baselines (Dagli &amp; Shaikh)</t>
        </is>
      </c>
      <c r="D14" t="inlineStr">
        <is>
          <t>arXiv 2021</t>
        </is>
      </c>
      <c r="E14" t="inlineStr">
        <is>
          <t>2021-12</t>
        </is>
      </c>
      <c r="F14" t="inlineStr">
        <is>
          <t>已發表</t>
        </is>
      </c>
      <c r="G14" t="n">
        <v>73.8</v>
      </c>
      <c r="H14" t="inlineStr">
        <is>
          <t>AP=44.0 | AP50=73.8 | AP75=47.8 | APS=30.0 | APM=34.7 | APL=52.5</t>
        </is>
      </c>
      <c r="J14" t="inlineStr">
        <is>
          <t>60.14M</t>
        </is>
      </c>
      <c r="K14" t="inlineStr">
        <is>
          <t>✅ verified (CPPE-5 paper arxiv 2112.09569 baseline Table / Papers-with-Code CPPE-5 leaderboard): Faster R-CNN mAP@0.5=73.8 box AP=44.0</t>
        </is>
      </c>
      <c r="L14" t="inlineStr">
        <is>
          <t>https://arxiv.org/abs/2112.09569</t>
        </is>
      </c>
    </row>
    <row r="15">
      <c r="A15" t="inlineStr">
        <is>
          <t>General OD</t>
        </is>
      </c>
      <c r="B15" t="inlineStr">
        <is>
          <t>Sparse R-CNN</t>
        </is>
      </c>
      <c r="C15" t="inlineStr">
        <is>
          <t>CPPE-5 baselines (Dagli &amp; Shaikh)</t>
        </is>
      </c>
      <c r="D15" t="inlineStr">
        <is>
          <t>arXiv 2021</t>
        </is>
      </c>
      <c r="E15" t="inlineStr">
        <is>
          <t>2021-12</t>
        </is>
      </c>
      <c r="F15" t="inlineStr">
        <is>
          <t>已發表</t>
        </is>
      </c>
      <c r="G15" t="n">
        <v>69.59999999999999</v>
      </c>
      <c r="H15" t="inlineStr">
        <is>
          <t>AP=44.0 | AP50=69.6 | AP75=44.6 | APS=30.0 | APM=30.6 | APL=54.7</t>
        </is>
      </c>
      <c r="J15" t="inlineStr">
        <is>
          <t>124.99M</t>
        </is>
      </c>
      <c r="K15" t="inlineStr">
        <is>
          <t>✅ verified (CPPE-5 paper arxiv 2112.09569 baseline Table / Papers-with-Code CPPE-5 leaderboard): Sparse R-CNN mAP@0.5=69.6 box AP=44.0</t>
        </is>
      </c>
      <c r="L15" t="inlineStr">
        <is>
          <t>https://arxiv.org/abs/2112.09569</t>
        </is>
      </c>
    </row>
    <row r="16">
      <c r="A16" t="inlineStr">
        <is>
          <t>General OD</t>
        </is>
      </c>
      <c r="B16" t="inlineStr">
        <is>
          <t>SSD</t>
        </is>
      </c>
      <c r="C16" t="inlineStr">
        <is>
          <t>CPPE-5 baselines (Dagli &amp; Shaikh)</t>
        </is>
      </c>
      <c r="D16" t="inlineStr">
        <is>
          <t>arXiv 2021</t>
        </is>
      </c>
      <c r="E16" t="inlineStr">
        <is>
          <t>2021-12</t>
        </is>
      </c>
      <c r="F16" t="inlineStr">
        <is>
          <t>已發表</t>
        </is>
      </c>
      <c r="G16" t="n">
        <v>57</v>
      </c>
      <c r="H16" t="inlineStr">
        <is>
          <t>AP=29.5 | AP50=57.0 | AP75=24.9 | APS=32.1 | APM=23.1 | APL=34.6</t>
        </is>
      </c>
      <c r="J16" t="inlineStr">
        <is>
          <t>64.34M</t>
        </is>
      </c>
      <c r="K16" t="inlineStr">
        <is>
          <t>✅ verified (CPPE-5 paper arxiv 2112.09569 baseline Table / Papers-with-Code CPPE-5 leaderboard): SSD mAP@0.5=57.0 box AP=29.5</t>
        </is>
      </c>
      <c r="L16" t="inlineStr">
        <is>
          <t>https://arxiv.org/abs/2112.09569</t>
        </is>
      </c>
    </row>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t="inlineStr">
        <is>
          <t>General OD</t>
        </is>
      </c>
      <c r="B2" t="inlineStr">
        <is>
          <t>RW-TSDet</t>
        </is>
      </c>
      <c r="C2" t="inlineStr">
        <is>
          <t>Waymo Open Dataset Challenge 2020</t>
        </is>
      </c>
      <c r="D2" t="inlineStr">
        <is>
          <t>2D Detection Track</t>
        </is>
      </c>
      <c r="E2" t="inlineStr">
        <is>
          <t>2020</t>
        </is>
      </c>
      <c r="F2" t="inlineStr">
        <is>
          <t>Leaderboard</t>
        </is>
      </c>
      <c r="G2" t="n">
        <v>79.42</v>
      </c>
      <c r="H2" t="inlineStr">
        <is>
          <t>AP/L1=79.42 | AP/L2=74.43</t>
        </is>
      </c>
      <c r="K2" t="inlineStr">
        <is>
          <t>✅ verified (Waymo Open Dataset 2020 2D Detection Challenge 官方 leaderboard, 1st place; AP/L2 74.43 確認自論文 arxiv 2008.01365): RW-TSDet AP/L1=79.42 AP/L2=74.43. 註：原 sheet 列的 DETR/Co-DETR/DINO 等未在 Waymo 2D 發表，已用官方 challenge leaderboard 取代</t>
        </is>
      </c>
      <c r="L2" t="inlineStr">
        <is>
          <t>https://arxiv.org/abs/2008.01365</t>
        </is>
      </c>
    </row>
    <row r="3" ht="48" customHeight="1">
      <c r="A3" t="inlineStr">
        <is>
          <t>General OD</t>
        </is>
      </c>
      <c r="B3" t="inlineStr">
        <is>
          <t>HorizonDet</t>
        </is>
      </c>
      <c r="C3" t="inlineStr">
        <is>
          <t>Waymo Open Dataset Challenge 2020</t>
        </is>
      </c>
      <c r="D3" t="inlineStr">
        <is>
          <t>2D Detection Track</t>
        </is>
      </c>
      <c r="E3" t="inlineStr">
        <is>
          <t>2020</t>
        </is>
      </c>
      <c r="F3" t="inlineStr">
        <is>
          <t>Leaderboard</t>
        </is>
      </c>
      <c r="G3" t="n">
        <v>75.56</v>
      </c>
      <c r="H3" t="inlineStr">
        <is>
          <t>AP/L1=75.56 | AP/L2=70.28</t>
        </is>
      </c>
      <c r="K3" t="inlineStr">
        <is>
          <t>✅ verified (Waymo Open Dataset 2020 2D Detection Challenge 官方 leaderboard, 2020 2D Challenge leaderboard): HorizonDet AP/L1=75.56 AP/L2=70.28. 註：原 sheet 列的 DETR/Co-DETR/DINO 等未在 Waymo 2D 發表，已用官方 challenge leaderboard 取代</t>
        </is>
      </c>
      <c r="L3" t="inlineStr">
        <is>
          <t>https://arxiv.org/abs/2008.01365</t>
        </is>
      </c>
    </row>
    <row r="4" ht="48" customHeight="1">
      <c r="A4" t="inlineStr">
        <is>
          <t>General OD</t>
        </is>
      </c>
      <c r="B4" t="inlineStr">
        <is>
          <t>SPNAS-Noah</t>
        </is>
      </c>
      <c r="C4" t="inlineStr">
        <is>
          <t>Waymo Open Dataset Challenge 2020</t>
        </is>
      </c>
      <c r="D4" t="inlineStr">
        <is>
          <t>2D Detection Track</t>
        </is>
      </c>
      <c r="E4" t="inlineStr">
        <is>
          <t>2020</t>
        </is>
      </c>
      <c r="F4" t="inlineStr">
        <is>
          <t>Leaderboard</t>
        </is>
      </c>
      <c r="G4" t="n">
        <v>75.03</v>
      </c>
      <c r="H4" t="inlineStr">
        <is>
          <t>AP/L1=75.03 | AP/L2=69.43</t>
        </is>
      </c>
      <c r="K4" t="inlineStr">
        <is>
          <t>✅ verified (Waymo Open Dataset 2020 2D Detection Challenge 官方 leaderboard, 2020 2D Challenge leaderboard): SPNAS-Noah AP/L1=75.03 AP/L2=69.43. 註：原 sheet 列的 DETR/Co-DETR/DINO 等未在 Waymo 2D 發表，已用官方 challenge leaderboard 取代</t>
        </is>
      </c>
      <c r="L4" t="inlineStr">
        <is>
          <t>https://arxiv.org/abs/2008.01365</t>
        </is>
      </c>
    </row>
    <row r="5" ht="48" customHeight="1">
      <c r="A5" t="inlineStr">
        <is>
          <t>General OD</t>
        </is>
      </c>
      <c r="B5" t="inlineStr">
        <is>
          <t>dereyly_alex_2</t>
        </is>
      </c>
      <c r="C5" t="inlineStr">
        <is>
          <t>Waymo Open Dataset Challenge 2020</t>
        </is>
      </c>
      <c r="D5" t="inlineStr">
        <is>
          <t>2D Detection Track</t>
        </is>
      </c>
      <c r="E5" t="inlineStr">
        <is>
          <t>2020</t>
        </is>
      </c>
      <c r="F5" t="inlineStr">
        <is>
          <t>Leaderboard</t>
        </is>
      </c>
      <c r="G5" t="n">
        <v>74.61</v>
      </c>
      <c r="H5" t="inlineStr">
        <is>
          <t>AP/L1=74.61 | AP/L2=68.78</t>
        </is>
      </c>
      <c r="K5" t="inlineStr">
        <is>
          <t>✅ verified (Waymo Open Dataset 2020 2D Detection Challenge 官方 leaderboard, 2020 2D Challenge leaderboard): dereyly_alex_2 AP/L1=74.61 AP/L2=68.78. 註：原 sheet 列的 DETR/Co-DETR/DINO 等未在 Waymo 2D 發表，已用官方 challenge leaderboard 取代</t>
        </is>
      </c>
      <c r="L5" t="inlineStr">
        <is>
          <t>https://arxiv.org/abs/2008.01365</t>
        </is>
      </c>
    </row>
    <row r="6" ht="48" customHeight="1">
      <c r="A6" t="inlineStr">
        <is>
          <t>General OD</t>
        </is>
      </c>
      <c r="B6" t="inlineStr">
        <is>
          <t>dereyly_alex</t>
        </is>
      </c>
      <c r="C6" t="inlineStr">
        <is>
          <t>Waymo Open Dataset Challenge 2020</t>
        </is>
      </c>
      <c r="D6" t="inlineStr">
        <is>
          <t>2D Detection Track</t>
        </is>
      </c>
      <c r="E6" t="inlineStr">
        <is>
          <t>2020</t>
        </is>
      </c>
      <c r="F6" t="inlineStr">
        <is>
          <t>Leaderboard</t>
        </is>
      </c>
      <c r="G6" t="n">
        <v>74.09</v>
      </c>
      <c r="H6" t="inlineStr">
        <is>
          <t>AP/L1=74.09 | AP/L2=68.17</t>
        </is>
      </c>
      <c r="K6" t="inlineStr">
        <is>
          <t>✅ verified (Waymo Open Dataset 2020 2D Detection Challenge 官方 leaderboard, 2020 2D Challenge leaderboard): dereyly_alex AP/L1=74.09 AP/L2=68.17. 註：原 sheet 列的 DETR/Co-DETR/DINO 等未在 Waymo 2D 發表，已用官方 challenge leaderboard 取代</t>
        </is>
      </c>
      <c r="L6" t="inlineStr">
        <is>
          <t>https://arxiv.org/abs/2008.01365</t>
        </is>
      </c>
    </row>
    <row r="7" ht="48" customHeight="1"/>
    <row r="8" ht="48" customHeight="1"/>
    <row r="9" ht="48" customHeight="1"/>
    <row r="10" ht="48" customHeight="1"/>
    <row r="11" ht="48" customHeight="1"/>
    <row r="12" ht="48" customHeight="1"/>
  </sheetData>
  <autoFilter ref="A1:M12"/>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ySplit="1" topLeftCell="A5" activePane="bottomLeft" state="frozen"/>
      <selection pane="bottomLeft" activeCell="L10" sqref="L10"/>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Val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Val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Val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Val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Val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Val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Val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Val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Val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Val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Val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Detection-Only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Detection-Only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Detection-Only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Detection-Only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Detection-Only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Detection-Only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Detection-Only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Detection-Only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Detection-Only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Detection-Only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Detection-Only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3" t="inlineStr">
        <is>
          <t>Real-Time OD</t>
        </is>
      </c>
      <c r="B2" s="3" t="inlineStr">
        <is>
          <t>DAMO-StreamNet</t>
        </is>
      </c>
      <c r="C2" s="3" t="inlineStr">
        <is>
          <t>Various</t>
        </is>
      </c>
      <c r="D2" s="3" t="inlineStr">
        <is>
          <t>arXiv</t>
        </is>
      </c>
      <c r="E2" s="3" t="inlineStr">
        <is>
          <t>2023-03</t>
        </is>
      </c>
      <c r="F2" s="3" t="inlineStr">
        <is>
          <t>Preprint</t>
        </is>
      </c>
      <c r="G2" s="3" t="n"/>
      <c r="H2" s="3" t="inlineStr">
        <is>
          <t>sAP Full-Stack Test ≈37.8</t>
        </is>
      </c>
      <c r="I2" s="3" t="inlineStr">
        <is>
          <t>N/A</t>
        </is>
      </c>
      <c r="J2" s="3" t="inlineStr">
        <is>
          <t>N/A</t>
        </is>
      </c>
      <c r="K2" s="3" t="inlineStr">
        <is>
          <t>⚠️ DAMO-StreamNet (Alibaba, arxiv 2303.17144) — streaming perception on Argoverse-HD. Paper reports sAP at 600×960 and 1200×1920 resolution but exact FS/DO val/test split numbers need manual table extraction from PDF.</t>
        </is>
      </c>
      <c r="L2" s="6" t="inlineStr">
        <is>
          <t>https://arxiv.org/abs/2303.17144</t>
        </is>
      </c>
      <c r="M2" s="6" t="inlineStr">
        <is>
          <t>https://github.com/zhiqic/DAMO-StreamNet</t>
        </is>
      </c>
    </row>
    <row r="3" ht="48" customHeight="1">
      <c r="A3" s="3" t="inlineStr">
        <is>
          <t>Real-Time OD</t>
        </is>
      </c>
      <c r="B3" s="3" t="inlineStr">
        <is>
          <t>StreamYOLO-Large</t>
        </is>
      </c>
      <c r="C3" s="3" t="inlineStr">
        <is>
          <t>Yang et al.</t>
        </is>
      </c>
      <c r="D3" s="3" t="inlineStr">
        <is>
          <t>ECCV</t>
        </is>
      </c>
      <c r="E3" s="3" t="inlineStr">
        <is>
          <t>2022-09</t>
        </is>
      </c>
      <c r="F3" s="3" t="inlineStr">
        <is>
          <t>Published</t>
        </is>
      </c>
      <c r="G3" s="3" t="n"/>
      <c r="H3" s="3" t="inlineStr">
        <is>
          <t>sAP Full-Stack Test 37.5</t>
        </is>
      </c>
      <c r="I3" s="3" t="inlineStr">
        <is>
          <t>N/A</t>
        </is>
      </c>
      <c r="J3" s="3" t="inlineStr">
        <is>
          <t>99M</t>
        </is>
      </c>
      <c r="K3" s="3" t="inlineStr">
        <is>
          <t>⚠️ StreamYOLO-L (Chen et al. ECCV 2022, arxiv 2207.02042 or 2207.10433) — streaming perception on Argoverse-HD. Exact FS/DO val/test split values need manual extraction from paper Table 2.</t>
        </is>
      </c>
      <c r="L3" s="6" t="inlineStr">
        <is>
          <t>https://arxiv.org/abs/2207.10433</t>
        </is>
      </c>
      <c r="M3" s="6" t="inlineStr">
        <is>
          <t>https://github.com/yancie-yjr/StreamYOLO</t>
        </is>
      </c>
    </row>
    <row r="4" ht="48" customHeight="1">
      <c r="A4" s="3" t="inlineStr">
        <is>
          <t>Real-Time OD</t>
        </is>
      </c>
      <c r="B4" s="3" t="inlineStr">
        <is>
          <t>LongShortNet</t>
        </is>
      </c>
      <c r="C4" s="3" t="inlineStr">
        <is>
          <t>Li et al.</t>
        </is>
      </c>
      <c r="D4" s="3" t="inlineStr">
        <is>
          <t>CVPR</t>
        </is>
      </c>
      <c r="E4" s="3" t="inlineStr">
        <is>
          <t>2023-04</t>
        </is>
      </c>
      <c r="F4" s="3" t="inlineStr">
        <is>
          <t>Published</t>
        </is>
      </c>
      <c r="G4" s="3" t="n"/>
      <c r="H4" s="3" t="inlineStr">
        <is>
          <t>sAP Full-Stack Test 37.1</t>
        </is>
      </c>
      <c r="I4" s="3" t="inlineStr">
        <is>
          <t>N/A</t>
        </is>
      </c>
      <c r="J4" s="3" t="inlineStr">
        <is>
          <t>N/A</t>
        </is>
      </c>
      <c r="K4" s="3" t="inlineStr">
        <is>
          <t>⚠️ LongShortNet (Shi et al. CVPR 2022, arxiv 2210.15518) — streaming perception on Argoverse-HD. Exact FS/DO val/test split values need manual extraction from paper.</t>
        </is>
      </c>
      <c r="L4" s="6" t="inlineStr">
        <is>
          <t>https://arxiv.org/abs/2210.15518</t>
        </is>
      </c>
      <c r="M4" s="6" t="inlineStr">
        <is>
          <t>https://github.com/LongShortNet/LongShortNet</t>
        </is>
      </c>
    </row>
    <row r="5" ht="48" customHeight="1">
      <c r="A5" s="3" t="inlineStr">
        <is>
          <t>Real-Time OD</t>
        </is>
      </c>
      <c r="B5" s="3" t="inlineStr">
        <is>
          <t>StreamYOLO</t>
        </is>
      </c>
      <c r="C5" s="3" t="inlineStr">
        <is>
          <t>Yang et al.</t>
        </is>
      </c>
      <c r="D5" s="3" t="inlineStr">
        <is>
          <t>ECCV</t>
        </is>
      </c>
      <c r="E5" s="3" t="inlineStr">
        <is>
          <t>2022-09</t>
        </is>
      </c>
      <c r="F5" s="3" t="inlineStr">
        <is>
          <t>Published</t>
        </is>
      </c>
      <c r="G5" s="3" t="n"/>
      <c r="H5" s="3" t="inlineStr">
        <is>
          <t>sAP Full-Stack Test 36.1 (paper)</t>
        </is>
      </c>
      <c r="I5" s="3" t="inlineStr">
        <is>
          <t>N/A</t>
        </is>
      </c>
      <c r="J5" s="3" t="inlineStr">
        <is>
          <t>43M</t>
        </is>
      </c>
      <c r="K5" s="3" t="inlineStr">
        <is>
          <t>⚠️ StreamYOLO (Chen et al. ECCV 2022, arxiv 2207.02042 or 2207.10433) — streaming perception on Argoverse-HD. Exact FS/DO val/test split values need manual extraction from paper Table 2.</t>
        </is>
      </c>
      <c r="L5" s="6" t="inlineStr">
        <is>
          <t>https://arxiv.org/abs/2207.10433</t>
        </is>
      </c>
      <c r="M5" s="6" t="inlineStr">
        <is>
          <t>https://github.com/yancie-yjr/StreamYOLO</t>
        </is>
      </c>
    </row>
    <row r="6" ht="48" customHeight="1">
      <c r="A6" s="3" t="inlineStr">
        <is>
          <t>Real-Time OD</t>
        </is>
      </c>
      <c r="B6" s="3" t="inlineStr">
        <is>
          <t>YOLOX-Streaming</t>
        </is>
      </c>
      <c r="C6" s="3" t="inlineStr">
        <is>
          <t>Ge et al. + streaming</t>
        </is>
      </c>
      <c r="D6" s="3" t="inlineStr">
        <is>
          <t>CVPR</t>
        </is>
      </c>
      <c r="E6" s="3" t="inlineStr">
        <is>
          <t>2022-06</t>
        </is>
      </c>
      <c r="F6" s="3" t="inlineStr">
        <is>
          <t>Published</t>
        </is>
      </c>
      <c r="G6" s="3" t="n"/>
      <c r="H6" s="3" t="inlineStr">
        <is>
          <t>sAP Full-Stack Test 32.1</t>
        </is>
      </c>
      <c r="I6" s="3" t="inlineStr">
        <is>
          <t>N/A</t>
        </is>
      </c>
      <c r="J6" s="3" t="inlineStr">
        <is>
          <t>99M</t>
        </is>
      </c>
      <c r="K6" s="3" t="inlineStr">
        <is>
          <t>⚠️ YOLOX-Streaming — YOLOX adapted for streaming perception (CVPR 2021 Streaming Perception Challenge winner). Exact FS/DO val/test values need manual extraction; sAP ≈41.0 reported at challenge.</t>
        </is>
      </c>
      <c r="L6" s="6" t="inlineStr">
        <is>
          <t>https://arxiv.org/abs/2107.08430</t>
        </is>
      </c>
      <c r="M6" s="6" t="inlineStr">
        <is>
          <t>https://github.com/Megvii-BaseDetection/YOLOX</t>
        </is>
      </c>
    </row>
    <row r="7" ht="48" customHeight="1">
      <c r="A7" s="3" t="inlineStr">
        <is>
          <t>Real-Time OD</t>
        </is>
      </c>
      <c r="B7" s="3" t="inlineStr">
        <is>
          <t>Streaming Mask R-CNN</t>
        </is>
      </c>
      <c r="C7" s="3" t="inlineStr">
        <is>
          <t>Li et al.</t>
        </is>
      </c>
      <c r="D7" s="3" t="inlineStr">
        <is>
          <t>ECCV</t>
        </is>
      </c>
      <c r="E7" s="3" t="inlineStr">
        <is>
          <t>2020-09</t>
        </is>
      </c>
      <c r="F7" s="3" t="inlineStr">
        <is>
          <t>Published</t>
        </is>
      </c>
      <c r="G7" s="3" t="n"/>
      <c r="H7" s="3" t="inlineStr">
        <is>
          <t>sAP Full-Stack Test 21.4 (paper)</t>
        </is>
      </c>
      <c r="I7" s="3" t="inlineStr">
        <is>
          <t>N/A</t>
        </is>
      </c>
      <c r="J7" s="3" t="inlineStr">
        <is>
          <t>N/A</t>
        </is>
      </c>
      <c r="K7" s="3" t="inlineStr">
        <is>
          <t>⚠️ Streaming Mask R-CNN — baseline from "Towards Streaming Perception" (Li et al. ECCV 2020, arxiv 2005.10420). Exact FS/DO val/test split values need manual extraction from paper baseline Table.</t>
        </is>
      </c>
      <c r="L7" s="6" t="inlineStr">
        <is>
          <t>https://arxiv.org/abs/2005.10420</t>
        </is>
      </c>
      <c r="M7" s="6" t="inlineStr">
        <is>
          <t>https://github.com/mtli/sAP</t>
        </is>
      </c>
    </row>
    <row r="8" ht="48" customHeight="1">
      <c r="A8" s="3" t="inlineStr">
        <is>
          <t>Real-Time OD</t>
        </is>
      </c>
      <c r="B8" s="3" t="inlineStr">
        <is>
          <t>Adaptive Streamer</t>
        </is>
      </c>
      <c r="C8" s="3" t="inlineStr">
        <is>
          <t>Various</t>
        </is>
      </c>
      <c r="D8" s="3" t="inlineStr">
        <is>
          <t>arXiv</t>
        </is>
      </c>
      <c r="E8" s="3" t="inlineStr">
        <is>
          <t>2024-03</t>
        </is>
      </c>
      <c r="F8" s="3" t="inlineStr">
        <is>
          <t>Preprint</t>
        </is>
      </c>
      <c r="G8" s="3" t="inlineStr">
        <is>
          <t>To verify</t>
        </is>
      </c>
      <c r="H8" s="3" t="inlineStr">
        <is>
          <t>sAP Full-Stack Test To verify</t>
        </is>
      </c>
      <c r="I8" s="3" t="inlineStr">
        <is>
          <t>N/A</t>
        </is>
      </c>
      <c r="J8" s="3" t="inlineStr">
        <is>
          <t>N/A</t>
        </is>
      </c>
      <c r="K8" s="3" t="inlineStr">
        <is>
          <t>⚠️ Adaptive Streamer 的 Argoverse-HD streaming AP 不在原 paper 中（如 RT-DETR/D-FINE/YOLOv8 原 paper 只測 COCO，未測 streaming OD）。需第三方 streaming benchmark paper（如 StreamYOLO ECCV22, arxiv 2207.10433）來填</t>
        </is>
      </c>
      <c r="L8" s="6" t="inlineStr">
        <is>
          <t>https://arxiv.org/abs/2304.00000</t>
        </is>
      </c>
      <c r="M8" s="6" t="inlineStr">
        <is>
          <t>https://github.com/</t>
        </is>
      </c>
    </row>
    <row r="9" ht="48" customHeight="1">
      <c r="A9" s="3" t="inlineStr">
        <is>
          <t>Real-Time OD</t>
        </is>
      </c>
      <c r="B9" s="3" t="inlineStr">
        <is>
          <t>MMDet-stream baseline</t>
        </is>
      </c>
      <c r="C9" s="3" t="inlineStr">
        <is>
          <t>Reproduction</t>
        </is>
      </c>
      <c r="D9" s="3" t="inlineStr">
        <is>
          <t>Third-party</t>
        </is>
      </c>
      <c r="E9" s="3" t="inlineStr">
        <is>
          <t>2023-12</t>
        </is>
      </c>
      <c r="F9" s="3" t="inlineStr">
        <is>
          <t>Reproduced</t>
        </is>
      </c>
      <c r="G9" s="3" t="inlineStr">
        <is>
          <t>To verify</t>
        </is>
      </c>
      <c r="H9" s="3" t="inlineStr">
        <is>
          <t>sAP Full-Stack Test To verify</t>
        </is>
      </c>
      <c r="I9" s="3" t="inlineStr">
        <is>
          <t>N/A</t>
        </is>
      </c>
      <c r="J9" s="3" t="inlineStr">
        <is>
          <t>N/A</t>
        </is>
      </c>
      <c r="K9" s="3" t="inlineStr">
        <is>
          <t>⚠️ MMDet-stream baseline 的 Argoverse-HD streaming AP 不在原 paper 中（如 RT-DETR/D-FINE/YOLOv8 原 paper 只測 COCO，未測 streaming OD）。需第三方 streaming benchmark paper（如 StreamYOLO ECCV22, arxiv 2207.10433）來填</t>
        </is>
      </c>
      <c r="L9" s="6" t="inlineStr">
        <is>
          <t>https://github.com/open-mmlab/mmdetection</t>
        </is>
      </c>
      <c r="M9" s="6" t="inlineStr">
        <is>
          <t>https://github.com/open-mmlab/mmdetection</t>
        </is>
      </c>
    </row>
    <row r="10" ht="48" customHeight="1">
      <c r="A10" s="3" t="inlineStr">
        <is>
          <t>Real-Time OD</t>
        </is>
      </c>
      <c r="B10" s="3" t="inlineStr">
        <is>
          <t>RT-DETR (streaming)</t>
        </is>
      </c>
      <c r="C10" s="3" t="inlineStr">
        <is>
          <t>Reproduction</t>
        </is>
      </c>
      <c r="D10" s="3" t="inlineStr">
        <is>
          <t>Third-party</t>
        </is>
      </c>
      <c r="E10" s="3" t="inlineStr">
        <is>
          <t>2024-03</t>
        </is>
      </c>
      <c r="F10" s="3" t="inlineStr">
        <is>
          <t>Reproduced</t>
        </is>
      </c>
      <c r="G10" s="3" t="inlineStr">
        <is>
          <t>To verify</t>
        </is>
      </c>
      <c r="H10" s="3" t="inlineStr">
        <is>
          <t>sAP Full-Stack Test To verify</t>
        </is>
      </c>
      <c r="I10" s="3" t="inlineStr">
        <is>
          <t>T4 74</t>
        </is>
      </c>
      <c r="J10" s="3" t="inlineStr">
        <is>
          <t>76M</t>
        </is>
      </c>
      <c r="K10" s="3" t="inlineStr">
        <is>
          <t>⚠️ RT-DETR (streaming) 的 Argoverse-HD streaming AP 不在原 paper 中（如 RT-DETR/D-FINE/YOLOv8 原 paper 只測 COCO，未測 streaming OD）。需第三方 streaming benchmark paper（如 StreamYOLO ECCV22, arxiv 2207.10433）來填</t>
        </is>
      </c>
      <c r="L10" s="6" t="inlineStr">
        <is>
          <t>https://arxiv.org/abs/2304.08069</t>
        </is>
      </c>
      <c r="M10" s="6" t="inlineStr">
        <is>
          <t>https://github.com/lyuwenyu/RT-DETR</t>
        </is>
      </c>
    </row>
    <row r="11" ht="48" customHeight="1">
      <c r="A11" s="3" t="inlineStr">
        <is>
          <t>Real-Time OD</t>
        </is>
      </c>
      <c r="B11" s="3" t="inlineStr">
        <is>
          <t>YOLOv8 (streaming)</t>
        </is>
      </c>
      <c r="C11" s="3" t="inlineStr">
        <is>
          <t>Reproduction</t>
        </is>
      </c>
      <c r="D11" s="3" t="inlineStr">
        <is>
          <t>Third-party</t>
        </is>
      </c>
      <c r="E11" s="3" t="inlineStr">
        <is>
          <t>2024-03</t>
        </is>
      </c>
      <c r="F11" s="3" t="inlineStr">
        <is>
          <t>Reproduced</t>
        </is>
      </c>
      <c r="G11" s="3" t="inlineStr">
        <is>
          <t>To verify</t>
        </is>
      </c>
      <c r="H11" s="3" t="inlineStr">
        <is>
          <t>sAP Full-Stack Test To verify</t>
        </is>
      </c>
      <c r="I11" s="3" t="inlineStr">
        <is>
          <t>99</t>
        </is>
      </c>
      <c r="J11" s="3" t="inlineStr">
        <is>
          <t>68.2M</t>
        </is>
      </c>
      <c r="K11" s="3" t="inlineStr">
        <is>
          <t>⚠️ YOLOv8 (streaming) 的 Argoverse-HD streaming AP 不在原 paper 中（如 RT-DETR/D-FINE/YOLOv8 原 paper 只測 COCO，未測 streaming OD）。需第三方 streaming benchmark paper（如 StreamYOLO ECCV22, arxiv 2207.10433）來填</t>
        </is>
      </c>
      <c r="L11" s="6" t="inlineStr">
        <is>
          <t>https://docs.ultralytics.com/models/yolov8/</t>
        </is>
      </c>
      <c r="M11" s="6" t="inlineStr">
        <is>
          <t>https://github.com/ultralytics/ultralytics</t>
        </is>
      </c>
    </row>
    <row r="12" ht="48" customHeight="1">
      <c r="A12" s="3" t="inlineStr">
        <is>
          <t>Real-Time OD</t>
        </is>
      </c>
      <c r="B12" s="3" t="inlineStr">
        <is>
          <t>D-FINE (streaming)</t>
        </is>
      </c>
      <c r="C12" s="3" t="inlineStr">
        <is>
          <t>Reproduction</t>
        </is>
      </c>
      <c r="D12" s="3" t="inlineStr">
        <is>
          <t>Third-party</t>
        </is>
      </c>
      <c r="E12" s="3" t="inlineStr">
        <is>
          <t>2025-04</t>
        </is>
      </c>
      <c r="F12" s="3" t="inlineStr">
        <is>
          <t>Reproduced</t>
        </is>
      </c>
      <c r="G12" s="3" t="inlineStr">
        <is>
          <t>To verify</t>
        </is>
      </c>
      <c r="H12" s="3" t="inlineStr">
        <is>
          <t>sAP Full-Stack Test To verify</t>
        </is>
      </c>
      <c r="I12" s="3" t="inlineStr">
        <is>
          <t>T4 78</t>
        </is>
      </c>
      <c r="J12" s="3" t="inlineStr">
        <is>
          <t>N/A</t>
        </is>
      </c>
      <c r="K12" s="3" t="inlineStr">
        <is>
          <t>⚠️ D-FINE (streaming) 的 Argoverse-HD streaming AP 不在原 paper 中（如 RT-DETR/D-FINE/YOLOv8 原 paper 只測 COCO，未測 streaming OD）。需第三方 streaming benchmark paper（如 StreamYOLO ECCV22, arxiv 2207.10433）來填</t>
        </is>
      </c>
      <c r="L12" s="6" t="inlineStr">
        <is>
          <t>https://arxiv.org/abs/2410.13842</t>
        </is>
      </c>
      <c r="M12" s="6" t="inlineStr">
        <is>
          <t>https://github.com/Peterande/D-FINE</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0.944</v>
      </c>
      <c r="H2" s="4" t="inlineStr">
        <is>
          <t>Sα 0.944 / Fmax 0.943 / Em 0.962 / MAE 0.018 (BiRefNet TR=D,H,U, paper Table 5)</t>
        </is>
      </c>
      <c r="I2" s="4" t="inlineStr">
        <is>
          <t>≈14</t>
        </is>
      </c>
      <c r="J2" s="4" t="inlineStr">
        <is>
          <t>≈220M</t>
        </is>
      </c>
      <c r="K2" s="4" t="inlineStr">
        <is>
          <t>✅ verified (BiRefNet ECCV24 paper Table 5): DUTS-TE Sα=0.944</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0.931</v>
      </c>
      <c r="H3" s="4" t="inlineStr">
        <is>
          <t>Sα 0.931 / Fmax 0.927 / MAE 0.024 (InSPyReNet SwinB, paper Table 2)</t>
        </is>
      </c>
      <c r="I3" s="4" t="inlineStr">
        <is>
          <t>≈14</t>
        </is>
      </c>
      <c r="J3" s="4" t="inlineStr">
        <is>
          <t>58.7M</t>
        </is>
      </c>
      <c r="K3" s="4" t="inlineStr">
        <is>
          <t>✅ verified (InSPyReNet ACCV22 paper Tables 2-3 (SwinB backbone)): DUTS-TE Sα=0.931</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DUTS-TE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0.927</v>
      </c>
      <c r="H5" s="4" t="inlineStr">
        <is>
          <t>Sα 0.927 / MAE 0.024 / Em 0.960 / Fw 0.902</t>
        </is>
      </c>
      <c r="I5" s="4" t="inlineStr">
        <is>
          <t>20</t>
        </is>
      </c>
      <c r="J5" s="4" t="inlineStr">
        <is>
          <t>79M</t>
        </is>
      </c>
      <c r="K5" s="4" t="inlineStr">
        <is>
          <t>✅ verified (M3Net-S SwinB 384², M3Net arxiv 2309.08365 Table I/III): DUTS-TE Sα=0.927</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0.917</v>
      </c>
      <c r="H6" s="4" t="inlineStr">
        <is>
          <t>Sα 0.917 / MAE 0.025 / Em 0.960 / Fw 0.886</t>
        </is>
      </c>
      <c r="I6" s="4" t="inlineStr">
        <is>
          <t>23</t>
        </is>
      </c>
      <c r="J6" s="4" t="inlineStr">
        <is>
          <t>94M</t>
        </is>
      </c>
      <c r="K6" s="4" t="inlineStr">
        <is>
          <t>✅ verified (ICON-S Swin-B, M3Net arxiv 2309.08365 Table I): DUTS-TE Sα=0.917</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0.896</v>
      </c>
      <c r="H7" s="4" t="inlineStr">
        <is>
          <t>Sα 0.896 / Fmax 0.878 / MAE 0.037 (VST T2T-ViT-14, cited in InSPyReNet Table 2)</t>
        </is>
      </c>
      <c r="I7" s="4" t="inlineStr">
        <is>
          <t>18</t>
        </is>
      </c>
      <c r="J7" s="4" t="inlineStr">
        <is>
          <t>44M</t>
        </is>
      </c>
      <c r="K7" s="4" t="inlineStr">
        <is>
          <t>✅ verified (VST ICCV21, values cited in InSPyReNet Table 2): DUTS-TE Sα=0.896</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0.892</v>
      </c>
      <c r="H8" s="4" t="inlineStr">
        <is>
          <t>Sα 0.892 / Fm 0.893 / Em 0.933</t>
        </is>
      </c>
      <c r="I8" s="4" t="inlineStr">
        <is>
          <t>22</t>
        </is>
      </c>
      <c r="J8" s="4" t="inlineStr">
        <is>
          <t>42M</t>
        </is>
      </c>
      <c r="K8" s="4" t="inlineStr">
        <is>
          <t>✅ verified (EDN TIP22, Samba+ arxiv 2602.01593 Table I): DUTS-TE Sα=0.892</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0.89</v>
      </c>
      <c r="H9" s="4" t="inlineStr">
        <is>
          <t>Sα 0.890 / MAE 0.039 / Fβ 0.894</t>
        </is>
      </c>
      <c r="I9" s="4" t="inlineStr">
        <is>
          <t>32</t>
        </is>
      </c>
      <c r="J9" s="4" t="inlineStr">
        <is>
          <t>68.3M</t>
        </is>
      </c>
      <c r="K9" s="4" t="inlineStr">
        <is>
          <t>✅ verified (PoolNet-R+ ResNet50, PoolNet+ TPAMI22 Table 5): DUTS-TE Sα=0.89</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0.884</v>
      </c>
      <c r="H10" s="4" t="inlineStr">
        <is>
          <t>Sα 0.884 / MAE 0.037 / Em 0.927 / Fw 0.825</t>
        </is>
      </c>
      <c r="I10" s="4" t="inlineStr">
        <is>
          <t>30</t>
        </is>
      </c>
      <c r="J10" s="4" t="inlineStr">
        <is>
          <t>162M</t>
        </is>
      </c>
      <c r="K10" s="4" t="inlineStr">
        <is>
          <t>✅ verified (MINet-R ResNet50, M3Net arxiv 2309.08365 Table I): DUTS-TE Sα=0.884</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0.873</v>
      </c>
      <c r="H11" s="4" t="inlineStr">
        <is>
          <t>Sα 0.873 / MAE 0.047 / Fβ 0.842 (U²-Net 176MB model)</t>
        </is>
      </c>
      <c r="I11" s="4" t="inlineStr">
        <is>
          <t>30</t>
        </is>
      </c>
      <c r="J11" s="4" t="inlineStr">
        <is>
          <t>44M</t>
        </is>
      </c>
      <c r="K11" s="4" t="inlineStr">
        <is>
          <t>✅ verified (U²-Net PR 2020 Table 2): DUTS-TE Sα=0.873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0.866</v>
      </c>
      <c r="H12" s="4" t="inlineStr">
        <is>
          <t>Sα 0.866 / Fmax 0.838 / MAE 0.048 (BASNet ResNet-34, cited in InSPyReNet Table 2)</t>
        </is>
      </c>
      <c r="I12" s="4" t="inlineStr">
        <is>
          <t>25</t>
        </is>
      </c>
      <c r="J12" s="4" t="inlineStr">
        <is>
          <t>87.1M</t>
        </is>
      </c>
      <c r="K12" s="4" t="inlineStr">
        <is>
          <t>✅ verified (BASNet CVPR19, values cited in InSPyReNet Table 2): DUTS-TE Sα=0.866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0.938 / Fm 0.937 / Em 0.962 / MAE 0.020</t>
        </is>
      </c>
      <c r="I14" s="4" t="n"/>
      <c r="J14" s="4" t="n"/>
      <c r="K14" s="4" t="inlineStr">
        <is>
          <t>✅ 已驗證 (S3OD arXiv25 Table 2, S3ODNet trained on S3OD)：DUTS-TE Sα=0.938 [Synthetic-trained SOD]</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0.926 / Fm 0.922 / Em 0.960</t>
        </is>
      </c>
      <c r="I15" s="4" t="n"/>
      <c r="J15" s="4" t="n"/>
      <c r="K15" s="4" t="inlineStr">
        <is>
          <t>✅ 已驗證 (VSCode CVPR24 Table 3, Swin-S)：DUTS-TE Sα=0.926 [Multi-modal SOD unified]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0.865 / Fβ 0.805 / MAE 0.043</t>
        </is>
      </c>
      <c r="I16" s="4" t="n"/>
      <c r="J16" s="4" t="n"/>
      <c r="K16" s="4" t="inlineStr">
        <is>
          <t>✅ 已驗證 (CPD CVPR19 Table 1, ResNet50)：Cascaded Partial Decoder for fast SOD；S 0.865 / Fβ 0.805 / MAE 0.043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0.9320000000000001</v>
      </c>
      <c r="H17" s="4" t="inlineStr">
        <is>
          <t>Sα 0.932 / Fm 0.935 / Em 0.958</t>
        </is>
      </c>
      <c r="I17" s="4" t="n"/>
      <c r="J17" s="4" t="n"/>
      <c r="K17" s="4" t="inlineStr">
        <is>
          <t>✅ verified (Samba CVPR25, Samba+ arxiv 2602.01593 Table I): DUTS-TE Sα=0.932</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0.882</v>
      </c>
      <c r="H2" s="4" t="inlineStr">
        <is>
          <t>Sα 0.882 / Fmax 0.839 / Em 0.896 / MAE 0.038 (BiRefNet TR=D,H,U, paper Table 5)</t>
        </is>
      </c>
      <c r="I2" s="4" t="inlineStr">
        <is>
          <t>≈14</t>
        </is>
      </c>
      <c r="J2" s="4" t="inlineStr">
        <is>
          <t>≈220M</t>
        </is>
      </c>
      <c r="K2" s="4" t="inlineStr">
        <is>
          <t>✅ verified (BiRefNet ECCV24 paper Table 5): DUT-OMRON Sα=0.882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0.875</v>
      </c>
      <c r="H3" s="4" t="inlineStr">
        <is>
          <t>Sα 0.875 / Fmax 0.832 / MAE 0.045 (InSPyReNet SwinB, paper Table 2)</t>
        </is>
      </c>
      <c r="I3" s="4" t="inlineStr">
        <is>
          <t>≈14</t>
        </is>
      </c>
      <c r="J3" s="4" t="inlineStr">
        <is>
          <t>58.7M</t>
        </is>
      </c>
      <c r="K3" s="4" t="inlineStr">
        <is>
          <t>✅ verified (InSPyReNet ACCV22 paper Tables 2-3 (SwinB backbone)): DUT-OMRON Sα=0.875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DUT-OMRON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0.872</v>
      </c>
      <c r="H5" s="4" t="inlineStr">
        <is>
          <t>Sα 0.872 / MAE 0.045 / Em 0.903 / Fw 0.811</t>
        </is>
      </c>
      <c r="I5" s="4" t="inlineStr">
        <is>
          <t>20</t>
        </is>
      </c>
      <c r="J5" s="4" t="inlineStr">
        <is>
          <t>79M</t>
        </is>
      </c>
      <c r="K5" s="4" t="inlineStr">
        <is>
          <t>✅ verified (M3Net-S SwinB 384², M3Net arxiv 2309.08365 Table I/III): DUT-OMRON Sα=0.872</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0.869</v>
      </c>
      <c r="H6" s="4" t="inlineStr">
        <is>
          <t>Sα 0.869 / MAE 0.043 / Em 0.906 / Fw 0.804</t>
        </is>
      </c>
      <c r="I6" s="4" t="inlineStr">
        <is>
          <t>23</t>
        </is>
      </c>
      <c r="J6" s="4" t="inlineStr">
        <is>
          <t>94M</t>
        </is>
      </c>
      <c r="K6" s="4" t="inlineStr">
        <is>
          <t>✅ verified (ICON-S Swin-B, M3Net arxiv 2309.08365 Table I): DUT-OMRON Sα=0.869</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0.85</v>
      </c>
      <c r="H7" s="4" t="inlineStr">
        <is>
          <t>Sα 0.850 / Fmax 0.800 / MAE 0.058 (VST T2T-ViT-14, cited in InSPyReNet Table 2)</t>
        </is>
      </c>
      <c r="I7" s="4" t="inlineStr">
        <is>
          <t>18</t>
        </is>
      </c>
      <c r="J7" s="4" t="inlineStr">
        <is>
          <t>44M</t>
        </is>
      </c>
      <c r="K7" s="4" t="inlineStr">
        <is>
          <t>✅ verified (VST ICCV21, values cited in InSPyReNet Table 2): DUT-OMRON Sα=0.85</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0.849</v>
      </c>
      <c r="H8" s="4" t="inlineStr">
        <is>
          <t>Sα 0.849 / Fm 0.821 / Em 0.884</t>
        </is>
      </c>
      <c r="I8" s="4" t="inlineStr">
        <is>
          <t>22</t>
        </is>
      </c>
      <c r="J8" s="4" t="inlineStr">
        <is>
          <t>42M</t>
        </is>
      </c>
      <c r="K8" s="4" t="inlineStr">
        <is>
          <t>✅ verified (EDN TIP22, Samba+ arxiv 2602.01593 Table I): DUT-OMRON Sα=0.849</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0.842</v>
      </c>
      <c r="H9" s="4" t="inlineStr">
        <is>
          <t>Sα 0.842 / MAE 0.056 / Fβ 0.831</t>
        </is>
      </c>
      <c r="I9" s="4" t="inlineStr">
        <is>
          <t>32</t>
        </is>
      </c>
      <c r="J9" s="4" t="inlineStr">
        <is>
          <t>68.3M</t>
        </is>
      </c>
      <c r="K9" s="4" t="inlineStr">
        <is>
          <t>✅ verified (PoolNet-R+ ResNet50, PoolNet+ TPAMI22 Table 5): DUT-OMRON Sα=0.842</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0.833</v>
      </c>
      <c r="H10" s="4" t="inlineStr">
        <is>
          <t>Sα 0.833 / MAE 0.056 / Em 0.869 / Fw 0.738</t>
        </is>
      </c>
      <c r="I10" s="4" t="inlineStr">
        <is>
          <t>30</t>
        </is>
      </c>
      <c r="J10" s="4" t="inlineStr">
        <is>
          <t>162M</t>
        </is>
      </c>
      <c r="K10" s="4" t="inlineStr">
        <is>
          <t>✅ verified (MINet-R ResNet50, M3Net arxiv 2309.08365 Table I): DUT-OMRON Sα=0.833</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0.844</v>
      </c>
      <c r="H11" s="4" t="inlineStr">
        <is>
          <t>Sα 0.844 / MAE 0.054 / Fβ 0.779</t>
        </is>
      </c>
      <c r="I11" s="4" t="inlineStr">
        <is>
          <t>30</t>
        </is>
      </c>
      <c r="J11" s="4" t="inlineStr">
        <is>
          <t>44M</t>
        </is>
      </c>
      <c r="K11" s="4" t="inlineStr">
        <is>
          <t>✅ verified (U²-Net PR 2020 Table 2): DUT-OMRON Sα=0.844</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0.836</v>
      </c>
      <c r="H12" s="4" t="inlineStr">
        <is>
          <t>Sα 0.836 / Fmax 0.779 / MAE 0.056 (BASNet ResNet-34, cited in InSPyReNet Table 2)</t>
        </is>
      </c>
      <c r="I12" s="4" t="inlineStr">
        <is>
          <t>25</t>
        </is>
      </c>
      <c r="J12" s="4" t="inlineStr">
        <is>
          <t>87.1M</t>
        </is>
      </c>
      <c r="K12" s="4" t="inlineStr">
        <is>
          <t>✅ verified (BASNet CVPR19, values cited in InSPyReNet Table 2): DUT-OMRON Sα=0.836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DUT-OMRON</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inlineStr">
        <is>
          <t>N/A</t>
        </is>
      </c>
      <c r="H14" s="4" t="inlineStr">
        <is>
          <t>S 0.887 / Fm 0.860 / Em 0.911 / MAE 0.040</t>
        </is>
      </c>
      <c r="I14" s="4" t="n"/>
      <c r="J14" s="4" t="n"/>
      <c r="K14" s="4" t="inlineStr">
        <is>
          <t>✅ 已驗證 (S3OD arXiv25 Table 2)：DUT-OMRON Sα=0.887 [Synthetic-trained SOD]</t>
        </is>
      </c>
      <c r="L14" s="7" t="inlineStr">
        <is>
          <t>https://arxiv.org/abs/2510.21605</t>
        </is>
      </c>
      <c r="M14" s="7" t="inlineStr">
        <is>
          <t>https://github.com/</t>
        </is>
      </c>
    </row>
    <row r="15">
      <c r="A15" s="4" t="inlineStr">
        <is>
          <t>RGB Salient OD</t>
        </is>
      </c>
      <c r="B15" s="4" t="inlineStr">
        <is>
          <t>CPD-R</t>
        </is>
      </c>
      <c r="C15" s="4" t="inlineStr">
        <is>
          <t>Wu et al.</t>
        </is>
      </c>
      <c r="D15" s="4" t="inlineStr">
        <is>
          <t>CVPR</t>
        </is>
      </c>
      <c r="E15" s="4" t="inlineStr">
        <is>
          <t>2019-06</t>
        </is>
      </c>
      <c r="F15" s="4" t="inlineStr">
        <is>
          <t>Preprint</t>
        </is>
      </c>
      <c r="G15" s="4" t="inlineStr">
        <is>
          <t>N/A</t>
        </is>
      </c>
      <c r="H15" s="4" t="inlineStr">
        <is>
          <t>S 0.797 / Fβ 0.747 / MAE 0.056</t>
        </is>
      </c>
      <c r="I15" s="4" t="n"/>
      <c r="J15" s="4" t="n"/>
      <c r="K15" s="4" t="inlineStr">
        <is>
          <t>✅ 已驗證 (CPD CVPR19 Table 1, ResNet50)：Cascaded Partial Decoder for fast SOD；S 0.797 / Fβ 0.747 / MAE 0.056 [SOD]</t>
        </is>
      </c>
      <c r="L15" s="7" t="inlineStr">
        <is>
          <t>https://arxiv.org/abs/1904.08739</t>
        </is>
      </c>
      <c r="M15" s="7" t="inlineStr">
        <is>
          <t>https://github.com/wuzhe71/CPD</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H2" sqref="H2"/>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ECSSD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0.949</v>
      </c>
      <c r="H3" s="4" t="inlineStr">
        <is>
          <t>Sα 0.949 / Fmax 0.960 / MAE 0.023 (InSPyReNet SwinB, paper Table 2)</t>
        </is>
      </c>
      <c r="I3" s="4" t="inlineStr">
        <is>
          <t>≈14</t>
        </is>
      </c>
      <c r="J3" s="4" t="inlineStr">
        <is>
          <t>58.7M</t>
        </is>
      </c>
      <c r="K3" s="4" t="inlineStr">
        <is>
          <t>✅ verified (InSPyReNet ACCV22 paper Tables 2-3 (SwinB backbone)): ECSSD Sα=0.949</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ECSSD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0.948</v>
      </c>
      <c r="H5" s="4" t="inlineStr">
        <is>
          <t>Sα 0.948 / MAE 0.021 / Em 0.974 / Fw 0.947</t>
        </is>
      </c>
      <c r="I5" s="4" t="inlineStr">
        <is>
          <t>20</t>
        </is>
      </c>
      <c r="J5" s="4" t="inlineStr">
        <is>
          <t>79M</t>
        </is>
      </c>
      <c r="K5" s="4" t="inlineStr">
        <is>
          <t>✅ verified (M3Net-S SwinB 384², M3Net arxiv 2309.08365 Table I/III): ECSSD Sα=0.948</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0.9409999999999999</v>
      </c>
      <c r="H6" s="4" t="inlineStr">
        <is>
          <t>Sα 0.941 / MAE 0.023 / Em 0.972 / Fw 0.936</t>
        </is>
      </c>
      <c r="I6" s="4" t="inlineStr">
        <is>
          <t>23</t>
        </is>
      </c>
      <c r="J6" s="4" t="inlineStr">
        <is>
          <t>94M</t>
        </is>
      </c>
      <c r="K6" s="4" t="inlineStr">
        <is>
          <t>✅ verified (ICON-S Swin-B, M3Net arxiv 2309.08365 Table I): ECSSD Sα=0.941</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0.9320000000000001</v>
      </c>
      <c r="H7" s="4" t="inlineStr">
        <is>
          <t>Sα 0.932 / Fmax 0.944 / MAE 0.033 (VST T2T-ViT-14, cited in InSPyReNet Table 2)</t>
        </is>
      </c>
      <c r="I7" s="4" t="inlineStr">
        <is>
          <t>18</t>
        </is>
      </c>
      <c r="J7" s="4" t="inlineStr">
        <is>
          <t>44M</t>
        </is>
      </c>
      <c r="K7" s="4" t="inlineStr">
        <is>
          <t>✅ verified (VST ICCV21, values cited in InSPyReNet Table 2): ECSSD Sα=0.932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0.927</v>
      </c>
      <c r="H8" s="4" t="inlineStr">
        <is>
          <t>Sα 0.927 / Fm 0.950 / Em 0.957</t>
        </is>
      </c>
      <c r="I8" s="4" t="inlineStr">
        <is>
          <t>22</t>
        </is>
      </c>
      <c r="J8" s="4" t="inlineStr">
        <is>
          <t>42M</t>
        </is>
      </c>
      <c r="K8" s="4" t="inlineStr">
        <is>
          <t>✅ verified (EDN TIP22, Samba+ arxiv 2602.01593 Table I): ECSSD Sα=0.927</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0.925</v>
      </c>
      <c r="H9" s="4" t="inlineStr">
        <is>
          <t>Sα 0.925 / MAE 0.040 / Fβ 0.949</t>
        </is>
      </c>
      <c r="I9" s="4" t="inlineStr">
        <is>
          <t>32</t>
        </is>
      </c>
      <c r="J9" s="4" t="inlineStr">
        <is>
          <t>68.3M</t>
        </is>
      </c>
      <c r="K9" s="4" t="inlineStr">
        <is>
          <t>✅ verified (PoolNet-R+ ResNet50, PoolNet+ TPAMI22 Table 5): ECSSD Sα=0.925</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0.925</v>
      </c>
      <c r="H10" s="4" t="inlineStr">
        <is>
          <t>Sα 0.925 / MAE 0.033 / Em 0.957 / Fw 0.911</t>
        </is>
      </c>
      <c r="I10" s="4" t="inlineStr">
        <is>
          <t>30</t>
        </is>
      </c>
      <c r="J10" s="4" t="inlineStr">
        <is>
          <t>162M</t>
        </is>
      </c>
      <c r="K10" s="4" t="inlineStr">
        <is>
          <t>✅ verified (MINet-R ResNet50, M3Net arxiv 2309.08365 Table I): ECSSD Sα=0.925</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0.923</v>
      </c>
      <c r="H11" s="4" t="inlineStr">
        <is>
          <t>Sα 0.923 / MAE 0.041 / Fβ 0.931</t>
        </is>
      </c>
      <c r="I11" s="4" t="inlineStr">
        <is>
          <t>30</t>
        </is>
      </c>
      <c r="J11" s="4" t="inlineStr">
        <is>
          <t>44M</t>
        </is>
      </c>
      <c r="K11" s="4" t="inlineStr">
        <is>
          <t>✅ verified (U²-Net PR 2020 Table 2): ECSSD Sα=0.923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0.916</v>
      </c>
      <c r="H12" s="4" t="inlineStr">
        <is>
          <t>Sα 0.916 / Fmax 0.931 / MAE 0.037 (BASNet ResNet-34, cited in InSPyReNet Table 2)</t>
        </is>
      </c>
      <c r="I12" s="4" t="inlineStr">
        <is>
          <t>25</t>
        </is>
      </c>
      <c r="J12" s="4" t="inlineStr">
        <is>
          <t>87.1M</t>
        </is>
      </c>
      <c r="K12" s="4" t="inlineStr">
        <is>
          <t>✅ verified (BASNet CVPR19, values cited in InSPyReNet Table 2): ECSSD Sα=0.916</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ECSSD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0.949 / Fm 0.959 / Em 0.974</t>
        </is>
      </c>
      <c r="I15" s="4" t="n"/>
      <c r="J15" s="4" t="n"/>
      <c r="K15" s="4" t="inlineStr">
        <is>
          <t>✅ 已驗證 (VSCode CVPR24 Table 3, Swin-S)：ECSSD Sα=0.949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0.939 / Fβ 0.917 / MAE 0.037</t>
        </is>
      </c>
      <c r="I16" s="4" t="n"/>
      <c r="J16" s="4" t="n"/>
      <c r="K16" s="4" t="inlineStr">
        <is>
          <t>✅ 已驗證 (CPD CVPR19 Table 1, ResNet50)：Cascaded Partial Decoder for fast SOD；S 0.939 / Fβ 0.917 / MAE 0.037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0.953</v>
      </c>
      <c r="H17" s="4" t="inlineStr">
        <is>
          <t>Sα 0.953 / Fm 0.965 / Em 0.975</t>
        </is>
      </c>
      <c r="I17" s="4" t="n"/>
      <c r="J17" s="4" t="n"/>
      <c r="K17" s="4" t="inlineStr">
        <is>
          <t>✅ verified (Samba CVPR25, Samba+ arxiv 2602.01593 Table I): ECSSD Sα=0.953</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17"/>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HKU-IS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0.944</v>
      </c>
      <c r="H3" s="4" t="inlineStr">
        <is>
          <t>Sα 0.944 / Fmax 0.955 / MAE 0.021 (InSPyReNet SwinB, paper Table 2)</t>
        </is>
      </c>
      <c r="I3" s="4" t="inlineStr">
        <is>
          <t>≈14</t>
        </is>
      </c>
      <c r="J3" s="4" t="inlineStr">
        <is>
          <t>58.7M</t>
        </is>
      </c>
      <c r="K3" s="4" t="inlineStr">
        <is>
          <t>✅ verified (InSPyReNet ACCV22 paper Tables 2-3 (SwinB backbone)): HKU-IS Sα=0.944</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HKU-IS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0.9429999999999999</v>
      </c>
      <c r="H5" s="4" t="inlineStr">
        <is>
          <t>Sα 0.943 / MAE 0.019 / Em 0.977 / Fw 0.937</t>
        </is>
      </c>
      <c r="I5" s="4" t="inlineStr">
        <is>
          <t>20</t>
        </is>
      </c>
      <c r="J5" s="4" t="inlineStr">
        <is>
          <t>79M</t>
        </is>
      </c>
      <c r="K5" s="4" t="inlineStr">
        <is>
          <t>✅ verified (M3Net-S SwinB 384², M3Net arxiv 2309.08365 Table I/III): HKU-IS Sα=0.943</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0.9350000000000001</v>
      </c>
      <c r="H6" s="4" t="inlineStr">
        <is>
          <t>Sα 0.935 / MAE 0.022 / Em 0.974 / Fw 0.925</t>
        </is>
      </c>
      <c r="I6" s="4" t="inlineStr">
        <is>
          <t>23</t>
        </is>
      </c>
      <c r="J6" s="4" t="inlineStr">
        <is>
          <t>94M</t>
        </is>
      </c>
      <c r="K6" s="4" t="inlineStr">
        <is>
          <t>✅ verified (ICON-S Swin-B, M3Net arxiv 2309.08365 Table I): HKU-IS Sα=0.935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0.928</v>
      </c>
      <c r="H7" s="4" t="inlineStr">
        <is>
          <t>Sα 0.928 / Fmax 0.937 / MAE 0.029 (VST T2T-ViT-14, cited in InSPyReNet Table 2)</t>
        </is>
      </c>
      <c r="I7" s="4" t="inlineStr">
        <is>
          <t>18</t>
        </is>
      </c>
      <c r="J7" s="4" t="inlineStr">
        <is>
          <t>44M</t>
        </is>
      </c>
      <c r="K7" s="4" t="inlineStr">
        <is>
          <t>✅ verified (VST ICCV21, values cited in InSPyReNet Table 2): HKU-IS Sα=0.928</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0.924</v>
      </c>
      <c r="H8" s="4" t="inlineStr">
        <is>
          <t>Sα 0.924 / Fm 0.940 / Em 0.963</t>
        </is>
      </c>
      <c r="I8" s="4" t="inlineStr">
        <is>
          <t>22</t>
        </is>
      </c>
      <c r="J8" s="4" t="inlineStr">
        <is>
          <t>42M</t>
        </is>
      </c>
      <c r="K8" s="4" t="inlineStr">
        <is>
          <t>✅ verified (EDN TIP22, Samba+ arxiv 2602.01593 Table I): HKU-IS Sα=0.924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0.921</v>
      </c>
      <c r="H9" s="4" t="inlineStr">
        <is>
          <t>Sα 0.921 / MAE 0.034 / Fβ 0.941</t>
        </is>
      </c>
      <c r="I9" s="4" t="inlineStr">
        <is>
          <t>32</t>
        </is>
      </c>
      <c r="J9" s="4" t="inlineStr">
        <is>
          <t>68.3M</t>
        </is>
      </c>
      <c r="K9" s="4" t="inlineStr">
        <is>
          <t>✅ verified (PoolNet-R+ ResNet50, PoolNet+ TPAMI22 Table 5): HKU-IS Sα=0.921</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0.919</v>
      </c>
      <c r="H10" s="4" t="inlineStr">
        <is>
          <t>Sα 0.919 / MAE 0.029 / Em 0.960 / Fw 0.897</t>
        </is>
      </c>
      <c r="I10" s="4" t="inlineStr">
        <is>
          <t>30</t>
        </is>
      </c>
      <c r="J10" s="4" t="inlineStr">
        <is>
          <t>162M</t>
        </is>
      </c>
      <c r="K10" s="4" t="inlineStr">
        <is>
          <t>✅ verified (MINet-R ResNet50, M3Net arxiv 2309.08365 Table I): HKU-IS Sα=0.919</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0.916</v>
      </c>
      <c r="H11" s="4" t="inlineStr">
        <is>
          <t>Sα 0.916 / MAE 0.035 / Fβ 0.919</t>
        </is>
      </c>
      <c r="I11" s="4" t="inlineStr">
        <is>
          <t>30</t>
        </is>
      </c>
      <c r="J11" s="4" t="inlineStr">
        <is>
          <t>44M</t>
        </is>
      </c>
      <c r="K11" s="4" t="inlineStr">
        <is>
          <t>✅ verified (U²-Net PR 2020 Table 2): HKU-IS Sα=0.916</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0.909</v>
      </c>
      <c r="H12" s="4" t="inlineStr">
        <is>
          <t>Sα 0.909 / Fmax 0.919 / MAE 0.032 (BASNet ResNet-34, cited in InSPyReNet Table 2)</t>
        </is>
      </c>
      <c r="I12" s="4" t="inlineStr">
        <is>
          <t>25</t>
        </is>
      </c>
      <c r="J12" s="4" t="inlineStr">
        <is>
          <t>87.1M</t>
        </is>
      </c>
      <c r="K12" s="4" t="inlineStr">
        <is>
          <t>✅ verified (BASNet CVPR19, values cited in InSPyReNet Table 2): HKU-IS Sα=0.909</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HKU-IS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row r="14">
      <c r="A14" s="4" t="inlineStr">
        <is>
          <t>RGB Salient OD</t>
        </is>
      </c>
      <c r="B14" s="4" t="inlineStr">
        <is>
          <t>S3OD (synthetic)</t>
        </is>
      </c>
      <c r="C14" s="4" t="inlineStr">
        <is>
          <t>Various</t>
        </is>
      </c>
      <c r="D14" s="4" t="inlineStr">
        <is>
          <t>arXiv</t>
        </is>
      </c>
      <c r="E14" s="4" t="inlineStr">
        <is>
          <t>2025-10</t>
        </is>
      </c>
      <c r="F14" s="4" t="inlineStr">
        <is>
          <t>Preprint</t>
        </is>
      </c>
      <c r="G14" s="4" t="n"/>
      <c r="H14" s="4" t="n"/>
      <c r="I14" s="4" t="n"/>
      <c r="J14" s="4" t="n"/>
      <c r="K14" s="4" t="inlineStr">
        <is>
          <t>⚠️ S3OD (ICLR 2026, arxiv 2510.21605) evaluates on DIS subsets and HR-SOD benchmarks (DAVIS-S, HRSOD-TE, UHRSD-TE, DUTS-TE, DUT-OMRON). It does NOT report ECSSD or HKU-IS results in its paper. This entry is misplaced in this sheet.</t>
        </is>
      </c>
      <c r="L14" s="7" t="inlineStr">
        <is>
          <t>https://arxiv.org/abs/2510.21605</t>
        </is>
      </c>
      <c r="M14" s="7" t="inlineStr">
        <is>
          <t>https://github.com/</t>
        </is>
      </c>
    </row>
    <row r="15">
      <c r="A15" s="4" t="inlineStr">
        <is>
          <t>RGB Salient OD</t>
        </is>
      </c>
      <c r="B15" s="4" t="inlineStr">
        <is>
          <t>VSCode</t>
        </is>
      </c>
      <c r="C15" s="4" t="inlineStr">
        <is>
          <t>Luo et al.</t>
        </is>
      </c>
      <c r="D15" s="4" t="inlineStr">
        <is>
          <t>CVPR</t>
        </is>
      </c>
      <c r="E15" s="4" t="inlineStr">
        <is>
          <t>2024-06</t>
        </is>
      </c>
      <c r="F15" s="4" t="inlineStr">
        <is>
          <t>Preprint</t>
        </is>
      </c>
      <c r="G15" s="4" t="inlineStr">
        <is>
          <t>N/A</t>
        </is>
      </c>
      <c r="H15" s="4" t="inlineStr">
        <is>
          <t>S 0.940 / Fm 0.951 / Em 0.974</t>
        </is>
      </c>
      <c r="I15" s="4" t="n"/>
      <c r="J15" s="4" t="n"/>
      <c r="K15" s="4" t="inlineStr">
        <is>
          <t>✅ 已驗證 (VSCode CVPR24 Table 3, Swin-S)：HKU-IS Sα=0.940 [SOD]</t>
        </is>
      </c>
      <c r="L15" s="7" t="inlineStr">
        <is>
          <t>https://arxiv.org/abs/2311.15011</t>
        </is>
      </c>
      <c r="M15" s="7" t="inlineStr">
        <is>
          <t>https://github.com/Sssssuperior/VSCode</t>
        </is>
      </c>
    </row>
    <row r="16">
      <c r="A16" s="4" t="inlineStr">
        <is>
          <t>RGB Salient OD</t>
        </is>
      </c>
      <c r="B16" s="4" t="inlineStr">
        <is>
          <t>CPD-R</t>
        </is>
      </c>
      <c r="C16" s="4" t="inlineStr">
        <is>
          <t>Wu et al.</t>
        </is>
      </c>
      <c r="D16" s="4" t="inlineStr">
        <is>
          <t>CVPR</t>
        </is>
      </c>
      <c r="E16" s="4" t="inlineStr">
        <is>
          <t>2019-06</t>
        </is>
      </c>
      <c r="F16" s="4" t="inlineStr">
        <is>
          <t>Preprint</t>
        </is>
      </c>
      <c r="G16" s="4" t="inlineStr">
        <is>
          <t>N/A</t>
        </is>
      </c>
      <c r="H16" s="4" t="inlineStr">
        <is>
          <t>S 0.925 / Fβ 0.891 / MAE 0.034</t>
        </is>
      </c>
      <c r="I16" s="4" t="n"/>
      <c r="J16" s="4" t="n"/>
      <c r="K16" s="4" t="inlineStr">
        <is>
          <t>✅ 已驗證 (CPD CVPR19 Table 1, ResNet50)：Cascaded Partial Decoder for fast SOD；S 0.925 / Fβ 0.891 / MAE 0.034 [SOD]</t>
        </is>
      </c>
      <c r="L16" s="7" t="inlineStr">
        <is>
          <t>https://arxiv.org/abs/1904.08739</t>
        </is>
      </c>
      <c r="M16" s="7" t="inlineStr">
        <is>
          <t>https://github.com/wuzhe71/CPD</t>
        </is>
      </c>
    </row>
    <row r="17">
      <c r="A17" s="4" t="inlineStr">
        <is>
          <t>RGB Salient OD</t>
        </is>
      </c>
      <c r="B17" s="4" t="inlineStr">
        <is>
          <t>Samba</t>
        </is>
      </c>
      <c r="C17" s="4" t="inlineStr">
        <is>
          <t>—</t>
        </is>
      </c>
      <c r="D17" s="4" t="inlineStr">
        <is>
          <t>CVPR 2025</t>
        </is>
      </c>
      <c r="E17" s="4" t="inlineStr">
        <is>
          <t>2025-06</t>
        </is>
      </c>
      <c r="F17" s="4" t="inlineStr">
        <is>
          <t>Preprint</t>
        </is>
      </c>
      <c r="G17" s="4" t="n">
        <v>0.945</v>
      </c>
      <c r="H17" s="4" t="inlineStr">
        <is>
          <t>Sα 0.945 / Fm 0.958 / Em 0.975</t>
        </is>
      </c>
      <c r="I17" s="4" t="n"/>
      <c r="J17" s="4" t="n"/>
      <c r="K17" s="4" t="inlineStr">
        <is>
          <t>✅ verified (Samba CVPR25, Samba+ arxiv 2602.01593 Table I): HKU-IS Sα=0.945</t>
        </is>
      </c>
      <c r="L17" s="7" t="inlineStr">
        <is>
          <t>https://openaccess.thecvf.com/content/CVPR2025/html/He_Samba_A_Unified_Mamba-based_Framework_for_General_Salient_Object_Detection_CVPR_2025_paper.html</t>
        </is>
      </c>
      <c r="M17" s="7" t="inlineStr">
        <is>
          <t>N/A</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(not evaluated in BiRefNet ECCV24 paper Table 5)</t>
        </is>
      </c>
      <c r="I2" s="4" t="inlineStr">
        <is>
          <t>≈14</t>
        </is>
      </c>
      <c r="J2" s="4" t="inlineStr">
        <is>
          <t>≈220M</t>
        </is>
      </c>
      <c r="K2" s="4" t="inlineStr">
        <is>
          <t>⚠️ BiRefNet does not report on PASCAL-S in its paper. BiRefNet ECCV24 paper Table 5 covers other datasets only</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0.893</v>
      </c>
      <c r="H3" s="4" t="inlineStr">
        <is>
          <t>Sα 0.893 / Fmax 0.893 / MAE 0.048 (InSPyReNet SwinB, paper Table 2)</t>
        </is>
      </c>
      <c r="I3" s="4" t="inlineStr">
        <is>
          <t>≈14</t>
        </is>
      </c>
      <c r="J3" s="4" t="inlineStr">
        <is>
          <t>58.7M</t>
        </is>
      </c>
      <c r="K3" s="4" t="inlineStr">
        <is>
          <t>✅ verified (InSPyReNet ACCV22 paper Tables 2-3 (SwinB backbone)): PASCAL-S Sα=0.893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PASCAL-S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n">
        <v>0.889</v>
      </c>
      <c r="H5" s="4" t="inlineStr">
        <is>
          <t>Sα 0.889 / MAE 0.047 / Em 0.932 / Fw 0.864</t>
        </is>
      </c>
      <c r="I5" s="4" t="inlineStr">
        <is>
          <t>20</t>
        </is>
      </c>
      <c r="J5" s="4" t="inlineStr">
        <is>
          <t>79M</t>
        </is>
      </c>
      <c r="K5" s="4" t="inlineStr">
        <is>
          <t>✅ verified (M3Net-S SwinB 384², M3Net arxiv 2309.08365 Table I/III): PASCAL-S Sα=0.889</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n">
        <v>0.885</v>
      </c>
      <c r="H6" s="4" t="inlineStr">
        <is>
          <t>Sα 0.885 / MAE 0.048 / Em 0.930 / Fw 0.854</t>
        </is>
      </c>
      <c r="I6" s="4" t="inlineStr">
        <is>
          <t>23</t>
        </is>
      </c>
      <c r="J6" s="4" t="inlineStr">
        <is>
          <t>94M</t>
        </is>
      </c>
      <c r="K6" s="4" t="inlineStr">
        <is>
          <t>✅ verified (ICON-S Swin-B, M3Net arxiv 2309.08365 Table I): PASCAL-S Sα=0.885</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n">
        <v>0.872</v>
      </c>
      <c r="H7" s="4" t="inlineStr">
        <is>
          <t>Sα 0.872 / Fmax 0.864 / MAE 0.061 (VST T2T-ViT-14, cited in InSPyReNet Table 2)</t>
        </is>
      </c>
      <c r="I7" s="4" t="inlineStr">
        <is>
          <t>18</t>
        </is>
      </c>
      <c r="J7" s="4" t="inlineStr">
        <is>
          <t>44M</t>
        </is>
      </c>
      <c r="K7" s="4" t="inlineStr">
        <is>
          <t>✅ verified (VST ICCV21, values cited in InSPyReNet Table 2): PASCAL-S Sα=0.872</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n">
        <v>0.864</v>
      </c>
      <c r="H8" s="4" t="inlineStr">
        <is>
          <t>Sα 0.864 / Fm 0.879 / Em 0.907</t>
        </is>
      </c>
      <c r="I8" s="4" t="inlineStr">
        <is>
          <t>22</t>
        </is>
      </c>
      <c r="J8" s="4" t="inlineStr">
        <is>
          <t>42M</t>
        </is>
      </c>
      <c r="K8" s="4" t="inlineStr">
        <is>
          <t>✅ verified (EDN TIP22, Samba+ arxiv 2602.01593 Table I): PASCAL-S Sα=0.864</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n">
        <v>0.864</v>
      </c>
      <c r="H9" s="4" t="inlineStr">
        <is>
          <t>Sα 0.864 / MAE 0.068 / Fβ 0.879</t>
        </is>
      </c>
      <c r="I9" s="4" t="inlineStr">
        <is>
          <t>32</t>
        </is>
      </c>
      <c r="J9" s="4" t="inlineStr">
        <is>
          <t>68.3M</t>
        </is>
      </c>
      <c r="K9" s="4" t="inlineStr">
        <is>
          <t>✅ verified (PoolNet-R+ ResNet50, PoolNet+ TPAMI22 Table 5): PASCAL-S Sα=0.864</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n">
        <v>0.856</v>
      </c>
      <c r="H10" s="4" t="inlineStr">
        <is>
          <t>Sα 0.856 / MAE 0.064 / Em 0.903 / Fw 0.809</t>
        </is>
      </c>
      <c r="I10" s="4" t="inlineStr">
        <is>
          <t>30</t>
        </is>
      </c>
      <c r="J10" s="4" t="inlineStr">
        <is>
          <t>162M</t>
        </is>
      </c>
      <c r="K10" s="4" t="inlineStr">
        <is>
          <t>✅ verified (MINet-R ResNet50, M3Net arxiv 2309.08365 Table I): PASCAL-S Sα=0.856</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n">
        <v>0.843</v>
      </c>
      <c r="H11" s="4" t="inlineStr">
        <is>
          <t>Sα 0.843 / MAE 0.074 / Fβ 0.835</t>
        </is>
      </c>
      <c r="I11" s="4" t="inlineStr">
        <is>
          <t>30</t>
        </is>
      </c>
      <c r="J11" s="4" t="inlineStr">
        <is>
          <t>44M</t>
        </is>
      </c>
      <c r="K11" s="4" t="inlineStr">
        <is>
          <t>✅ verified (U²-Net PR 2020 Table 2): PASCAL-S Sα=0.843</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n">
        <v>0.838</v>
      </c>
      <c r="H12" s="4" t="inlineStr">
        <is>
          <t>Sα 0.838 / Fmax 0.835 / MAE 0.076 (BASNet ResNet-34, cited in InSPyReNet Table 2)</t>
        </is>
      </c>
      <c r="I12" s="4" t="inlineStr">
        <is>
          <t>25</t>
        </is>
      </c>
      <c r="J12" s="4" t="inlineStr">
        <is>
          <t>87.1M</t>
        </is>
      </c>
      <c r="K12" s="4" t="inlineStr">
        <is>
          <t>✅ verified (BASNet CVPR19, values cited in InSPyReNet Table 2): PASCAL-S Sα=0.838</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PASCAL-S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0.962</v>
      </c>
      <c r="H2" s="4" t="inlineStr">
        <is>
          <t>Sα 0.962 / Fmax 0.961 / Em 0.973 / MAE 0.013 (BiRefNet TR=D,H,U, paper Table 5 HRSOD-TE)</t>
        </is>
      </c>
      <c r="I2" s="4" t="inlineStr">
        <is>
          <t>≈14</t>
        </is>
      </c>
      <c r="J2" s="4" t="inlineStr">
        <is>
          <t>≈220M</t>
        </is>
      </c>
      <c r="K2" s="4" t="inlineStr">
        <is>
          <t>✅ verified (BiRefNet ECCV24 paper Table 5): HRSOD Sα=0.962</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0.93</v>
      </c>
      <c r="H3" s="4" t="inlineStr">
        <is>
          <t>Sα 0.930 / Fmax 0.926 / MAE 0.025 (InSPyReNet SwinB, paper Table 3 HRSOD-TE, TR=D)</t>
        </is>
      </c>
      <c r="I3" s="4" t="inlineStr">
        <is>
          <t>≈14</t>
        </is>
      </c>
      <c r="J3" s="4" t="inlineStr">
        <is>
          <t>58.7M</t>
        </is>
      </c>
      <c r="K3" s="4" t="inlineStr">
        <is>
          <t>✅ verified (InSPyReNet ACCV22 paper Tables 2-3 (SwinB backbone)): HRSOD Sα=0.93</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HRSOD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HRSOD</t>
        </is>
      </c>
      <c r="I5" s="4" t="inlineStr">
        <is>
          <t>20</t>
        </is>
      </c>
      <c r="J5" s="4" t="inlineStr">
        <is>
          <t>79M</t>
        </is>
      </c>
      <c r="K5" s="4" t="inlineStr">
        <is>
          <t>⚠️ M3Net does not evaluate on HRSOD in its original paper. HRSOD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HRSOD</t>
        </is>
      </c>
      <c r="I6" s="4" t="inlineStr">
        <is>
          <t>23</t>
        </is>
      </c>
      <c r="J6" s="4" t="inlineStr">
        <is>
          <t>94M</t>
        </is>
      </c>
      <c r="K6" s="4" t="inlineStr">
        <is>
          <t>⚠️ ICON-S does not evaluate on HRSOD in its original paper. HRSOD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HRSOD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HRSOD</t>
        </is>
      </c>
      <c r="I8" s="4" t="inlineStr">
        <is>
          <t>22</t>
        </is>
      </c>
      <c r="J8" s="4" t="inlineStr">
        <is>
          <t>42M</t>
        </is>
      </c>
      <c r="K8" s="4" t="inlineStr">
        <is>
          <t>⚠️ EDN does not evaluate on HRSOD in its original paper. HRSOD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HRSOD</t>
        </is>
      </c>
      <c r="I9" s="4" t="inlineStr">
        <is>
          <t>32</t>
        </is>
      </c>
      <c r="J9" s="4" t="inlineStr">
        <is>
          <t>68.3M</t>
        </is>
      </c>
      <c r="K9" s="4" t="inlineStr">
        <is>
          <t>⚠️ PoolNet+ does not evaluate on HRSOD in its original paper. HRSOD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HRSOD</t>
        </is>
      </c>
      <c r="I10" s="4" t="inlineStr">
        <is>
          <t>30</t>
        </is>
      </c>
      <c r="J10" s="4" t="inlineStr">
        <is>
          <t>162M</t>
        </is>
      </c>
      <c r="K10" s="4" t="inlineStr">
        <is>
          <t>⚠️ MINet does not evaluate on HRSOD in its original paper. HRSOD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HRSOD</t>
        </is>
      </c>
      <c r="I11" s="4" t="inlineStr">
        <is>
          <t>30</t>
        </is>
      </c>
      <c r="J11" s="4" t="inlineStr">
        <is>
          <t>44M</t>
        </is>
      </c>
      <c r="K11" s="4" t="inlineStr">
        <is>
          <t>⚠️ U^2-Net does not evaluate on HRSOD in its original paper. HRSOD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HRSOD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HRSOD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0.975</v>
      </c>
      <c r="H2" s="4" t="inlineStr">
        <is>
          <t>Sα 0.975 / Fmax 0.979 / Em 0.989 / MAE 0.006 (BiRefNet TR=D,H,U, paper Table 5)</t>
        </is>
      </c>
      <c r="I2" s="4" t="inlineStr">
        <is>
          <t>≈14</t>
        </is>
      </c>
      <c r="J2" s="4" t="inlineStr">
        <is>
          <t>≈220M</t>
        </is>
      </c>
      <c r="K2" s="4" t="inlineStr">
        <is>
          <t>✅ verified (BiRefNet ECCV24 paper Table 5): DAVIS-S Sα=0.975</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0.946</v>
      </c>
      <c r="H3" s="4" t="inlineStr">
        <is>
          <t>Sα 0.946 / Fmax 0.940 / MAE 0.014 (InSPyReNet SwinB, paper Table 3, TR=D)</t>
        </is>
      </c>
      <c r="I3" s="4" t="inlineStr">
        <is>
          <t>≈14</t>
        </is>
      </c>
      <c r="J3" s="4" t="inlineStr">
        <is>
          <t>58.7M</t>
        </is>
      </c>
      <c r="K3" s="4" t="inlineStr">
        <is>
          <t>✅ verified (InSPyReNet ACCV22 paper Tables 2-3 (SwinB backbone)): DAVIS-S Sα=0.946</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DAVIS-S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DAVIS-S</t>
        </is>
      </c>
      <c r="I5" s="4" t="inlineStr">
        <is>
          <t>20</t>
        </is>
      </c>
      <c r="J5" s="4" t="inlineStr">
        <is>
          <t>79M</t>
        </is>
      </c>
      <c r="K5" s="4" t="inlineStr">
        <is>
          <t>⚠️ M3Net does not evaluate on DAVIS-S in its original paper. DAVIS-S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DAVIS-S</t>
        </is>
      </c>
      <c r="I6" s="4" t="inlineStr">
        <is>
          <t>23</t>
        </is>
      </c>
      <c r="J6" s="4" t="inlineStr">
        <is>
          <t>94M</t>
        </is>
      </c>
      <c r="K6" s="4" t="inlineStr">
        <is>
          <t>⚠️ ICON-S does not evaluate on DAVIS-S in its original paper. DAVIS-S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DAVIS-S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DAVIS-S</t>
        </is>
      </c>
      <c r="I8" s="4" t="inlineStr">
        <is>
          <t>22</t>
        </is>
      </c>
      <c r="J8" s="4" t="inlineStr">
        <is>
          <t>42M</t>
        </is>
      </c>
      <c r="K8" s="4" t="inlineStr">
        <is>
          <t>⚠️ EDN does not evaluate on DAVIS-S in its original paper. DAVIS-S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DAVIS-S</t>
        </is>
      </c>
      <c r="I9" s="4" t="inlineStr">
        <is>
          <t>32</t>
        </is>
      </c>
      <c r="J9" s="4" t="inlineStr">
        <is>
          <t>68.3M</t>
        </is>
      </c>
      <c r="K9" s="4" t="inlineStr">
        <is>
          <t>⚠️ PoolNet+ does not evaluate on DAVIS-S in its original paper. DAVIS-S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DAVIS-S</t>
        </is>
      </c>
      <c r="I10" s="4" t="inlineStr">
        <is>
          <t>30</t>
        </is>
      </c>
      <c r="J10" s="4" t="inlineStr">
        <is>
          <t>162M</t>
        </is>
      </c>
      <c r="K10" s="4" t="inlineStr">
        <is>
          <t>⚠️ MINet does not evaluate on DAVIS-S in its original paper. DAVIS-S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DAVIS-S</t>
        </is>
      </c>
      <c r="I11" s="4" t="inlineStr">
        <is>
          <t>30</t>
        </is>
      </c>
      <c r="J11" s="4" t="inlineStr">
        <is>
          <t>44M</t>
        </is>
      </c>
      <c r="K11" s="4" t="inlineStr">
        <is>
          <t>⚠️ U^2-Net does not evaluate on DAVIS-S in its original paper. DAVIS-S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DAVIS-S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DAVIS-S</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n">
        <v>0.957</v>
      </c>
      <c r="H2" s="4" t="inlineStr">
        <is>
          <t>Sα 0.957 / Fmax 0.963 / Em 0.969 / MAE 0.016 (BiRefNet TR=D,H,U, paper Table 5 UHRSD-TE)</t>
        </is>
      </c>
      <c r="I2" s="4" t="inlineStr">
        <is>
          <t>≈14</t>
        </is>
      </c>
      <c r="J2" s="4" t="inlineStr">
        <is>
          <t>≈220M</t>
        </is>
      </c>
      <c r="K2" s="4" t="inlineStr">
        <is>
          <t>✅ verified (BiRefNet ECCV24 paper Table 5): UHRSD Sα=0.957</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n">
        <v>0.925</v>
      </c>
      <c r="H3" s="4" t="inlineStr">
        <is>
          <t>Sα 0.925 / Fmax 0.931 / MAE 0.029 (InSPyReNet SwinB, paper Table 3 UHRSD-TE, TR=D)</t>
        </is>
      </c>
      <c r="I3" s="4" t="inlineStr">
        <is>
          <t>≈14</t>
        </is>
      </c>
      <c r="J3" s="4" t="inlineStr">
        <is>
          <t>58.7M</t>
        </is>
      </c>
      <c r="K3" s="4" t="inlineStr">
        <is>
          <t>✅ verified (InSPyReNet ACCV22 paper Tables 2-3 (SwinB backbone)): UHRSD Sα=0.925</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n"/>
      <c r="H4" s="4" t="inlineStr">
        <is>
          <t>N/A (DIS method, not SOD — see note)</t>
        </is>
      </c>
      <c r="I4" s="4" t="inlineStr">
        <is>
          <t>To verify</t>
        </is>
      </c>
      <c r="J4" s="4" t="inlineStr">
        <is>
          <t>To verify</t>
        </is>
      </c>
      <c r="K4" s="4" t="inlineStr">
        <is>
          <t>⚠️ MVANet (CVPR 2024, arxiv 2404.07445) is a Dichotomous Image Segmentation (DIS) method — evaluated on DIS-5K dataset ONLY. It does NOT report on UHRSD SOD benchmark. This entry is misplaced; should be in a DIS sheet, not SOD.</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S 0.918 / Fβ 0.917 / E 0.950 / MAE 0.024 | UHRSD</t>
        </is>
      </c>
      <c r="I5" s="4" t="inlineStr">
        <is>
          <t>20</t>
        </is>
      </c>
      <c r="J5" s="4" t="inlineStr">
        <is>
          <t>79M</t>
        </is>
      </c>
      <c r="K5" s="4" t="inlineStr">
        <is>
          <t>⚠️ M3Net does not evaluate on UHRSD in its original paper. UHRSD is a High-Resolution SOD benchmark; M3Net reports only on standard SOD benchmarks (DUTS-TE/DUT-OMRON/ECSSD/HKU-IS/PASCAL-S).</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S 0.917 / Fβ 0.911 / E 0.954 / MAE 0.025 | UHRSD</t>
        </is>
      </c>
      <c r="I6" s="4" t="inlineStr">
        <is>
          <t>23</t>
        </is>
      </c>
      <c r="J6" s="4" t="inlineStr">
        <is>
          <t>94M</t>
        </is>
      </c>
      <c r="K6" s="4" t="inlineStr">
        <is>
          <t>⚠️ ICON-S does not evaluate on UHRSD in its original paper. UHRSD is a High-Resolution SOD benchmark; ICON-S reports only on standard SOD benchmarks (DUTS-TE/DUT-OMRON/ECSSD/HKU-IS/PASCAL-S).</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(not evaluated in VST ICCV21, values cited in InSPyReNet Table 2)</t>
        </is>
      </c>
      <c r="I7" s="4" t="inlineStr">
        <is>
          <t>18</t>
        </is>
      </c>
      <c r="J7" s="4" t="inlineStr">
        <is>
          <t>44M</t>
        </is>
      </c>
      <c r="K7" s="4" t="inlineStr">
        <is>
          <t>⚠️ VST does not report on UHRSD in its paper. VST ICCV21, values cited in InSPyReNet Table 2 covers other datasets only</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UHRSD</t>
        </is>
      </c>
      <c r="I8" s="4" t="inlineStr">
        <is>
          <t>22</t>
        </is>
      </c>
      <c r="J8" s="4" t="inlineStr">
        <is>
          <t>42M</t>
        </is>
      </c>
      <c r="K8" s="4" t="inlineStr">
        <is>
          <t>⚠️ EDN does not evaluate on UHRSD in its original paper. UHRSD is a High-Resolution SOD benchmark; EDN reports only on standard SOD benchmarks (DUTS-TE/DUT-OMRON/ECSSD/HKU-IS/PASCAL-S).</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S 0.886 / Fβ 0.880 / MAE 0.038 | UHRSD</t>
        </is>
      </c>
      <c r="I9" s="4" t="inlineStr">
        <is>
          <t>32</t>
        </is>
      </c>
      <c r="J9" s="4" t="inlineStr">
        <is>
          <t>68.3M</t>
        </is>
      </c>
      <c r="K9" s="4" t="inlineStr">
        <is>
          <t>⚠️ PoolNet+ does not evaluate on UHRSD in its original paper. UHRSD is a High-Resolution SOD benchmark; PoolNet+ reports only on standard SOD benchmarks (DUTS-TE/DUT-OMRON/ECSSD/HKU-IS/PASCAL-S).</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S 0.884 / Fβ 0.876 / MAE 0.037 | UHRSD</t>
        </is>
      </c>
      <c r="I10" s="4" t="inlineStr">
        <is>
          <t>30</t>
        </is>
      </c>
      <c r="J10" s="4" t="inlineStr">
        <is>
          <t>162M</t>
        </is>
      </c>
      <c r="K10" s="4" t="inlineStr">
        <is>
          <t>⚠️ MINet does not evaluate on UHRSD in its original paper. UHRSD is a High-Resolution SOD benchmark; MINet reports only on standard SOD benchmarks (DUTS-TE/DUT-OMRON/ECSSD/HKU-IS/PASCAL-S).</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S 0.874 / Fβ 0.873 / MAE 0.045 | UHRSD</t>
        </is>
      </c>
      <c r="I11" s="4" t="inlineStr">
        <is>
          <t>30</t>
        </is>
      </c>
      <c r="J11" s="4" t="inlineStr">
        <is>
          <t>44M</t>
        </is>
      </c>
      <c r="K11" s="4" t="inlineStr">
        <is>
          <t>⚠️ U^2-Net does not evaluate on UHRSD in its original paper. UHRSD is a High-Resolution SOD benchmark; U^2-Net reports only on standard SOD benchmarks (DUTS-TE/DUT-OMRON/ECSSD/HKU-IS/PASCAL-S).</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(not evaluated in BASNet CVPR19, values cited in InSPyReNet Table 2)</t>
        </is>
      </c>
      <c r="I12" s="4" t="inlineStr">
        <is>
          <t>25</t>
        </is>
      </c>
      <c r="J12" s="4" t="inlineStr">
        <is>
          <t>87.1M</t>
        </is>
      </c>
      <c r="K12" s="4" t="inlineStr">
        <is>
          <t>⚠️ BASNet does not report on UHRSD in its paper. BASNet CVPR19, values cited in InSPyReNet Table 2 covers other datasets only</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UHRSD</t>
        </is>
      </c>
      <c r="I13" s="4" t="inlineStr">
        <is>
          <t>To verify</t>
        </is>
      </c>
      <c r="J13" s="4" t="inlineStr">
        <is>
          <t>To verify</t>
        </is>
      </c>
      <c r="K13" s="4" t="inlineStr">
        <is>
          <t>⚠️ UGRAN (TIP 2025, arxiv 2407.13680) PDF text-extraction failed — tables rendered as images / special encoding. Per-dataset S-measure / MAE not extractable from PDF text. Needs manual paper read or OCR</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SBU-Refine is a SHADOW DETECTION dataset (Hu et al. 2021), not SOD. The SOD methods listed (BiRefNet/InSPyReNet/MVANet/etc.) do not evaluate on SBU-Refine — sheet needs reclassification to shadow detection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SBU-Refine is a SHADOW DETECTION dataset (Hu et al. 2021), not SOD. The SOD methods listed (BiRefNet/InSPyReNet/MVANet/etc.) do not evaluate on SBU-Refine — sheet needs reclassification to shadow detection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SBU-Refine is a SHADOW DETECTION dataset (Hu et al. 2021), not SOD. The SOD methods listed (BiRefNet/InSPyReNet/MVANet/etc.) do not evaluate on SBU-Refine — sheet needs reclassification to shadow detection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SBU-Refine is a SHADOW DETECTION dataset (Hu et al. 2021), not SOD. The SOD methods listed (BiRefNet/InSPyReNet/MVANet/etc.) do not evaluate on SBU-Refine — sheet needs reclassification to shadow detection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SBU-Refine is a SHADOW DETECTION dataset (Hu et al. 2021), not SOD. The SOD methods listed (BiRefNet/InSPyReNet/MVANet/etc.) do not evaluate on SBU-Refine — sheet needs reclassification to shadow detection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SBU-Refine is a SHADOW DETECTION dataset (Hu et al. 2021), not SOD. The SOD methods listed (BiRefNet/InSPyReNet/MVANet/etc.) do not evaluate on SBU-Refine — sheet needs reclassification to shadow detection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SBU/SBU-Refine</t>
        </is>
      </c>
      <c r="I8" s="4" t="inlineStr">
        <is>
          <t>22</t>
        </is>
      </c>
      <c r="J8" s="4" t="inlineStr">
        <is>
          <t>42M</t>
        </is>
      </c>
      <c r="K8" s="4" t="inlineStr">
        <is>
          <t>⚠️ SBU-Refine is a SHADOW DETECTION dataset (Hu et al. 2021), not SOD. The SOD methods listed (BiRefNet/InSPyReNet/MVANet/etc.) do not evaluate on SBU-Refine — sheet needs reclassification to shadow detection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SBU-Refine is a SHADOW DETECTION dataset (Hu et al. 2021), not SOD. The SOD methods listed (BiRefNet/InSPyReNet/MVANet/etc.) do not evaluate on SBU-Refine — sheet needs reclassification to shadow detection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SBU-Refine is a SHADOW DETECTION dataset (Hu et al. 2021), not SOD. The SOD methods listed (BiRefNet/InSPyReNet/MVANet/etc.) do not evaluate on SBU-Refine — sheet needs reclassification to shadow detection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SBU-Refine is a SHADOW DETECTION dataset (Hu et al. 2021), not SOD. The SOD methods listed (BiRefNet/InSPyReNet/MVANet/etc.) do not evaluate on SBU-Refine — sheet needs reclassification to shadow detection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SBU-Refine is a SHADOW DETECTION dataset (Hu et al. 2021), not SOD. The SOD methods listed (BiRefNet/InSPyReNet/MVANet/etc.) do not evaluate on SBU-Refine — sheet needs reclassification to shadow detection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SBU/SBU-Refine</t>
        </is>
      </c>
      <c r="I13" s="4" t="inlineStr">
        <is>
          <t>To verify</t>
        </is>
      </c>
      <c r="J13" s="4" t="inlineStr">
        <is>
          <t>To verify</t>
        </is>
      </c>
      <c r="K13" s="4" t="inlineStr">
        <is>
          <t>⚠️ SBU-Refine is a SHADOW DETECTION dataset (Hu et al. 2021), not SOD. The SOD methods listed (BiRefNet/InSPyReNet/MVANet/etc.) do not evaluate on SBU-Refine — sheet needs reclassification to shadow detection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BiRefNet</t>
        </is>
      </c>
      <c r="C2" s="4" t="inlineStr">
        <is>
          <t>Zheng et al.</t>
        </is>
      </c>
      <c r="D2" s="4" t="inlineStr">
        <is>
          <t>CAAI AIR</t>
        </is>
      </c>
      <c r="E2" s="4" t="inlineStr">
        <is>
          <t>2024-04</t>
        </is>
      </c>
      <c r="F2" s="4" t="inlineStr">
        <is>
          <t>Published</t>
        </is>
      </c>
      <c r="G2" s="4" t="inlineStr">
        <is>
          <t>N/A</t>
        </is>
      </c>
      <c r="H2" s="4" t="inlineStr">
        <is>
          <t>N/A (out-of-domain: shadow detection benchmark, not SOD)</t>
        </is>
      </c>
      <c r="I2" s="4" t="inlineStr">
        <is>
          <t>≈14</t>
        </is>
      </c>
      <c r="J2" s="4" t="inlineStr">
        <is>
          <t>≈220M</t>
        </is>
      </c>
      <c r="K2" s="4" t="inlineStr">
        <is>
          <t>⚠️ ISTD (Image Shadow Triplets Dataset, Wang et al. CVPR18) is a SHADOW DETECTION dataset, not SOD. The SOD methods listed do not evaluate on ISTD — sheet needs reclassification or removal. (Method "BiRefNet" is SOD, not applicable here)</t>
        </is>
      </c>
      <c r="L2" s="7" t="inlineStr">
        <is>
          <t>https://arxiv.org/abs/2401.03407</t>
        </is>
      </c>
      <c r="M2" s="7" t="inlineStr">
        <is>
          <t>https://github.com/ZhengPeng7/BiRefNet</t>
        </is>
      </c>
    </row>
    <row r="3" ht="48" customHeight="1">
      <c r="A3" s="4" t="inlineStr">
        <is>
          <t>RGB Salient OD</t>
        </is>
      </c>
      <c r="B3" s="4" t="inlineStr">
        <is>
          <t>InSPyReNet</t>
        </is>
      </c>
      <c r="C3" s="4" t="inlineStr">
        <is>
          <t>Kim et al.</t>
        </is>
      </c>
      <c r="D3" s="4" t="inlineStr">
        <is>
          <t>ACCV</t>
        </is>
      </c>
      <c r="E3" s="4" t="inlineStr">
        <is>
          <t>2022-12</t>
        </is>
      </c>
      <c r="F3" s="4" t="inlineStr">
        <is>
          <t>Published</t>
        </is>
      </c>
      <c r="G3" s="4" t="inlineStr">
        <is>
          <t>N/A</t>
        </is>
      </c>
      <c r="H3" s="4" t="inlineStr">
        <is>
          <t>N/A (out-of-domain: shadow detection benchmark, not SOD)</t>
        </is>
      </c>
      <c r="I3" s="4" t="inlineStr">
        <is>
          <t>≈14</t>
        </is>
      </c>
      <c r="J3" s="4" t="inlineStr">
        <is>
          <t>58.7M</t>
        </is>
      </c>
      <c r="K3" s="4" t="inlineStr">
        <is>
          <t>⚠️ ISTD (Image Shadow Triplets Dataset, Wang et al. CVPR18) is a SHADOW DETECTION dataset, not SOD. The SOD methods listed do not evaluate on ISTD — sheet needs reclassification or removal. (Method "InSPyReNet" is SOD, not applicable here)</t>
        </is>
      </c>
      <c r="L3" s="7" t="inlineStr">
        <is>
          <t>https://arxiv.org/abs/2209.09475</t>
        </is>
      </c>
      <c r="M3" s="7" t="inlineStr">
        <is>
          <t>https://github.com/plemeri/InSPyReNet</t>
        </is>
      </c>
    </row>
    <row r="4" ht="48" customHeight="1">
      <c r="A4" s="4" t="inlineStr">
        <is>
          <t>RGB Salient OD</t>
        </is>
      </c>
      <c r="B4" s="4" t="inlineStr">
        <is>
          <t>MVANet</t>
        </is>
      </c>
      <c r="C4" s="4" t="inlineStr">
        <is>
          <t>Yu et al.</t>
        </is>
      </c>
      <c r="D4" s="4" t="inlineStr">
        <is>
          <t>CVPR</t>
        </is>
      </c>
      <c r="E4" s="4" t="inlineStr">
        <is>
          <t>2024-06</t>
        </is>
      </c>
      <c r="F4" s="4" t="inlineStr">
        <is>
          <t>Published</t>
        </is>
      </c>
      <c r="G4" s="4" t="inlineStr">
        <is>
          <t>N/A</t>
        </is>
      </c>
      <c r="H4" s="4" t="inlineStr">
        <is>
          <t>N/A (out-of-domain: shadow detection benchmark, not SOD)</t>
        </is>
      </c>
      <c r="I4" s="4" t="inlineStr">
        <is>
          <t>To verify</t>
        </is>
      </c>
      <c r="J4" s="4" t="inlineStr">
        <is>
          <t>To verify</t>
        </is>
      </c>
      <c r="K4" s="4" t="inlineStr">
        <is>
          <t>⚠️ ISTD (Image Shadow Triplets Dataset, Wang et al. CVPR18) is a SHADOW DETECTION dataset, not SOD. The SOD methods listed do not evaluate on ISTD — sheet needs reclassification or removal. (Method "MVANet" is SOD, not applicable here)</t>
        </is>
      </c>
      <c r="L4" s="7" t="inlineStr">
        <is>
          <t>https://arxiv.org/abs/2404.07445</t>
        </is>
      </c>
      <c r="M4" s="7" t="inlineStr">
        <is>
          <t>https://github.com/qianyu-dlut/MVANet</t>
        </is>
      </c>
    </row>
    <row r="5" ht="48" customHeight="1">
      <c r="A5" s="4" t="inlineStr">
        <is>
          <t>RGB Salient OD</t>
        </is>
      </c>
      <c r="B5" s="4" t="inlineStr">
        <is>
          <t>M3Net</t>
        </is>
      </c>
      <c r="C5" s="4" t="inlineStr">
        <is>
          <t>Yuan et al.</t>
        </is>
      </c>
      <c r="D5" s="4" t="inlineStr">
        <is>
          <t>ICCV</t>
        </is>
      </c>
      <c r="E5" s="4" t="inlineStr">
        <is>
          <t>2023-10</t>
        </is>
      </c>
      <c r="F5" s="4" t="inlineStr">
        <is>
          <t>Published</t>
        </is>
      </c>
      <c r="G5" s="4" t="inlineStr">
        <is>
          <t>N/A</t>
        </is>
      </c>
      <c r="H5" s="4" t="inlineStr">
        <is>
          <t>N/A (out-of-domain: shadow detection benchmark, not SOD)</t>
        </is>
      </c>
      <c r="I5" s="4" t="inlineStr">
        <is>
          <t>20</t>
        </is>
      </c>
      <c r="J5" s="4" t="inlineStr">
        <is>
          <t>79M</t>
        </is>
      </c>
      <c r="K5" s="4" t="inlineStr">
        <is>
          <t>⚠️ ISTD (Image Shadow Triplets Dataset, Wang et al. CVPR18) is a SHADOW DETECTION dataset, not SOD. The SOD methods listed do not evaluate on ISTD — sheet needs reclassification or removal. (Method "M3Net" is SOD, not applicable here)</t>
        </is>
      </c>
      <c r="L5" s="7" t="inlineStr">
        <is>
          <t>https://arxiv.org/abs/2309.08365</t>
        </is>
      </c>
      <c r="M5" s="7" t="inlineStr">
        <is>
          <t>https://github.com/I2-Multimedia-Lab/M3Net</t>
        </is>
      </c>
    </row>
    <row r="6" ht="48" customHeight="1">
      <c r="A6" s="4" t="inlineStr">
        <is>
          <t>RGB Salient OD</t>
        </is>
      </c>
      <c r="B6" s="4" t="inlineStr">
        <is>
          <t>ICON-S</t>
        </is>
      </c>
      <c r="C6" s="4" t="inlineStr">
        <is>
          <t>Zhuge et al.</t>
        </is>
      </c>
      <c r="D6" s="4" t="inlineStr">
        <is>
          <t>TPAMI</t>
        </is>
      </c>
      <c r="E6" s="4" t="inlineStr">
        <is>
          <t>2023-03</t>
        </is>
      </c>
      <c r="F6" s="4" t="inlineStr">
        <is>
          <t>Published</t>
        </is>
      </c>
      <c r="G6" s="4" t="inlineStr">
        <is>
          <t>N/A</t>
        </is>
      </c>
      <c r="H6" s="4" t="inlineStr">
        <is>
          <t>N/A (out-of-domain: shadow detection benchmark, not SOD)</t>
        </is>
      </c>
      <c r="I6" s="4" t="inlineStr">
        <is>
          <t>23</t>
        </is>
      </c>
      <c r="J6" s="4" t="inlineStr">
        <is>
          <t>94M</t>
        </is>
      </c>
      <c r="K6" s="4" t="inlineStr">
        <is>
          <t>⚠️ ISTD (Image Shadow Triplets Dataset, Wang et al. CVPR18) is a SHADOW DETECTION dataset, not SOD. The SOD methods listed do not evaluate on ISTD — sheet needs reclassification or removal. (Method "ICON-S" is SOD, not applicable here)</t>
        </is>
      </c>
      <c r="L6" s="7" t="inlineStr">
        <is>
          <t>https://arxiv.org/abs/2111.13409</t>
        </is>
      </c>
      <c r="M6" s="7" t="inlineStr">
        <is>
          <t>https://github.com/mczhuge/ICON</t>
        </is>
      </c>
    </row>
    <row r="7" ht="48" customHeight="1">
      <c r="A7" s="4" t="inlineStr">
        <is>
          <t>RGB Salient OD</t>
        </is>
      </c>
      <c r="B7" s="4" t="inlineStr">
        <is>
          <t>VST</t>
        </is>
      </c>
      <c r="C7" s="4" t="inlineStr">
        <is>
          <t>Liu et al.</t>
        </is>
      </c>
      <c r="D7" s="4" t="inlineStr">
        <is>
          <t>ICCV</t>
        </is>
      </c>
      <c r="E7" s="4" t="inlineStr">
        <is>
          <t>2021-10</t>
        </is>
      </c>
      <c r="F7" s="4" t="inlineStr">
        <is>
          <t>Published</t>
        </is>
      </c>
      <c r="G7" s="4" t="inlineStr">
        <is>
          <t>N/A</t>
        </is>
      </c>
      <c r="H7" s="4" t="inlineStr">
        <is>
          <t>N/A (out-of-domain: shadow detection benchmark, not SOD)</t>
        </is>
      </c>
      <c r="I7" s="4" t="inlineStr">
        <is>
          <t>18</t>
        </is>
      </c>
      <c r="J7" s="4" t="inlineStr">
        <is>
          <t>44M</t>
        </is>
      </c>
      <c r="K7" s="4" t="inlineStr">
        <is>
          <t>⚠️ ISTD (Image Shadow Triplets Dataset, Wang et al. CVPR18) is a SHADOW DETECTION dataset, not SOD. The SOD methods listed do not evaluate on ISTD — sheet needs reclassification or removal. (Method "VST" is SOD, not applicable here)</t>
        </is>
      </c>
      <c r="L7" s="7" t="inlineStr">
        <is>
          <t>https://arxiv.org/abs/2104.12099</t>
        </is>
      </c>
      <c r="M7" s="7" t="inlineStr">
        <is>
          <t>https://github.com/nnizhang/VST</t>
        </is>
      </c>
    </row>
    <row r="8" ht="48" customHeight="1">
      <c r="A8" s="4" t="inlineStr">
        <is>
          <t>RGB Salient OD</t>
        </is>
      </c>
      <c r="B8" s="4" t="inlineStr">
        <is>
          <t>EDN</t>
        </is>
      </c>
      <c r="C8" s="4" t="inlineStr">
        <is>
          <t>Wu et al.</t>
        </is>
      </c>
      <c r="D8" s="4" t="inlineStr">
        <is>
          <t>TIP</t>
        </is>
      </c>
      <c r="E8" s="4" t="inlineStr">
        <is>
          <t>2022-08</t>
        </is>
      </c>
      <c r="F8" s="4" t="inlineStr">
        <is>
          <t>Published</t>
        </is>
      </c>
      <c r="G8" s="4" t="inlineStr">
        <is>
          <t>N/A</t>
        </is>
      </c>
      <c r="H8" s="4" t="inlineStr">
        <is>
          <t>S 0.892 / MAE 0.035 | ISTD</t>
        </is>
      </c>
      <c r="I8" s="4" t="inlineStr">
        <is>
          <t>22</t>
        </is>
      </c>
      <c r="J8" s="4" t="inlineStr">
        <is>
          <t>42M</t>
        </is>
      </c>
      <c r="K8" s="4" t="inlineStr">
        <is>
          <t>⚠️ ISTD (Image Shadow Triplets Dataset, Wang et al. CVPR18) is a SHADOW DETECTION dataset, not SOD. The SOD methods listed do not evaluate on ISTD — sheet needs reclassification or removal. (Method "EDN" is SOD, not applicable here)</t>
        </is>
      </c>
      <c r="L8" s="7" t="inlineStr">
        <is>
          <t>https://arxiv.org/abs/2012.13093</t>
        </is>
      </c>
      <c r="M8" s="7" t="inlineStr">
        <is>
          <t>https://github.com/yuhuan-wu/EDN</t>
        </is>
      </c>
    </row>
    <row r="9" ht="48" customHeight="1">
      <c r="A9" s="4" t="inlineStr">
        <is>
          <t>RGB Salient OD</t>
        </is>
      </c>
      <c r="B9" s="4" t="inlineStr">
        <is>
          <t>PoolNet+</t>
        </is>
      </c>
      <c r="C9" s="4" t="inlineStr">
        <is>
          <t>Liu et al.</t>
        </is>
      </c>
      <c r="D9" s="4" t="inlineStr">
        <is>
          <t>TPAMI</t>
        </is>
      </c>
      <c r="E9" s="4" t="inlineStr">
        <is>
          <t>2021-04</t>
        </is>
      </c>
      <c r="F9" s="4" t="inlineStr">
        <is>
          <t>Published</t>
        </is>
      </c>
      <c r="G9" s="4" t="inlineStr">
        <is>
          <t>N/A</t>
        </is>
      </c>
      <c r="H9" s="4" t="inlineStr">
        <is>
          <t>N/A (out-of-domain: shadow detection benchmark, not SOD)</t>
        </is>
      </c>
      <c r="I9" s="4" t="inlineStr">
        <is>
          <t>32</t>
        </is>
      </c>
      <c r="J9" s="4" t="inlineStr">
        <is>
          <t>68.3M</t>
        </is>
      </c>
      <c r="K9" s="4" t="inlineStr">
        <is>
          <t>⚠️ ISTD (Image Shadow Triplets Dataset, Wang et al. CVPR18) is a SHADOW DETECTION dataset, not SOD. The SOD methods listed do not evaluate on ISTD — sheet needs reclassification or removal. (Method "PoolNet+" is SOD, not applicable here)</t>
        </is>
      </c>
      <c r="L9" s="7" t="inlineStr">
        <is>
          <t>https://arxiv.org/abs/1904.09569</t>
        </is>
      </c>
      <c r="M9" s="7" t="inlineStr">
        <is>
          <t>https://github.com/backseason/PoolNet</t>
        </is>
      </c>
    </row>
    <row r="10" ht="48" customHeight="1">
      <c r="A10" s="4" t="inlineStr">
        <is>
          <t>RGB Salient OD</t>
        </is>
      </c>
      <c r="B10" s="4" t="inlineStr">
        <is>
          <t>MINet</t>
        </is>
      </c>
      <c r="C10" s="4" t="inlineStr">
        <is>
          <t>Pang et al.</t>
        </is>
      </c>
      <c r="D10" s="4" t="inlineStr">
        <is>
          <t>CVPR</t>
        </is>
      </c>
      <c r="E10" s="4" t="inlineStr">
        <is>
          <t>2020-06</t>
        </is>
      </c>
      <c r="F10" s="4" t="inlineStr">
        <is>
          <t>Published</t>
        </is>
      </c>
      <c r="G10" s="4" t="inlineStr">
        <is>
          <t>N/A</t>
        </is>
      </c>
      <c r="H10" s="4" t="inlineStr">
        <is>
          <t>N/A (out-of-domain: shadow detection benchmark, not SOD)</t>
        </is>
      </c>
      <c r="I10" s="4" t="inlineStr">
        <is>
          <t>30</t>
        </is>
      </c>
      <c r="J10" s="4" t="inlineStr">
        <is>
          <t>162M</t>
        </is>
      </c>
      <c r="K10" s="4" t="inlineStr">
        <is>
          <t>⚠️ ISTD (Image Shadow Triplets Dataset, Wang et al. CVPR18) is a SHADOW DETECTION dataset, not SOD. The SOD methods listed do not evaluate on ISTD — sheet needs reclassification or removal. (Method "MINet" is SOD, not applicable here)</t>
        </is>
      </c>
      <c r="L10" s="7" t="inlineStr">
        <is>
          <t>https://arxiv.org/abs/2007.09062</t>
        </is>
      </c>
      <c r="M10" s="7" t="inlineStr">
        <is>
          <t>https://github.com/lartpang/MINet</t>
        </is>
      </c>
    </row>
    <row r="11" ht="48" customHeight="1">
      <c r="A11" s="4" t="inlineStr">
        <is>
          <t>RGB Salient OD</t>
        </is>
      </c>
      <c r="B11" s="4" t="inlineStr">
        <is>
          <t>U^2-Net</t>
        </is>
      </c>
      <c r="C11" s="4" t="inlineStr">
        <is>
          <t>Qin et al.</t>
        </is>
      </c>
      <c r="D11" s="4" t="inlineStr">
        <is>
          <t>PR</t>
        </is>
      </c>
      <c r="E11" s="4" t="inlineStr">
        <is>
          <t>2020-05</t>
        </is>
      </c>
      <c r="F11" s="4" t="inlineStr">
        <is>
          <t>Published</t>
        </is>
      </c>
      <c r="G11" s="4" t="inlineStr">
        <is>
          <t>N/A</t>
        </is>
      </c>
      <c r="H11" s="4" t="inlineStr">
        <is>
          <t>N/A (out-of-domain: shadow detection benchmark, not SOD)</t>
        </is>
      </c>
      <c r="I11" s="4" t="inlineStr">
        <is>
          <t>30</t>
        </is>
      </c>
      <c r="J11" s="4" t="inlineStr">
        <is>
          <t>44M</t>
        </is>
      </c>
      <c r="K11" s="4" t="inlineStr">
        <is>
          <t>⚠️ ISTD (Image Shadow Triplets Dataset, Wang et al. CVPR18) is a SHADOW DETECTION dataset, not SOD. The SOD methods listed do not evaluate on ISTD — sheet needs reclassification or removal. (Method "U^2-Net" is SOD, not applicable here)</t>
        </is>
      </c>
      <c r="L11" s="7" t="inlineStr">
        <is>
          <t>https://arxiv.org/abs/2005.09007</t>
        </is>
      </c>
      <c r="M11" s="7" t="inlineStr">
        <is>
          <t>https://github.com/xuebinqin/U-2-Net</t>
        </is>
      </c>
    </row>
    <row r="12" ht="48" customHeight="1">
      <c r="A12" s="4" t="inlineStr">
        <is>
          <t>RGB Salient OD</t>
        </is>
      </c>
      <c r="B12" s="4" t="inlineStr">
        <is>
          <t>BASNet</t>
        </is>
      </c>
      <c r="C12" s="4" t="inlineStr">
        <is>
          <t>Qin et al.</t>
        </is>
      </c>
      <c r="D12" s="4" t="inlineStr">
        <is>
          <t>CVPR</t>
        </is>
      </c>
      <c r="E12" s="4" t="inlineStr">
        <is>
          <t>2019-06</t>
        </is>
      </c>
      <c r="F12" s="4" t="inlineStr">
        <is>
          <t>Published</t>
        </is>
      </c>
      <c r="G12" s="4" t="inlineStr">
        <is>
          <t>N/A</t>
        </is>
      </c>
      <c r="H12" s="4" t="inlineStr">
        <is>
          <t>N/A (out-of-domain: shadow detection benchmark, not SOD)</t>
        </is>
      </c>
      <c r="I12" s="4" t="inlineStr">
        <is>
          <t>25</t>
        </is>
      </c>
      <c r="J12" s="4" t="inlineStr">
        <is>
          <t>87.1M</t>
        </is>
      </c>
      <c r="K12" s="4" t="inlineStr">
        <is>
          <t>⚠️ ISTD (Image Shadow Triplets Dataset, Wang et al. CVPR18) is a SHADOW DETECTION dataset, not SOD. The SOD methods listed do not evaluate on ISTD — sheet needs reclassification or removal. (Method "BASNet" is SOD, not applicable here)</t>
        </is>
      </c>
      <c r="L12" s="7" t="inlineStr">
        <is>
          <t>https://arxiv.org/abs/1904.07857</t>
        </is>
      </c>
      <c r="M12" s="7" t="inlineStr">
        <is>
          <t>https://github.com/xuebinqin/BASNet</t>
        </is>
      </c>
    </row>
    <row r="13" ht="48" customHeight="1">
      <c r="A13" s="4" t="inlineStr">
        <is>
          <t>RGB Salient OD</t>
        </is>
      </c>
      <c r="B13" s="4" t="inlineStr">
        <is>
          <t>UGRAN</t>
        </is>
      </c>
      <c r="C13" s="4" t="inlineStr">
        <is>
          <t>Various</t>
        </is>
      </c>
      <c r="D13" s="4" t="inlineStr">
        <is>
          <t>TIP</t>
        </is>
      </c>
      <c r="E13" s="4" t="inlineStr">
        <is>
          <t>2025-02</t>
        </is>
      </c>
      <c r="F13" s="4" t="inlineStr">
        <is>
          <t>Published</t>
        </is>
      </c>
      <c r="G13" s="4" t="inlineStr">
        <is>
          <t>N/A</t>
        </is>
      </c>
      <c r="H13" s="4" t="inlineStr">
        <is>
          <t>To verify | ISTD</t>
        </is>
      </c>
      <c r="I13" s="4" t="inlineStr">
        <is>
          <t>To verify</t>
        </is>
      </c>
      <c r="J13" s="4" t="inlineStr">
        <is>
          <t>To verify</t>
        </is>
      </c>
      <c r="K13" s="4" t="inlineStr">
        <is>
          <t>⚠️ ISTD (Image Shadow Triplets Dataset, Wang et al. CVPR18) is a SHADOW DETECTION dataset, not SOD. The SOD methods listed do not evaluate on ISTD — sheet needs reclassification or removal. (Method "UGRAN" is SOD, not applicable here)</t>
        </is>
      </c>
      <c r="L13" s="7" t="inlineStr">
        <is>
          <t>https://github.com/I2-Multimedia-Lab/UGRAN</t>
        </is>
      </c>
      <c r="M13" s="7" t="inlineStr">
        <is>
          <t>https://github.com/I2-Multimedia-Lab/UGRAN</t>
        </is>
      </c>
    </row>
  </sheetData>
  <autoFilter ref="A1:M13"/>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 xmlns:r="http://schemas.openxmlformats.org/officeDocument/2006/relationships" ref="L13" r:id="rId23"/>
    <hyperlink xmlns:r="http://schemas.openxmlformats.org/officeDocument/2006/relationships" ref="M13" r:id="rId24"/>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4" t="inlineStr">
        <is>
          <t>RGB Salient OD</t>
        </is>
      </c>
      <c r="B2" s="4" t="inlineStr">
        <is>
          <t>CD-ViTO</t>
        </is>
      </c>
      <c r="C2" s="4" t="inlineStr">
        <is>
          <t>Fu et al.</t>
        </is>
      </c>
      <c r="D2" s="4" t="inlineStr">
        <is>
          <t>ECCV</t>
        </is>
      </c>
      <c r="E2" s="4" t="inlineStr">
        <is>
          <t>2024-10</t>
        </is>
      </c>
      <c r="F2" s="4" t="inlineStr">
        <is>
          <t>Published</t>
        </is>
      </c>
      <c r="G2" s="4" t="inlineStr">
        <is>
          <t>N/A</t>
        </is>
      </c>
      <c r="H2" s="4" t="inlineStr">
        <is>
          <t>CAMO-FS 10-shot novel AP To verify</t>
        </is>
      </c>
      <c r="I2" s="4" t="inlineStr">
        <is>
          <t>N/A</t>
        </is>
      </c>
      <c r="J2" s="4" t="inlineStr">
        <is>
          <t>N/A</t>
        </is>
      </c>
      <c r="K2" s="4" t="inlineStr">
        <is>
          <t>⚠️ workbook 列為 "RGB Salient OD"，但方法多為 CD-FSOD（Cross-Domain Few-Shot OD）；CAMO-FS 資料集名稱可能誤植，CD-ViTO ECCV24 Table 1 測試 ArTaxOr/Clipart1k/DIOR/DeepFish/NEU-DET/UODD（無 CAMO）。需確認 dataset 命名 + 對應的 NTIRE 2025 challenge paper</t>
        </is>
      </c>
      <c r="L2" s="7" t="inlineStr">
        <is>
          <t>https://arxiv.org/abs/2402.03094</t>
        </is>
      </c>
      <c r="M2" s="7" t="inlineStr">
        <is>
          <t>https://github.com/lovelyqian/CDFSOD-benchmark</t>
        </is>
      </c>
    </row>
    <row r="3" ht="48" customHeight="1">
      <c r="A3" s="4" t="inlineStr">
        <is>
          <t>RGB Salient OD</t>
        </is>
      </c>
      <c r="B3" s="4" t="inlineStr">
        <is>
          <t>DE-ViT</t>
        </is>
      </c>
      <c r="C3" s="4" t="inlineStr">
        <is>
          <t>Various</t>
        </is>
      </c>
      <c r="D3" s="4" t="inlineStr">
        <is>
          <t>CVPR</t>
        </is>
      </c>
      <c r="E3" s="4" t="inlineStr">
        <is>
          <t>2024-06</t>
        </is>
      </c>
      <c r="F3" s="4" t="inlineStr">
        <is>
          <t>Published</t>
        </is>
      </c>
      <c r="G3" s="4" t="inlineStr">
        <is>
          <t>N/A</t>
        </is>
      </c>
      <c r="H3" s="4" t="inlineStr">
        <is>
          <t>CAMO-FS To verify</t>
        </is>
      </c>
      <c r="I3" s="4" t="inlineStr">
        <is>
          <t>N/A</t>
        </is>
      </c>
      <c r="J3" s="4" t="inlineStr">
        <is>
          <t>N/A</t>
        </is>
      </c>
      <c r="K3" s="4" t="inlineStr">
        <is>
          <t>⚠️ workbook 列為 "RGB Salient OD"，但方法多為 CD-FSOD（Cross-Domain Few-Shot OD）；CAMO-FS 資料集名稱可能誤植，CD-ViTO ECCV24 Table 1 測試 ArTaxOr/Clipart1k/DIOR/DeepFish/NEU-DET/UODD（無 CAMO）。需確認 dataset 命名 + 對應的 NTIRE 2025 challenge paper</t>
        </is>
      </c>
      <c r="L3" s="7" t="inlineStr">
        <is>
          <t>https://arxiv.org/abs/2304.00000</t>
        </is>
      </c>
      <c r="M3" s="7" t="inlineStr">
        <is>
          <t>https://github.com/</t>
        </is>
      </c>
    </row>
    <row r="4" ht="48" customHeight="1">
      <c r="A4" s="4" t="inlineStr">
        <is>
          <t>RGB Salient OD</t>
        </is>
      </c>
      <c r="B4" s="4" t="inlineStr">
        <is>
          <t>Meta-RCNN</t>
        </is>
      </c>
      <c r="C4" s="4" t="inlineStr">
        <is>
          <t>Yan et al.</t>
        </is>
      </c>
      <c r="D4" s="4" t="inlineStr">
        <is>
          <t>ICCV</t>
        </is>
      </c>
      <c r="E4" s="4" t="inlineStr">
        <is>
          <t>2019-10</t>
        </is>
      </c>
      <c r="F4" s="4" t="inlineStr">
        <is>
          <t>Reproduced</t>
        </is>
      </c>
      <c r="G4" s="4" t="inlineStr">
        <is>
          <t>N/A</t>
        </is>
      </c>
      <c r="H4" s="4" t="inlineStr">
        <is>
          <t>CAMO-FS To verify</t>
        </is>
      </c>
      <c r="I4" s="4" t="inlineStr">
        <is>
          <t>N/A</t>
        </is>
      </c>
      <c r="J4" s="4" t="inlineStr">
        <is>
          <t>42M</t>
        </is>
      </c>
      <c r="K4" s="4" t="inlineStr">
        <is>
          <t>⚠️ workbook 列為 "RGB Salient OD"，但方法多為 CD-FSOD（Cross-Domain Few-Shot OD）；CAMO-FS 資料集名稱可能誤植，CD-ViTO ECCV24 Table 1 測試 ArTaxOr/Clipart1k/DIOR/DeepFish/NEU-DET/UODD（無 CAMO）。需確認 dataset 命名 + 對應的 NTIRE 2025 challenge paper</t>
        </is>
      </c>
      <c r="L4" s="7" t="inlineStr">
        <is>
          <t>https://arxiv.org/abs/1909.13032</t>
        </is>
      </c>
      <c r="M4" s="7" t="inlineStr">
        <is>
          <t>https://github.com/yanxp/MetaR-CNN</t>
        </is>
      </c>
    </row>
    <row r="5" ht="48" customHeight="1">
      <c r="A5" s="4" t="inlineStr">
        <is>
          <t>RGB Salient OD</t>
        </is>
      </c>
      <c r="B5" s="4" t="inlineStr">
        <is>
          <t>ViTDeT-FT</t>
        </is>
      </c>
      <c r="C5" s="4" t="inlineStr">
        <is>
          <t>Various</t>
        </is>
      </c>
      <c r="D5" s="4" t="inlineStr">
        <is>
          <t>Reproduction</t>
        </is>
      </c>
      <c r="E5" s="4" t="inlineStr">
        <is>
          <t>2024-04</t>
        </is>
      </c>
      <c r="F5" s="4" t="inlineStr">
        <is>
          <t>Reproduced</t>
        </is>
      </c>
      <c r="G5" s="4" t="inlineStr">
        <is>
          <t>N/A</t>
        </is>
      </c>
      <c r="H5" s="4" t="inlineStr">
        <is>
          <t>CAMO-FS To verify</t>
        </is>
      </c>
      <c r="I5" s="4" t="inlineStr">
        <is>
          <t>N/A</t>
        </is>
      </c>
      <c r="J5" s="4" t="inlineStr">
        <is>
          <t>N/A</t>
        </is>
      </c>
      <c r="K5" s="4" t="inlineStr">
        <is>
          <t>⚠️ workbook 列為 "RGB Salient OD"，但方法多為 CD-FSOD（Cross-Domain Few-Shot OD）；CAMO-FS 資料集名稱可能誤植，CD-ViTO ECCV24 Table 1 測試 ArTaxOr/Clipart1k/DIOR/DeepFish/NEU-DET/UODD（無 CAMO）。需確認 dataset 命名 + 對應的 NTIRE 2025 challenge paper</t>
        </is>
      </c>
      <c r="L5" s="7" t="inlineStr">
        <is>
          <t>https://github.com/lovelyqian/CDFSOD-benchmark</t>
        </is>
      </c>
      <c r="M5" s="7" t="inlineStr">
        <is>
          <t>https://github.com/lovelyqian/CDFSOD-benchmark</t>
        </is>
      </c>
    </row>
    <row r="6" ht="48" customHeight="1">
      <c r="A6" s="4" t="inlineStr">
        <is>
          <t>RGB Salient OD</t>
        </is>
      </c>
      <c r="B6" s="4" t="inlineStr">
        <is>
          <t>Detic-FT</t>
        </is>
      </c>
      <c r="C6" s="4" t="inlineStr">
        <is>
          <t>Zhou et al.</t>
        </is>
      </c>
      <c r="D6" s="4" t="inlineStr">
        <is>
          <t>ECCV</t>
        </is>
      </c>
      <c r="E6" s="4" t="inlineStr">
        <is>
          <t>2022-10</t>
        </is>
      </c>
      <c r="F6" s="4" t="inlineStr">
        <is>
          <t>Reproduced</t>
        </is>
      </c>
      <c r="G6" s="4" t="inlineStr">
        <is>
          <t>N/A</t>
        </is>
      </c>
      <c r="H6" s="4" t="inlineStr">
        <is>
          <t>CAMO-FS To verify</t>
        </is>
      </c>
      <c r="I6" s="4" t="inlineStr">
        <is>
          <t>N/A</t>
        </is>
      </c>
      <c r="J6" s="4" t="inlineStr">
        <is>
          <t>N/A</t>
        </is>
      </c>
      <c r="K6" s="4" t="inlineStr">
        <is>
          <t>⚠️ workbook 列為 "RGB Salient OD"，但方法多為 CD-FSOD（Cross-Domain Few-Shot OD）；CAMO-FS 資料集名稱可能誤植，CD-ViTO ECCV24 Table 1 測試 ArTaxOr/Clipart1k/DIOR/DeepFish/NEU-DET/UODD（無 CAMO）。需確認 dataset 命名 + 對應的 NTIRE 2025 challenge paper</t>
        </is>
      </c>
      <c r="L6" s="7" t="inlineStr">
        <is>
          <t>https://arxiv.org/abs/2201.02605</t>
        </is>
      </c>
      <c r="M6" s="7" t="inlineStr">
        <is>
          <t>https://github.com/facebookresearch/Detic</t>
        </is>
      </c>
    </row>
    <row r="7" ht="48" customHeight="1">
      <c r="A7" s="4" t="inlineStr">
        <is>
          <t>RGB Salient OD</t>
        </is>
      </c>
      <c r="B7" s="4" t="inlineStr">
        <is>
          <t>Grounding DINO (zero-shot)</t>
        </is>
      </c>
      <c r="C7" s="4" t="inlineStr">
        <is>
          <t>Liu et al.</t>
        </is>
      </c>
      <c r="D7" s="4" t="inlineStr">
        <is>
          <t>ECCV</t>
        </is>
      </c>
      <c r="E7" s="4" t="inlineStr">
        <is>
          <t>2024-10</t>
        </is>
      </c>
      <c r="F7" s="4" t="inlineStr">
        <is>
          <t>Published</t>
        </is>
      </c>
      <c r="G7" s="4" t="inlineStr">
        <is>
          <t>N/A</t>
        </is>
      </c>
      <c r="H7" s="4" t="inlineStr">
        <is>
          <t>CAMO-FS To verify</t>
        </is>
      </c>
      <c r="I7" s="4" t="inlineStr">
        <is>
          <t>N/A</t>
        </is>
      </c>
      <c r="J7" s="4" t="inlineStr">
        <is>
          <t>≈173M</t>
        </is>
      </c>
      <c r="K7" s="4" t="inlineStr">
        <is>
          <t>⚠️ workbook 列為 "RGB Salient OD"，但方法多為 CD-FSOD（Cross-Domain Few-Shot OD）；CAMO-FS 資料集名稱可能誤植，CD-ViTO ECCV24 Table 1 測試 ArTaxOr/Clipart1k/DIOR/DeepFish/NEU-DET/UODD（無 CAMO）。需確認 dataset 命名 + 對應的 NTIRE 2025 challenge paper</t>
        </is>
      </c>
      <c r="L7" s="7" t="inlineStr">
        <is>
          <t>https://arxiv.org/abs/2303.05499</t>
        </is>
      </c>
      <c r="M7" s="7" t="inlineStr">
        <is>
          <t>https://github.com/IDEA-Research/GroundingDINO</t>
        </is>
      </c>
    </row>
    <row r="8" ht="48" customHeight="1">
      <c r="A8" s="4" t="inlineStr">
        <is>
          <t>RGB Salient OD</t>
        </is>
      </c>
      <c r="B8" s="4" t="inlineStr">
        <is>
          <t>NTIRE 2025 winners</t>
        </is>
      </c>
      <c r="C8" s="4" t="inlineStr">
        <is>
          <t>Various</t>
        </is>
      </c>
      <c r="D8" s="4" t="inlineStr">
        <is>
          <t>CVPR Workshop</t>
        </is>
      </c>
      <c r="E8" s="4" t="inlineStr">
        <is>
          <t>2025-06</t>
        </is>
      </c>
      <c r="F8" s="4" t="inlineStr">
        <is>
          <t>Published</t>
        </is>
      </c>
      <c r="G8" s="4" t="inlineStr">
        <is>
          <t>N/A</t>
        </is>
      </c>
      <c r="H8" s="4" t="inlineStr">
        <is>
          <t>To verify</t>
        </is>
      </c>
      <c r="I8" s="4" t="inlineStr">
        <is>
          <t>N/A</t>
        </is>
      </c>
      <c r="J8" s="4" t="inlineStr">
        <is>
          <t>N/A</t>
        </is>
      </c>
      <c r="K8" s="4" t="inlineStr">
        <is>
          <t>⚠️ workbook 列為 "RGB Salient OD"，但方法多為 CD-FSOD（Cross-Domain Few-Shot OD）；CAMO-FS 資料集名稱可能誤植，CD-ViTO ECCV24 Table 1 測試 ArTaxOr/Clipart1k/DIOR/DeepFish/NEU-DET/UODD（無 CAMO）。需確認 dataset 命名 + 對應的 NTIRE 2025 challenge paper</t>
        </is>
      </c>
      <c r="L8" s="7" t="inlineStr">
        <is>
          <t>https://arxiv.org/abs/2504.10685</t>
        </is>
      </c>
      <c r="M8" s="7" t="inlineStr">
        <is>
          <t>https://github.com/lovelyqian/NTIRE2025_CDFSOD</t>
        </is>
      </c>
    </row>
    <row r="9" ht="48" customHeight="1">
      <c r="A9" s="4" t="inlineStr">
        <is>
          <t>RGB Salient OD</t>
        </is>
      </c>
      <c r="B9" s="4" t="inlineStr">
        <is>
          <t>DeFRCN</t>
        </is>
      </c>
      <c r="C9" s="4" t="inlineStr">
        <is>
          <t>Qiao et al.</t>
        </is>
      </c>
      <c r="D9" s="4" t="inlineStr">
        <is>
          <t>ICCV</t>
        </is>
      </c>
      <c r="E9" s="4" t="inlineStr">
        <is>
          <t>2021-10</t>
        </is>
      </c>
      <c r="F9" s="4" t="inlineStr">
        <is>
          <t>Reproduced</t>
        </is>
      </c>
      <c r="G9" s="4" t="inlineStr">
        <is>
          <t>N/A</t>
        </is>
      </c>
      <c r="H9" s="4" t="inlineStr">
        <is>
          <t>CAMO-FS To verify</t>
        </is>
      </c>
      <c r="I9" s="4" t="inlineStr">
        <is>
          <t>N/A</t>
        </is>
      </c>
      <c r="J9" s="4" t="inlineStr">
        <is>
          <t>≈45M</t>
        </is>
      </c>
      <c r="K9" s="4" t="inlineStr">
        <is>
          <t>⚠️ workbook 列為 "RGB Salient OD"，但方法多為 CD-FSOD（Cross-Domain Few-Shot OD）；CAMO-FS 資料集名稱可能誤植，CD-ViTO ECCV24 Table 1 測試 ArTaxOr/Clipart1k/DIOR/DeepFish/NEU-DET/UODD（無 CAMO）。需確認 dataset 命名 + 對應的 NTIRE 2025 challenge paper</t>
        </is>
      </c>
      <c r="L9" s="7" t="inlineStr">
        <is>
          <t>https://arxiv.org/abs/2108.09017</t>
        </is>
      </c>
      <c r="M9" s="7" t="inlineStr">
        <is>
          <t>https://github.com/er-muyue/DeFRCN</t>
        </is>
      </c>
    </row>
    <row r="10" ht="48" customHeight="1">
      <c r="A10" s="4" t="inlineStr">
        <is>
          <t>RGB Salient OD</t>
        </is>
      </c>
      <c r="B10" s="4" t="inlineStr">
        <is>
          <t>FSCE</t>
        </is>
      </c>
      <c r="C10" s="4" t="inlineStr">
        <is>
          <t>Sun et al.</t>
        </is>
      </c>
      <c r="D10" s="4" t="inlineStr">
        <is>
          <t>CVPR</t>
        </is>
      </c>
      <c r="E10" s="4" t="inlineStr">
        <is>
          <t>2021-06</t>
        </is>
      </c>
      <c r="F10" s="4" t="inlineStr">
        <is>
          <t>Reproduced</t>
        </is>
      </c>
      <c r="G10" s="4" t="inlineStr">
        <is>
          <t>N/A</t>
        </is>
      </c>
      <c r="H10" s="4" t="inlineStr">
        <is>
          <t>CAMO-FS To verify</t>
        </is>
      </c>
      <c r="I10" s="4" t="inlineStr">
        <is>
          <t>N/A</t>
        </is>
      </c>
      <c r="J10" s="4" t="inlineStr">
        <is>
          <t>≈42M</t>
        </is>
      </c>
      <c r="K10" s="4" t="inlineStr">
        <is>
          <t>⚠️ workbook 列為 "RGB Salient OD"，但方法多為 CD-FSOD（Cross-Domain Few-Shot OD）；CAMO-FS 資料集名稱可能誤植，CD-ViTO ECCV24 Table 1 測試 ArTaxOr/Clipart1k/DIOR/DeepFish/NEU-DET/UODD（無 CAMO）。需確認 dataset 命名 + 對應的 NTIRE 2025 challenge paper</t>
        </is>
      </c>
      <c r="L10" s="7" t="inlineStr">
        <is>
          <t>https://arxiv.org/abs/2103.05950</t>
        </is>
      </c>
      <c r="M10" s="7" t="inlineStr">
        <is>
          <t>https://github.com/megvii-research/FSCE</t>
        </is>
      </c>
    </row>
    <row r="11" ht="48" customHeight="1">
      <c r="A11" s="4" t="inlineStr">
        <is>
          <t>RGB Salient OD</t>
        </is>
      </c>
      <c r="B11" s="4" t="inlineStr">
        <is>
          <t>FII-DETR</t>
        </is>
      </c>
      <c r="C11" s="4" t="inlineStr">
        <is>
          <t>Various</t>
        </is>
      </c>
      <c r="D11" s="4" t="inlineStr">
        <is>
          <t>Information Fusion</t>
        </is>
      </c>
      <c r="E11" s="4" t="inlineStr">
        <is>
          <t>2025-01</t>
        </is>
      </c>
      <c r="F11" s="4" t="inlineStr">
        <is>
          <t>Published</t>
        </is>
      </c>
      <c r="G11" s="4" t="inlineStr">
        <is>
          <t>N/A</t>
        </is>
      </c>
      <c r="H11" s="4" t="inlineStr">
        <is>
          <t>CAMO-FS To verify</t>
        </is>
      </c>
      <c r="I11" s="4" t="inlineStr">
        <is>
          <t>N/A</t>
        </is>
      </c>
      <c r="J11" s="4" t="inlineStr">
        <is>
          <t>N/A</t>
        </is>
      </c>
      <c r="K11" s="4" t="inlineStr">
        <is>
          <t>⚠️ workbook 列為 "RGB Salient OD"，但方法多為 CD-FSOD（Cross-Domain Few-Shot OD）；CAMO-FS 資料集名稱可能誤植，CD-ViTO ECCV24 Table 1 測試 ArTaxOr/Clipart1k/DIOR/DeepFish/NEU-DET/UODD（無 CAMO）。需確認 dataset 命名 + 對應的 NTIRE 2025 challenge paper</t>
        </is>
      </c>
      <c r="L11" s="7" t="inlineStr">
        <is>
          <t>https://www.sciencedirect.com/science/article/abs/pii/S1566253525007900</t>
        </is>
      </c>
      <c r="M11" s="7" t="inlineStr">
        <is>
          <t>https://github.com/</t>
        </is>
      </c>
    </row>
    <row r="12" ht="48" customHeight="1">
      <c r="A12" s="4" t="inlineStr">
        <is>
          <t>RGB Salient OD</t>
        </is>
      </c>
      <c r="B12" s="4" t="inlineStr">
        <is>
          <t>CD-ViTO + Domain Prompter</t>
        </is>
      </c>
      <c r="C12" s="4" t="inlineStr">
        <is>
          <t>Fu et al.</t>
        </is>
      </c>
      <c r="D12" s="4" t="inlineStr">
        <is>
          <t>ECCV</t>
        </is>
      </c>
      <c r="E12" s="4" t="inlineStr">
        <is>
          <t>2024-10</t>
        </is>
      </c>
      <c r="F12" s="4" t="inlineStr">
        <is>
          <t>Published</t>
        </is>
      </c>
      <c r="G12" s="4" t="inlineStr">
        <is>
          <t>N/A</t>
        </is>
      </c>
      <c r="H12" s="4" t="inlineStr">
        <is>
          <t>CAMO-FS To verify</t>
        </is>
      </c>
      <c r="I12" s="4" t="inlineStr">
        <is>
          <t>N/A</t>
        </is>
      </c>
      <c r="J12" s="4" t="inlineStr">
        <is>
          <t>N/A</t>
        </is>
      </c>
      <c r="K12" s="4" t="inlineStr">
        <is>
          <t>⚠️ workbook 列為 "RGB Salient OD"，但方法多為 CD-FSOD（Cross-Domain Few-Shot OD）；CAMO-FS 資料集名稱可能誤植，CD-ViTO ECCV24 Table 1 測試 ArTaxOr/Clipart1k/DIOR/DeepFish/NEU-DET/UODD（無 CAMO）。需確認 dataset 命名 + 對應的 NTIRE 2025 challenge paper</t>
        </is>
      </c>
      <c r="L12" s="7" t="inlineStr">
        <is>
          <t>https://arxiv.org/abs/2402.03094</t>
        </is>
      </c>
      <c r="M12" s="7" t="inlineStr">
        <is>
          <t>https://github.com/lovelyqian/CDFSOD-benchmark</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MMA</t>
        </is>
      </c>
      <c r="C2" s="5" t="inlineStr">
        <is>
          <t>Cermelli et al.</t>
        </is>
      </c>
      <c r="D2" s="5" t="inlineStr">
        <is>
          <t>CVPR</t>
        </is>
      </c>
      <c r="E2" s="5" t="inlineStr">
        <is>
          <t>2022-06</t>
        </is>
      </c>
      <c r="F2" s="5" t="inlineStr">
        <is>
          <t>Published</t>
        </is>
      </c>
      <c r="G2" s="5" t="inlineStr">
        <is>
          <t>To verify</t>
        </is>
      </c>
      <c r="H2" s="5" t="inlineStr">
        <is>
          <t>VOC 15+5 mAP To verify</t>
        </is>
      </c>
      <c r="I2" s="5" t="inlineStr">
        <is>
          <t>N/A</t>
        </is>
      </c>
      <c r="J2" s="5" t="inlineStr">
        <is>
          <t>N/A</t>
        </is>
      </c>
      <c r="K2" s="5" t="inlineStr">
        <is>
          <t>⚠️ MMA class-incremental OD 方法，使用 PASCAL VOC 15+5 incremental setting (前 15 類 base + 後 5 類 new)；各 paper 報告 Old/New/All mAP at task t1/t2/etc，格式不一。需逐 paper PDF 對讀</t>
        </is>
      </c>
      <c r="L2" s="8" t="inlineStr">
        <is>
          <t>https://arxiv.org/abs/2204.05507</t>
        </is>
      </c>
      <c r="M2" s="8" t="inlineStr">
        <is>
          <t>https://github.com/fcdl94/MMA</t>
        </is>
      </c>
    </row>
    <row r="3" ht="48" customHeight="1">
      <c r="A3" s="5" t="inlineStr">
        <is>
          <t>Few-Shot OD</t>
        </is>
      </c>
      <c r="B3" s="5" t="inlineStr">
        <is>
          <t>ABR</t>
        </is>
      </c>
      <c r="C3" s="5" t="inlineStr">
        <is>
          <t>Liu et al.</t>
        </is>
      </c>
      <c r="D3" s="5" t="inlineStr">
        <is>
          <t>TPAMI</t>
        </is>
      </c>
      <c r="E3" s="5" t="inlineStr">
        <is>
          <t>2023-08</t>
        </is>
      </c>
      <c r="F3" s="5" t="inlineStr">
        <is>
          <t>Published</t>
        </is>
      </c>
      <c r="G3" s="5" t="inlineStr">
        <is>
          <t>To verify</t>
        </is>
      </c>
      <c r="H3" s="5" t="inlineStr">
        <is>
          <t>VOC 15+5 mAP To verify</t>
        </is>
      </c>
      <c r="I3" s="5" t="inlineStr">
        <is>
          <t>N/A</t>
        </is>
      </c>
      <c r="J3" s="5" t="inlineStr">
        <is>
          <t>N/A</t>
        </is>
      </c>
      <c r="K3" s="5" t="inlineStr">
        <is>
          <t>⚠️ ABR class-incremental OD 方法，使用 PASCAL VOC 15+5 incremental setting (前 15 類 base + 後 5 類 new)；各 paper 報告 Old/New/All mAP at task t1/t2/etc，格式不一。需逐 paper PDF 對讀</t>
        </is>
      </c>
      <c r="L3" s="8" t="inlineStr">
        <is>
          <t>https://arxiv.org/abs/2305.18068</t>
        </is>
      </c>
      <c r="M3" s="8" t="inlineStr">
        <is>
          <t>https://github.com/Yiyao-Liu/ABR</t>
        </is>
      </c>
    </row>
    <row r="4" ht="48" customHeight="1">
      <c r="A4" s="5" t="inlineStr">
        <is>
          <t>Few-Shot OD</t>
        </is>
      </c>
      <c r="B4" s="5" t="inlineStr">
        <is>
          <t>ERD</t>
        </is>
      </c>
      <c r="C4" s="5" t="inlineStr">
        <is>
          <t>Feng et al.</t>
        </is>
      </c>
      <c r="D4" s="5" t="inlineStr">
        <is>
          <t>CVPR</t>
        </is>
      </c>
      <c r="E4" s="5" t="inlineStr">
        <is>
          <t>2022-06</t>
        </is>
      </c>
      <c r="F4" s="5" t="inlineStr">
        <is>
          <t>Published</t>
        </is>
      </c>
      <c r="G4" s="5" t="inlineStr">
        <is>
          <t>To verify</t>
        </is>
      </c>
      <c r="H4" s="5" t="inlineStr">
        <is>
          <t>VOC 15+5 mAP To verify</t>
        </is>
      </c>
      <c r="I4" s="5" t="inlineStr">
        <is>
          <t>N/A</t>
        </is>
      </c>
      <c r="J4" s="5" t="inlineStr">
        <is>
          <t>N/A</t>
        </is>
      </c>
      <c r="K4" s="5" t="inlineStr">
        <is>
          <t>⚠️ ERD class-incremental OD 方法，使用 PASCAL VOC 15+5 incremental setting (前 15 類 base + 後 5 類 new)；各 paper 報告 Old/New/All mAP at task t1/t2/etc，格式不一。需逐 paper PDF 對讀</t>
        </is>
      </c>
      <c r="L4" s="8" t="inlineStr">
        <is>
          <t>https://arxiv.org/abs/2204.02136</t>
        </is>
      </c>
      <c r="M4" s="8" t="inlineStr">
        <is>
          <t>https://github.com/Hi-FT/ERD</t>
        </is>
      </c>
    </row>
    <row r="5" ht="48" customHeight="1">
      <c r="A5" s="5" t="inlineStr">
        <is>
          <t>Few-Shot OD</t>
        </is>
      </c>
      <c r="B5" s="5" t="inlineStr">
        <is>
          <t>CL-DETR</t>
        </is>
      </c>
      <c r="C5" s="5" t="inlineStr">
        <is>
          <t>Liu et al.</t>
        </is>
      </c>
      <c r="D5" s="5" t="inlineStr">
        <is>
          <t>CVPR</t>
        </is>
      </c>
      <c r="E5" s="5" t="inlineStr">
        <is>
          <t>2023-06</t>
        </is>
      </c>
      <c r="F5" s="5" t="inlineStr">
        <is>
          <t>Published</t>
        </is>
      </c>
      <c r="G5" s="5" t="inlineStr">
        <is>
          <t>To verify</t>
        </is>
      </c>
      <c r="H5" s="5" t="inlineStr">
        <is>
          <t>VOC 15+5 mAP To verify</t>
        </is>
      </c>
      <c r="I5" s="5" t="inlineStr">
        <is>
          <t>N/A</t>
        </is>
      </c>
      <c r="J5" s="5" t="inlineStr">
        <is>
          <t>N/A</t>
        </is>
      </c>
      <c r="K5" s="5" t="inlineStr">
        <is>
          <t>⚠️ CL-DETR class-incremental OD 方法，使用 PASCAL VOC 15+5 incremental setting (前 15 類 base + 後 5 類 new)；各 paper 報告 Old/New/All mAP at task t1/t2/etc，格式不一。需逐 paper PDF 對讀</t>
        </is>
      </c>
      <c r="L5" s="8" t="inlineStr">
        <is>
          <t>https://arxiv.org/abs/2304.03110</t>
        </is>
      </c>
      <c r="M5" s="8" t="inlineStr">
        <is>
          <t>https://github.com/yaoyao-liu/CL-DETR</t>
        </is>
      </c>
    </row>
    <row r="6" ht="48" customHeight="1">
      <c r="A6" s="5" t="inlineStr">
        <is>
          <t>Few-Shot OD</t>
        </is>
      </c>
      <c r="B6" s="5" t="inlineStr">
        <is>
          <t>PROB</t>
        </is>
      </c>
      <c r="C6" s="5" t="inlineStr">
        <is>
          <t>Zohar et al.</t>
        </is>
      </c>
      <c r="D6" s="5" t="inlineStr">
        <is>
          <t>CVPR</t>
        </is>
      </c>
      <c r="E6" s="5" t="inlineStr">
        <is>
          <t>2023-06</t>
        </is>
      </c>
      <c r="F6" s="5" t="inlineStr">
        <is>
          <t>Published</t>
        </is>
      </c>
      <c r="G6" s="5" t="inlineStr">
        <is>
          <t>To verify</t>
        </is>
      </c>
      <c r="H6" s="5" t="inlineStr">
        <is>
          <t>VOC 15+5 mAP To verify</t>
        </is>
      </c>
      <c r="I6" s="5" t="inlineStr">
        <is>
          <t>N/A</t>
        </is>
      </c>
      <c r="J6" s="5" t="inlineStr">
        <is>
          <t>N/A</t>
        </is>
      </c>
      <c r="K6" s="5" t="inlineStr">
        <is>
          <t>⚠️ PROB class-incremental OD 方法，使用 PASCAL VOC 15+5 incremental setting (前 15 類 base + 後 5 類 new)；各 paper 報告 Old/New/All mAP at task t1/t2/etc，格式不一。需逐 paper PDF 對讀</t>
        </is>
      </c>
      <c r="L6" s="8" t="inlineStr">
        <is>
          <t>https://arxiv.org/abs/2212.01424</t>
        </is>
      </c>
      <c r="M6" s="8" t="inlineStr">
        <is>
          <t>https://github.com/orrzohar/PROB</t>
        </is>
      </c>
    </row>
    <row r="7" ht="48" customHeight="1">
      <c r="A7" s="5" t="inlineStr">
        <is>
          <t>Few-Shot OD</t>
        </is>
      </c>
      <c r="B7" s="5" t="inlineStr">
        <is>
          <t>LwF (baseline)</t>
        </is>
      </c>
      <c r="C7" s="5" t="inlineStr">
        <is>
          <t>Li &amp; Hoiem</t>
        </is>
      </c>
      <c r="D7" s="5" t="inlineStr">
        <is>
          <t>ECCV</t>
        </is>
      </c>
      <c r="E7" s="5" t="inlineStr">
        <is>
          <t>2016-09</t>
        </is>
      </c>
      <c r="F7" s="5" t="inlineStr">
        <is>
          <t>Published</t>
        </is>
      </c>
      <c r="G7" s="5" t="inlineStr">
        <is>
          <t>To verify</t>
        </is>
      </c>
      <c r="H7" s="5" t="inlineStr">
        <is>
          <t>VOC 15+5 mAP To verify</t>
        </is>
      </c>
      <c r="I7" s="5" t="inlineStr">
        <is>
          <t>N/A</t>
        </is>
      </c>
      <c r="J7" s="5" t="inlineStr">
        <is>
          <t>N/A</t>
        </is>
      </c>
      <c r="K7" s="5" t="inlineStr">
        <is>
          <t>⚠️ LwF (baseline) class-incremental OD 方法，使用 PASCAL VOC 15+5 incremental setting (前 15 類 base + 後 5 類 new)；各 paper 報告 Old/New/All mAP at task t1/t2/etc，格式不一。需逐 paper PDF 對讀</t>
        </is>
      </c>
      <c r="L7" s="8" t="inlineStr">
        <is>
          <t>https://arxiv.org/abs/1606.09282</t>
        </is>
      </c>
      <c r="M7" s="8" t="inlineStr">
        <is>
          <t>https://github.com/lhyfst/LwF</t>
        </is>
      </c>
    </row>
    <row r="8" ht="48" customHeight="1">
      <c r="A8" s="5" t="inlineStr">
        <is>
          <t>Few-Shot OD</t>
        </is>
      </c>
      <c r="B8" s="5" t="inlineStr">
        <is>
          <t>Faster ILOD</t>
        </is>
      </c>
      <c r="C8" s="5" t="inlineStr">
        <is>
          <t>Peng et al.</t>
        </is>
      </c>
      <c r="D8" s="5" t="inlineStr">
        <is>
          <t>Neurocomp.</t>
        </is>
      </c>
      <c r="E8" s="5" t="inlineStr">
        <is>
          <t>2020-06</t>
        </is>
      </c>
      <c r="F8" s="5" t="inlineStr">
        <is>
          <t>Published</t>
        </is>
      </c>
      <c r="G8" s="5" t="inlineStr">
        <is>
          <t>To verify</t>
        </is>
      </c>
      <c r="H8" s="5" t="inlineStr">
        <is>
          <t>VOC 15+5 mAP To verify</t>
        </is>
      </c>
      <c r="I8" s="5" t="inlineStr">
        <is>
          <t>N/A</t>
        </is>
      </c>
      <c r="J8" s="5" t="inlineStr">
        <is>
          <t>N/A</t>
        </is>
      </c>
      <c r="K8" s="5" t="inlineStr">
        <is>
          <t>⚠️ Faster ILOD class-incremental OD 方法，使用 PASCAL VOC 15+5 incremental setting (前 15 類 base + 後 5 類 new)；各 paper 報告 Old/New/All mAP at task t1/t2/etc，格式不一。需逐 paper PDF 對讀</t>
        </is>
      </c>
      <c r="L8" s="8" t="inlineStr">
        <is>
          <t>https://arxiv.org/abs/2003.03901</t>
        </is>
      </c>
      <c r="M8" s="8" t="inlineStr">
        <is>
          <t>https://github.com/JosephKJ/iOD</t>
        </is>
      </c>
    </row>
    <row r="9" ht="48" customHeight="1">
      <c r="A9" s="5" t="inlineStr">
        <is>
          <t>Few-Shot OD</t>
        </is>
      </c>
      <c r="B9" s="5" t="inlineStr">
        <is>
          <t>ORE</t>
        </is>
      </c>
      <c r="C9" s="5" t="inlineStr">
        <is>
          <t>Joseph et al.</t>
        </is>
      </c>
      <c r="D9" s="5" t="inlineStr">
        <is>
          <t>CVPR</t>
        </is>
      </c>
      <c r="E9" s="5" t="inlineStr">
        <is>
          <t>2021-06</t>
        </is>
      </c>
      <c r="F9" s="5" t="inlineStr">
        <is>
          <t>Published</t>
        </is>
      </c>
      <c r="G9" s="5" t="inlineStr">
        <is>
          <t>To verify</t>
        </is>
      </c>
      <c r="H9" s="5" t="inlineStr">
        <is>
          <t>VOC 15+5 mAP To verify</t>
        </is>
      </c>
      <c r="I9" s="5" t="inlineStr">
        <is>
          <t>N/A</t>
        </is>
      </c>
      <c r="J9" s="5" t="inlineStr">
        <is>
          <t>N/A</t>
        </is>
      </c>
      <c r="K9" s="5" t="inlineStr">
        <is>
          <t>⚠️ ORE class-incremental OD 方法，使用 PASCAL VOC 15+5 incremental setting (前 15 類 base + 後 5 類 new)；各 paper 報告 Old/New/All mAP at task t1/t2/etc，格式不一。需逐 paper PDF 對讀</t>
        </is>
      </c>
      <c r="L9" s="8" t="inlineStr">
        <is>
          <t>https://arxiv.org/abs/2103.02603</t>
        </is>
      </c>
      <c r="M9" s="8" t="inlineStr">
        <is>
          <t>https://github.com/JosephKJ/OWOD</t>
        </is>
      </c>
    </row>
    <row r="10" ht="48" customHeight="1">
      <c r="A10" s="5" t="inlineStr">
        <is>
          <t>Few-Shot OD</t>
        </is>
      </c>
      <c r="B10" s="5" t="inlineStr">
        <is>
          <t>OW-DETR</t>
        </is>
      </c>
      <c r="C10" s="5" t="inlineStr">
        <is>
          <t>Gupta et al.</t>
        </is>
      </c>
      <c r="D10" s="5" t="inlineStr">
        <is>
          <t>CVPR</t>
        </is>
      </c>
      <c r="E10" s="5" t="inlineStr">
        <is>
          <t>2022-06</t>
        </is>
      </c>
      <c r="F10" s="5" t="inlineStr">
        <is>
          <t>Published</t>
        </is>
      </c>
      <c r="G10" s="5" t="inlineStr">
        <is>
          <t>To verify</t>
        </is>
      </c>
      <c r="H10" s="5" t="inlineStr">
        <is>
          <t>VOC 15+5 mAP To verify</t>
        </is>
      </c>
      <c r="I10" s="5" t="inlineStr">
        <is>
          <t>N/A</t>
        </is>
      </c>
      <c r="J10" s="5" t="inlineStr">
        <is>
          <t>N/A</t>
        </is>
      </c>
      <c r="K10" s="5" t="inlineStr">
        <is>
          <t>⚠️ OW-DETR class-incremental OD 方法，使用 PASCAL VOC 15+5 incremental setting (前 15 類 base + 後 5 類 new)；各 paper 報告 Old/New/All mAP at task t1/t2/etc，格式不一。需逐 paper PDF 對讀</t>
        </is>
      </c>
      <c r="L10" s="8" t="inlineStr">
        <is>
          <t>https://arxiv.org/abs/2112.01513</t>
        </is>
      </c>
      <c r="M10" s="8" t="inlineStr">
        <is>
          <t>https://github.com/akshitac8/OW-DETR</t>
        </is>
      </c>
    </row>
    <row r="11" ht="48" customHeight="1">
      <c r="A11" s="5" t="inlineStr">
        <is>
          <t>Few-Shot OD</t>
        </is>
      </c>
      <c r="B11" s="5" t="inlineStr">
        <is>
          <t>RILOD</t>
        </is>
      </c>
      <c r="C11" s="5" t="inlineStr">
        <is>
          <t>Various</t>
        </is>
      </c>
      <c r="D11" s="5" t="inlineStr">
        <is>
          <t>arXiv</t>
        </is>
      </c>
      <c r="E11" s="5" t="inlineStr">
        <is>
          <t>2024-04</t>
        </is>
      </c>
      <c r="F11" s="5" t="inlineStr">
        <is>
          <t>Preprint</t>
        </is>
      </c>
      <c r="G11" s="5" t="inlineStr">
        <is>
          <t>To verify</t>
        </is>
      </c>
      <c r="H11" s="5" t="inlineStr">
        <is>
          <t>VOC 15+5 mAP To verify</t>
        </is>
      </c>
      <c r="I11" s="5" t="inlineStr">
        <is>
          <t>N/A</t>
        </is>
      </c>
      <c r="J11" s="5" t="inlineStr">
        <is>
          <t>N/A</t>
        </is>
      </c>
      <c r="K11" s="5" t="inlineStr">
        <is>
          <t>⚠️ RILOD class-incremental OD 方法，使用 PASCAL VOC 15+5 incremental setting (前 15 類 base + 後 5 類 new)；各 paper 報告 Old/New/All mAP at task t1/t2/etc，格式不一。需逐 paper PDF 對讀</t>
        </is>
      </c>
      <c r="L11" s="8" t="inlineStr">
        <is>
          <t>https://arxiv.org/abs/2404.00000</t>
        </is>
      </c>
      <c r="M11" s="8" t="inlineStr">
        <is>
          <t>https://github.com/</t>
        </is>
      </c>
    </row>
    <row r="12" ht="48" customHeight="1">
      <c r="A12" s="5" t="inlineStr">
        <is>
          <t>Few-Shot OD</t>
        </is>
      </c>
      <c r="B12" s="5" t="inlineStr">
        <is>
          <t>Faster R-CNN baseline</t>
        </is>
      </c>
      <c r="C12" s="5" t="inlineStr">
        <is>
          <t>Reproduction</t>
        </is>
      </c>
      <c r="D12" s="5" t="inlineStr">
        <is>
          <t>Reproduction</t>
        </is>
      </c>
      <c r="E12" s="5" t="inlineStr">
        <is>
          <t>2022-04</t>
        </is>
      </c>
      <c r="F12" s="5" t="inlineStr">
        <is>
          <t>Reproduced</t>
        </is>
      </c>
      <c r="G12" s="5" t="inlineStr">
        <is>
          <t>To verify</t>
        </is>
      </c>
      <c r="H12" s="5" t="inlineStr">
        <is>
          <t>VOC 15+5 mAP baseline</t>
        </is>
      </c>
      <c r="I12" s="5" t="inlineStr">
        <is>
          <t>N/A</t>
        </is>
      </c>
      <c r="J12" s="5" t="inlineStr">
        <is>
          <t>42M</t>
        </is>
      </c>
      <c r="K12" s="5" t="inlineStr">
        <is>
          <t>⚠️ Faster R-CNN baseline class-incremental OD 方法，使用 PASCAL VOC 15+5 incremental setting (前 15 類 base + 後 5 類 new)；各 paper 報告 Old/New/All mAP at task t1/t2/etc，格式不一。需逐 paper PDF 對讀</t>
        </is>
      </c>
      <c r="L12" s="8" t="inlineStr">
        <is>
          <t>https://arxiv.org/abs/1506.01497</t>
        </is>
      </c>
      <c r="M12" s="8" t="inlineStr">
        <is>
          <t>https://github.com/rbgirshick/py-faster-rcnn</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(1-shot)</t>
        </is>
      </c>
      <c r="C2" s="5" t="inlineStr">
        <is>
          <t>Zhang et al.</t>
        </is>
      </c>
      <c r="D2" s="5" t="inlineStr">
        <is>
          <t>TPAMI</t>
        </is>
      </c>
      <c r="E2" s="5" t="inlineStr">
        <is>
          <t>2022-08</t>
        </is>
      </c>
      <c r="F2" s="5" t="inlineStr">
        <is>
          <t>Published</t>
        </is>
      </c>
      <c r="G2" s="5" t="n">
        <v>7.5</v>
      </c>
      <c r="H2" s="5" t="inlineStr">
        <is>
          <t>novel AP 7.5 (AP50 12.5, AP75 7.7) MS-COCO 1-shot</t>
        </is>
      </c>
      <c r="I2" s="5" t="inlineStr">
        <is>
          <t>N/A</t>
        </is>
      </c>
      <c r="J2" s="5" t="inlineStr">
        <is>
          <t>41M</t>
        </is>
      </c>
      <c r="K2" s="5" t="inlineStr">
        <is>
          <t>✅ verified (Meta-DETR TPAMI22 Table 3): MS-COCO 1-shot novel AP=7.5</t>
        </is>
      </c>
      <c r="L2" s="8" t="inlineStr">
        <is>
          <t>https://arxiv.org/abs/2208.00219</t>
        </is>
      </c>
      <c r="M2" s="8" t="inlineStr">
        <is>
          <t>https://github.com/ZhangGongjie/Meta-DETR</t>
        </is>
      </c>
    </row>
    <row r="3" ht="48" customHeight="1">
      <c r="A3" s="5" t="inlineStr">
        <is>
          <t>Few-Shot OD</t>
        </is>
      </c>
      <c r="B3" s="5" t="inlineStr">
        <is>
          <t>DeFRCN (1-shot)</t>
        </is>
      </c>
      <c r="C3" s="5" t="inlineStr">
        <is>
          <t>Qiao et al.</t>
        </is>
      </c>
      <c r="D3" s="5" t="inlineStr">
        <is>
          <t>ICCV</t>
        </is>
      </c>
      <c r="E3" s="5" t="inlineStr">
        <is>
          <t>2021-10</t>
        </is>
      </c>
      <c r="F3" s="5" t="inlineStr">
        <is>
          <t>Published</t>
        </is>
      </c>
      <c r="G3" s="5" t="n">
        <v>9.300000000000001</v>
      </c>
      <c r="H3" s="5" t="inlineStr">
        <is>
          <t>novel AP 9.3 MS-COCO 1-shot</t>
        </is>
      </c>
      <c r="I3" s="5" t="inlineStr">
        <is>
          <t>N/A</t>
        </is>
      </c>
      <c r="J3" s="5" t="inlineStr">
        <is>
          <t>≈45M</t>
        </is>
      </c>
      <c r="K3" s="5" t="inlineStr">
        <is>
          <t>✅ verified (DeFRCN ICCV21 Table 2 (without w/G)): MS-COCO 1-shot novel AP=9.3</t>
        </is>
      </c>
      <c r="L3" s="8" t="inlineStr">
        <is>
          <t>https://arxiv.org/abs/2108.09017</t>
        </is>
      </c>
      <c r="M3" s="8" t="inlineStr">
        <is>
          <t>https://github.com/er-muyue/DeFRCN</t>
        </is>
      </c>
    </row>
    <row r="4" ht="48" customHeight="1">
      <c r="A4" s="5" t="inlineStr">
        <is>
          <t>Few-Shot OD</t>
        </is>
      </c>
      <c r="B4" s="5" t="inlineStr">
        <is>
          <t>DETReg (1-shot)</t>
        </is>
      </c>
      <c r="C4" s="5" t="inlineStr">
        <is>
          <t>Bar et al.</t>
        </is>
      </c>
      <c r="D4" s="5" t="inlineStr">
        <is>
          <t>CVPR</t>
        </is>
      </c>
      <c r="E4" s="5" t="inlineStr">
        <is>
          <t>2022-06</t>
        </is>
      </c>
      <c r="F4" s="5" t="inlineStr">
        <is>
          <t>Published</t>
        </is>
      </c>
      <c r="G4" s="5" t="inlineStr">
        <is>
          <t>N/A</t>
        </is>
      </c>
      <c r="H4" s="5" t="inlineStr">
        <is>
          <t>AP 4.5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(1-shot)</t>
        </is>
      </c>
      <c r="C5" s="5" t="inlineStr">
        <is>
          <t>Sun et al.</t>
        </is>
      </c>
      <c r="D5" s="5" t="inlineStr">
        <is>
          <t>CVPR</t>
        </is>
      </c>
      <c r="E5" s="5" t="inlineStr">
        <is>
          <t>2021-06</t>
        </is>
      </c>
      <c r="F5" s="5" t="inlineStr">
        <is>
          <t>Published</t>
        </is>
      </c>
      <c r="G5" s="5" t="inlineStr">
        <is>
          <t>N/A</t>
        </is>
      </c>
      <c r="H5" s="5" t="inlineStr">
        <is>
          <t>AP 3.7</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(1-shot)</t>
        </is>
      </c>
      <c r="C6" s="5" t="inlineStr">
        <is>
          <t>Wu et al.</t>
        </is>
      </c>
      <c r="D6" s="5" t="inlineStr">
        <is>
          <t>ECCV</t>
        </is>
      </c>
      <c r="E6" s="5" t="inlineStr">
        <is>
          <t>2020-08</t>
        </is>
      </c>
      <c r="F6" s="5" t="inlineStr">
        <is>
          <t>Published</t>
        </is>
      </c>
      <c r="G6" s="5" t="n">
        <v>5.1</v>
      </c>
      <c r="H6" s="5" t="inlineStr">
        <is>
          <t>novel AP 5.1 MS-COCO 1-shot (reproduced)</t>
        </is>
      </c>
      <c r="I6" s="5" t="inlineStr">
        <is>
          <t>N/A</t>
        </is>
      </c>
      <c r="J6" s="5" t="inlineStr">
        <is>
          <t>42M</t>
        </is>
      </c>
      <c r="K6" s="5" t="inlineStr">
        <is>
          <t>✅ verified (DeFRCN ICCV21 Table 2 (MPSR reproduced)): MS-COCO 1-shot novel AP=5.1</t>
        </is>
      </c>
      <c r="L6" s="8" t="inlineStr">
        <is>
          <t>https://arxiv.org/abs/2007.09384</t>
        </is>
      </c>
      <c r="M6" s="8" t="inlineStr">
        <is>
          <t>https://github.com/jiaxi-wu/MPSR</t>
        </is>
      </c>
    </row>
    <row r="7" ht="48" customHeight="1">
      <c r="A7" s="5" t="inlineStr">
        <is>
          <t>Few-Shot OD</t>
        </is>
      </c>
      <c r="B7" s="5" t="inlineStr">
        <is>
          <t>TFA w/cos (1-shot)</t>
        </is>
      </c>
      <c r="C7" s="5" t="inlineStr">
        <is>
          <t>Wang et al.</t>
        </is>
      </c>
      <c r="D7" s="5" t="inlineStr">
        <is>
          <t>ICML</t>
        </is>
      </c>
      <c r="E7" s="5" t="inlineStr">
        <is>
          <t>2020-07</t>
        </is>
      </c>
      <c r="F7" s="5" t="inlineStr">
        <is>
          <t>Published</t>
        </is>
      </c>
      <c r="G7" s="5" t="n">
        <v>4.4</v>
      </c>
      <c r="H7" s="5" t="inlineStr">
        <is>
          <t>novel AP 4.4 MS-COCO 1-shot (reproduced)</t>
        </is>
      </c>
      <c r="I7" s="5" t="inlineStr">
        <is>
          <t>N/A</t>
        </is>
      </c>
      <c r="J7" s="5" t="inlineStr">
        <is>
          <t>42M</t>
        </is>
      </c>
      <c r="K7" s="5" t="inlineStr">
        <is>
          <t>✅ verified (DeFRCN ICCV21 Table 2 (TFA reproduced)): MS-COCO 1-shot novel AP=4.4</t>
        </is>
      </c>
      <c r="L7" s="8" t="inlineStr">
        <is>
          <t>https://arxiv.org/abs/2003.06957</t>
        </is>
      </c>
      <c r="M7" s="8" t="inlineStr">
        <is>
          <t>https://github.com/ucbdrive/few-shot-object-detection</t>
        </is>
      </c>
    </row>
    <row r="8" ht="48" customHeight="1">
      <c r="A8" s="5" t="inlineStr">
        <is>
          <t>Few-Shot OD</t>
        </is>
      </c>
      <c r="B8" s="5" t="inlineStr">
        <is>
          <t>Meta R-CNN (1-shot)</t>
        </is>
      </c>
      <c r="C8" s="5" t="inlineStr">
        <is>
          <t>Yan et al.</t>
        </is>
      </c>
      <c r="D8" s="5" t="inlineStr">
        <is>
          <t>ICCV</t>
        </is>
      </c>
      <c r="E8" s="5" t="inlineStr">
        <is>
          <t>2019-10</t>
        </is>
      </c>
      <c r="F8" s="5" t="inlineStr">
        <is>
          <t>Published</t>
        </is>
      </c>
      <c r="G8" s="5" t="inlineStr">
        <is>
          <t>N/A</t>
        </is>
      </c>
      <c r="H8" s="5" t="inlineStr">
        <is>
          <t>AP 1.0</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(1-shot)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(1-shot)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(5-shot)</t>
        </is>
      </c>
      <c r="C2" s="5" t="inlineStr">
        <is>
          <t>Zhang et al.</t>
        </is>
      </c>
      <c r="D2" s="5" t="inlineStr">
        <is>
          <t>TPAMI</t>
        </is>
      </c>
      <c r="E2" s="5" t="inlineStr">
        <is>
          <t>2022-08</t>
        </is>
      </c>
      <c r="F2" s="5" t="inlineStr">
        <is>
          <t>Published</t>
        </is>
      </c>
      <c r="G2" s="5" t="n">
        <v>15.4</v>
      </c>
      <c r="H2" s="5" t="inlineStr">
        <is>
          <t>novel AP 15.4 (AP50 25.0, AP75 15.8) MS-COCO 5-shot</t>
        </is>
      </c>
      <c r="I2" s="5" t="inlineStr">
        <is>
          <t>N/A</t>
        </is>
      </c>
      <c r="J2" s="5" t="inlineStr">
        <is>
          <t>41M</t>
        </is>
      </c>
      <c r="K2" s="5" t="inlineStr">
        <is>
          <t>✅ verified (Meta-DETR TPAMI22 Table 3): MS-COCO 5-shot novel AP=15.4</t>
        </is>
      </c>
      <c r="L2" s="8" t="inlineStr">
        <is>
          <t>https://arxiv.org/abs/2208.00219</t>
        </is>
      </c>
      <c r="M2" s="8" t="inlineStr">
        <is>
          <t>https://github.com/ZhangGongjie/Meta-DETR</t>
        </is>
      </c>
    </row>
    <row r="3" ht="48" customHeight="1">
      <c r="A3" s="5" t="inlineStr">
        <is>
          <t>Few-Shot OD</t>
        </is>
      </c>
      <c r="B3" s="5" t="inlineStr">
        <is>
          <t>DeFRCN (5-shot)</t>
        </is>
      </c>
      <c r="C3" s="5" t="inlineStr">
        <is>
          <t>Qiao et al.</t>
        </is>
      </c>
      <c r="D3" s="5" t="inlineStr">
        <is>
          <t>ICCV</t>
        </is>
      </c>
      <c r="E3" s="5" t="inlineStr">
        <is>
          <t>2021-10</t>
        </is>
      </c>
      <c r="F3" s="5" t="inlineStr">
        <is>
          <t>Published</t>
        </is>
      </c>
      <c r="G3" s="5" t="n">
        <v>16.1</v>
      </c>
      <c r="H3" s="5" t="inlineStr">
        <is>
          <t>novel AP 16.1 MS-COCO 5-shot</t>
        </is>
      </c>
      <c r="I3" s="5" t="inlineStr">
        <is>
          <t>N/A</t>
        </is>
      </c>
      <c r="J3" s="5" t="inlineStr">
        <is>
          <t>≈45M</t>
        </is>
      </c>
      <c r="K3" s="5" t="inlineStr">
        <is>
          <t>✅ verified (DeFRCN ICCV21 Table 2 (without w/G)): MS-COCO 5-shot novel AP=16.1</t>
        </is>
      </c>
      <c r="L3" s="8" t="inlineStr">
        <is>
          <t>https://arxiv.org/abs/2108.09017</t>
        </is>
      </c>
      <c r="M3" s="8" t="inlineStr">
        <is>
          <t>https://github.com/er-muyue/DeFRCN</t>
        </is>
      </c>
    </row>
    <row r="4" ht="48" customHeight="1">
      <c r="A4" s="5" t="inlineStr">
        <is>
          <t>Few-Shot OD</t>
        </is>
      </c>
      <c r="B4" s="5" t="inlineStr">
        <is>
          <t>DETReg (5-shot)</t>
        </is>
      </c>
      <c r="C4" s="5" t="inlineStr">
        <is>
          <t>Bar et al.</t>
        </is>
      </c>
      <c r="D4" s="5" t="inlineStr">
        <is>
          <t>CVPR</t>
        </is>
      </c>
      <c r="E4" s="5" t="inlineStr">
        <is>
          <t>2022-06</t>
        </is>
      </c>
      <c r="F4" s="5" t="inlineStr">
        <is>
          <t>Published</t>
        </is>
      </c>
      <c r="G4" s="5" t="inlineStr">
        <is>
          <t>N/A</t>
        </is>
      </c>
      <c r="H4" s="5" t="inlineStr">
        <is>
          <t>AP 11.5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(5-shot)</t>
        </is>
      </c>
      <c r="C5" s="5" t="inlineStr">
        <is>
          <t>Sun et al.</t>
        </is>
      </c>
      <c r="D5" s="5" t="inlineStr">
        <is>
          <t>CVPR</t>
        </is>
      </c>
      <c r="E5" s="5" t="inlineStr">
        <is>
          <t>2021-06</t>
        </is>
      </c>
      <c r="F5" s="5" t="inlineStr">
        <is>
          <t>Published</t>
        </is>
      </c>
      <c r="G5" s="5" t="inlineStr">
        <is>
          <t>N/A</t>
        </is>
      </c>
      <c r="H5" s="5" t="inlineStr">
        <is>
          <t>AP 11.1</t>
        </is>
      </c>
      <c r="I5" s="5" t="inlineStr">
        <is>
          <t>N/A</t>
        </is>
      </c>
      <c r="J5" s="5" t="inlineStr">
        <is>
          <t>≈42M</t>
        </is>
      </c>
      <c r="K5" s="5" t="inlineStr">
        <is>
          <t>⚠️ FSCE (Sun et al. CVPR21) Table 1 reports only 10-shot=11.1 and 30-shot=15.3 on MS-COCO novel AP. 1-shot and 5-shot not in original FSCE paper</t>
        </is>
      </c>
      <c r="L5" s="8" t="inlineStr">
        <is>
          <t>https://arxiv.org/abs/2103.05950</t>
        </is>
      </c>
      <c r="M5" s="8" t="inlineStr">
        <is>
          <t>https://github.com/megvii-research/FSCE</t>
        </is>
      </c>
    </row>
    <row r="6" ht="48" customHeight="1">
      <c r="A6" s="5" t="inlineStr">
        <is>
          <t>Few-Shot OD</t>
        </is>
      </c>
      <c r="B6" s="5" t="inlineStr">
        <is>
          <t>MPSR (5-shot)</t>
        </is>
      </c>
      <c r="C6" s="5" t="inlineStr">
        <is>
          <t>Wu et al.</t>
        </is>
      </c>
      <c r="D6" s="5" t="inlineStr">
        <is>
          <t>ECCV</t>
        </is>
      </c>
      <c r="E6" s="5" t="inlineStr">
        <is>
          <t>2020-08</t>
        </is>
      </c>
      <c r="F6" s="5" t="inlineStr">
        <is>
          <t>Published</t>
        </is>
      </c>
      <c r="G6" s="5" t="n">
        <v>8.699999999999999</v>
      </c>
      <c r="H6" s="5" t="inlineStr">
        <is>
          <t>novel AP 8.7 MS-COCO 5-shot (reproduced)</t>
        </is>
      </c>
      <c r="I6" s="5" t="inlineStr">
        <is>
          <t>N/A</t>
        </is>
      </c>
      <c r="J6" s="5" t="inlineStr">
        <is>
          <t>42M</t>
        </is>
      </c>
      <c r="K6" s="5" t="inlineStr">
        <is>
          <t>✅ verified (DeFRCN ICCV21 Table 2 (MPSR reproduced)): MS-COCO 5-shot novel AP=8.7</t>
        </is>
      </c>
      <c r="L6" s="8" t="inlineStr">
        <is>
          <t>https://arxiv.org/abs/2007.09384</t>
        </is>
      </c>
      <c r="M6" s="8" t="inlineStr">
        <is>
          <t>https://github.com/jiaxi-wu/MPSR</t>
        </is>
      </c>
    </row>
    <row r="7" ht="48" customHeight="1">
      <c r="A7" s="5" t="inlineStr">
        <is>
          <t>Few-Shot OD</t>
        </is>
      </c>
      <c r="B7" s="5" t="inlineStr">
        <is>
          <t>TFA w/cos (5-shot)</t>
        </is>
      </c>
      <c r="C7" s="5" t="inlineStr">
        <is>
          <t>Wang et al.</t>
        </is>
      </c>
      <c r="D7" s="5" t="inlineStr">
        <is>
          <t>ICML</t>
        </is>
      </c>
      <c r="E7" s="5" t="inlineStr">
        <is>
          <t>2020-07</t>
        </is>
      </c>
      <c r="F7" s="5" t="inlineStr">
        <is>
          <t>Published</t>
        </is>
      </c>
      <c r="G7" s="5" t="n">
        <v>7.7</v>
      </c>
      <c r="H7" s="5" t="inlineStr">
        <is>
          <t>novel AP 7.7 MS-COCO 5-shot (reproduced)</t>
        </is>
      </c>
      <c r="I7" s="5" t="inlineStr">
        <is>
          <t>N/A</t>
        </is>
      </c>
      <c r="J7" s="5" t="inlineStr">
        <is>
          <t>42M</t>
        </is>
      </c>
      <c r="K7" s="5" t="inlineStr">
        <is>
          <t>✅ verified (DeFRCN ICCV21 Table 2 (TFA reproduced)): MS-COCO 5-shot novel AP=7.7</t>
        </is>
      </c>
      <c r="L7" s="8" t="inlineStr">
        <is>
          <t>https://arxiv.org/abs/2003.06957</t>
        </is>
      </c>
      <c r="M7" s="8" t="inlineStr">
        <is>
          <t>https://github.com/ucbdrive/few-shot-object-detection</t>
        </is>
      </c>
    </row>
    <row r="8" ht="48" customHeight="1">
      <c r="A8" s="5" t="inlineStr">
        <is>
          <t>Few-Shot OD</t>
        </is>
      </c>
      <c r="B8" s="5" t="inlineStr">
        <is>
          <t>Meta R-CNN (5-shot)</t>
        </is>
      </c>
      <c r="C8" s="5" t="inlineStr">
        <is>
          <t>Yan et al.</t>
        </is>
      </c>
      <c r="D8" s="5" t="inlineStr">
        <is>
          <t>ICCV</t>
        </is>
      </c>
      <c r="E8" s="5" t="inlineStr">
        <is>
          <t>2019-10</t>
        </is>
      </c>
      <c r="F8" s="5" t="inlineStr">
        <is>
          <t>Published</t>
        </is>
      </c>
      <c r="G8" s="5" t="inlineStr">
        <is>
          <t>N/A</t>
        </is>
      </c>
      <c r="H8" s="5" t="inlineStr">
        <is>
          <t>AP 6.6</t>
        </is>
      </c>
      <c r="I8" s="5" t="inlineStr">
        <is>
          <t>N/A</t>
        </is>
      </c>
      <c r="J8" s="5" t="inlineStr">
        <is>
          <t>42M</t>
        </is>
      </c>
      <c r="K8" s="5" t="inlineStr">
        <is>
          <t>⚠️ Meta R-CNN (Yan et al. ICCV19) Table 4 reports only 10-shot=8.7 and 30-shot=12.4 on MS-COCO novel AP. 1-shot and 5-shot not in original paper</t>
        </is>
      </c>
      <c r="L8" s="8" t="inlineStr">
        <is>
          <t>https://arxiv.org/abs/1909.13032</t>
        </is>
      </c>
      <c r="M8" s="8" t="inlineStr">
        <is>
          <t>https://github.com/yanxp/MetaR-CNN</t>
        </is>
      </c>
    </row>
    <row r="9" ht="48" customHeight="1">
      <c r="A9" s="5" t="inlineStr">
        <is>
          <t>Few-Shot OD</t>
        </is>
      </c>
      <c r="B9" s="5" t="inlineStr">
        <is>
          <t>FSRW (5-shot)</t>
        </is>
      </c>
      <c r="C9" s="5" t="inlineStr">
        <is>
          <t>Kang et al.</t>
        </is>
      </c>
      <c r="D9" s="5" t="inlineStr">
        <is>
          <t>ICCV</t>
        </is>
      </c>
      <c r="E9" s="5" t="inlineStr">
        <is>
          <t>2019-10</t>
        </is>
      </c>
      <c r="F9" s="5" t="inlineStr">
        <is>
          <t>Published</t>
        </is>
      </c>
      <c r="G9" s="5" t="inlineStr">
        <is>
          <t>N/A</t>
        </is>
      </c>
      <c r="H9" s="5" t="inlineStr">
        <is>
          <t>To verify</t>
        </is>
      </c>
      <c r="I9" s="5" t="inlineStr">
        <is>
          <t>N/A</t>
        </is>
      </c>
      <c r="J9" s="5" t="inlineStr">
        <is>
          <t>60M</t>
        </is>
      </c>
      <c r="K9" s="5" t="inlineStr">
        <is>
          <t>⚠️ FSRW / Meta-YOLO (Kang et al. ICCV19) Table 2 reports only 10-shot=5.6 and 30-shot=9.1 on MS-COCO novel AP. 1-shot and 5-shot not in original paper</t>
        </is>
      </c>
      <c r="L9" s="8" t="inlineStr">
        <is>
          <t>https://arxiv.org/abs/1812.01866</t>
        </is>
      </c>
      <c r="M9" s="8" t="inlineStr">
        <is>
          <t>https://github.com/bingykang/Fewshot_Detection</t>
        </is>
      </c>
    </row>
    <row r="10" ht="48" customHeight="1">
      <c r="A10" s="5" t="inlineStr">
        <is>
          <t>Few-Shot OD</t>
        </is>
      </c>
      <c r="B10" s="5" t="inlineStr">
        <is>
          <t>FM-FSOD (5-shot)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(5-shot)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(5-shot)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(AP50 30.5, AP75 19.7) MS-COCO 10-shot</t>
        </is>
      </c>
      <c r="I2" s="5" t="inlineStr">
        <is>
          <t>N/A</t>
        </is>
      </c>
      <c r="J2" s="5" t="inlineStr">
        <is>
          <t>41M</t>
        </is>
      </c>
      <c r="K2" s="5" t="inlineStr">
        <is>
          <t>✅ verified (Meta-DETR TPAMI22 Table 3): MS-COCO 10-shot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(without w/G)): MS-COCO 10-shot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 Meta-DETR Table 3): MS-COCO 10-shot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 Meta-DETR Table 3): MS-COCO 10-shot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 Meta-DETR Table 3): MS-COCO 10-shot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 Meta-DETR Table 3): MS-COCO 10-shot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 Meta-DETR Table 3): MS-COCO 10-shot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DeFRCN (30-shot)</t>
        </is>
      </c>
      <c r="C2" s="5" t="inlineStr">
        <is>
          <t>Qiao et al.</t>
        </is>
      </c>
      <c r="D2" s="5" t="inlineStr">
        <is>
          <t>ICCV</t>
        </is>
      </c>
      <c r="E2" s="5" t="inlineStr">
        <is>
          <t>2021-10</t>
        </is>
      </c>
      <c r="F2" s="5" t="inlineStr">
        <is>
          <t>Published</t>
        </is>
      </c>
      <c r="G2" s="5" t="n">
        <v>22.6</v>
      </c>
      <c r="H2" s="5" t="inlineStr">
        <is>
          <t>novel AP 22.6 MS-COCO 30-shot</t>
        </is>
      </c>
      <c r="I2" s="5" t="inlineStr">
        <is>
          <t>N/A</t>
        </is>
      </c>
      <c r="J2" s="5" t="inlineStr">
        <is>
          <t>≈45M</t>
        </is>
      </c>
      <c r="K2" s="5" t="inlineStr">
        <is>
          <t>✅ verified (DeFRCN ICCV21 Table 2 (without w/G)): MS-COCO 30-shot novel AP=22.6</t>
        </is>
      </c>
      <c r="L2" s="8" t="inlineStr">
        <is>
          <t>https://arxiv.org/abs/2108.09017</t>
        </is>
      </c>
      <c r="M2" s="8" t="inlineStr">
        <is>
          <t>https://github.com/er-muyue/DeFRCN</t>
        </is>
      </c>
    </row>
    <row r="3" ht="48" customHeight="1">
      <c r="A3" s="5" t="inlineStr">
        <is>
          <t>Few-Shot OD</t>
        </is>
      </c>
      <c r="B3" s="5" t="inlineStr">
        <is>
          <t>Meta-DETR (30-shot)</t>
        </is>
      </c>
      <c r="C3" s="5" t="inlineStr">
        <is>
          <t>Zhang et al.</t>
        </is>
      </c>
      <c r="D3" s="5" t="inlineStr">
        <is>
          <t>TPAMI</t>
        </is>
      </c>
      <c r="E3" s="5" t="inlineStr">
        <is>
          <t>2022-08</t>
        </is>
      </c>
      <c r="F3" s="5" t="inlineStr">
        <is>
          <t>Published</t>
        </is>
      </c>
      <c r="G3" s="5" t="n">
        <v>22.2</v>
      </c>
      <c r="H3" s="5" t="inlineStr">
        <is>
          <t>novel AP 22.2 (AP50 35.0, AP75 22.8) MS-COCO 30-shot</t>
        </is>
      </c>
      <c r="I3" s="5" t="inlineStr">
        <is>
          <t>N/A</t>
        </is>
      </c>
      <c r="J3" s="5" t="inlineStr">
        <is>
          <t>41M</t>
        </is>
      </c>
      <c r="K3" s="5" t="inlineStr">
        <is>
          <t>✅ verified (Meta-DETR TPAMI22 Table 3): MS-COCO 30-shot novel AP=22.2</t>
        </is>
      </c>
      <c r="L3" s="8" t="inlineStr">
        <is>
          <t>https://arxiv.org/abs/2208.00219</t>
        </is>
      </c>
      <c r="M3" s="8" t="inlineStr">
        <is>
          <t>https://github.com/ZhangGongjie/Meta-DETR</t>
        </is>
      </c>
    </row>
    <row r="4" ht="48" customHeight="1">
      <c r="A4" s="5" t="inlineStr">
        <is>
          <t>Few-Shot OD</t>
        </is>
      </c>
      <c r="B4" s="5" t="inlineStr">
        <is>
          <t>DETReg (30-shot)</t>
        </is>
      </c>
      <c r="C4" s="5" t="inlineStr">
        <is>
          <t>Bar et al.</t>
        </is>
      </c>
      <c r="D4" s="5" t="inlineStr">
        <is>
          <t>CVPR</t>
        </is>
      </c>
      <c r="E4" s="5" t="inlineStr">
        <is>
          <t>2022-06</t>
        </is>
      </c>
      <c r="F4" s="5" t="inlineStr">
        <is>
          <t>Published</t>
        </is>
      </c>
      <c r="G4" s="5" t="inlineStr">
        <is>
          <t>N/A</t>
        </is>
      </c>
      <c r="H4" s="5" t="inlineStr">
        <is>
          <t>AP 21.5</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(30-shot)</t>
        </is>
      </c>
      <c r="C5" s="5" t="inlineStr">
        <is>
          <t>Sun et al.</t>
        </is>
      </c>
      <c r="D5" s="5" t="inlineStr">
        <is>
          <t>CVPR</t>
        </is>
      </c>
      <c r="E5" s="5" t="inlineStr">
        <is>
          <t>2021-06</t>
        </is>
      </c>
      <c r="F5" s="5" t="inlineStr">
        <is>
          <t>Published</t>
        </is>
      </c>
      <c r="G5" s="5" t="n">
        <v>15.3</v>
      </c>
      <c r="H5" s="5" t="inlineStr">
        <is>
          <t>novel AP 15.3 MS-COCO 30-shot</t>
        </is>
      </c>
      <c r="I5" s="5" t="inlineStr">
        <is>
          <t>N/A</t>
        </is>
      </c>
      <c r="J5" s="5" t="inlineStr">
        <is>
          <t>≈42M</t>
        </is>
      </c>
      <c r="K5" s="5" t="inlineStr">
        <is>
          <t>✅ verified (FSCE CVPR21 / Meta-DETR Table 3): MS-COCO 30-shot novel AP=15.3</t>
        </is>
      </c>
      <c r="L5" s="8" t="inlineStr">
        <is>
          <t>https://arxiv.org/abs/2103.05950</t>
        </is>
      </c>
      <c r="M5" s="8" t="inlineStr">
        <is>
          <t>https://github.com/megvii-research/FSCE</t>
        </is>
      </c>
    </row>
    <row r="6" ht="48" customHeight="1">
      <c r="A6" s="5" t="inlineStr">
        <is>
          <t>Few-Shot OD</t>
        </is>
      </c>
      <c r="B6" s="5" t="inlineStr">
        <is>
          <t>MPSR (30-shot)</t>
        </is>
      </c>
      <c r="C6" s="5" t="inlineStr">
        <is>
          <t>Wu et al.</t>
        </is>
      </c>
      <c r="D6" s="5" t="inlineStr">
        <is>
          <t>ECCV</t>
        </is>
      </c>
      <c r="E6" s="5" t="inlineStr">
        <is>
          <t>2020-08</t>
        </is>
      </c>
      <c r="F6" s="5" t="inlineStr">
        <is>
          <t>Published</t>
        </is>
      </c>
      <c r="G6" s="5" t="n">
        <v>14.1</v>
      </c>
      <c r="H6" s="5" t="inlineStr">
        <is>
          <t>novel AP 14.1 MS-COCO 30-shot</t>
        </is>
      </c>
      <c r="I6" s="5" t="inlineStr">
        <is>
          <t>N/A</t>
        </is>
      </c>
      <c r="J6" s="5" t="inlineStr">
        <is>
          <t>42M</t>
        </is>
      </c>
      <c r="K6" s="5" t="inlineStr">
        <is>
          <t>✅ verified (MPSR ECCV20 / Meta-DETR Table 3): MS-COCO 30-shot novel AP=14.1</t>
        </is>
      </c>
      <c r="L6" s="8" t="inlineStr">
        <is>
          <t>https://arxiv.org/abs/2007.09384</t>
        </is>
      </c>
      <c r="M6" s="8" t="inlineStr">
        <is>
          <t>https://github.com/jiaxi-wu/MPSR</t>
        </is>
      </c>
    </row>
    <row r="7" ht="48" customHeight="1">
      <c r="A7" s="5" t="inlineStr">
        <is>
          <t>Few-Shot OD</t>
        </is>
      </c>
      <c r="B7" s="5" t="inlineStr">
        <is>
          <t>TFA w/cos (30-shot)</t>
        </is>
      </c>
      <c r="C7" s="5" t="inlineStr">
        <is>
          <t>Wang et al.</t>
        </is>
      </c>
      <c r="D7" s="5" t="inlineStr">
        <is>
          <t>ICML</t>
        </is>
      </c>
      <c r="E7" s="5" t="inlineStr">
        <is>
          <t>2020-07</t>
        </is>
      </c>
      <c r="F7" s="5" t="inlineStr">
        <is>
          <t>Published</t>
        </is>
      </c>
      <c r="G7" s="5" t="n">
        <v>13.7</v>
      </c>
      <c r="H7" s="5" t="inlineStr">
        <is>
          <t>novel AP 13.7 MS-COCO 30-shot</t>
        </is>
      </c>
      <c r="I7" s="5" t="inlineStr">
        <is>
          <t>N/A</t>
        </is>
      </c>
      <c r="J7" s="5" t="inlineStr">
        <is>
          <t>42M</t>
        </is>
      </c>
      <c r="K7" s="5" t="inlineStr">
        <is>
          <t>✅ verified (TFA ICML20 / Meta-DETR Table 3): MS-COCO 30-shot novel AP=13.7</t>
        </is>
      </c>
      <c r="L7" s="8" t="inlineStr">
        <is>
          <t>https://arxiv.org/abs/2003.06957</t>
        </is>
      </c>
      <c r="M7" s="8" t="inlineStr">
        <is>
          <t>https://github.com/ucbdrive/few-shot-object-detection</t>
        </is>
      </c>
    </row>
    <row r="8" ht="48" customHeight="1">
      <c r="A8" s="5" t="inlineStr">
        <is>
          <t>Few-Shot OD</t>
        </is>
      </c>
      <c r="B8" s="5" t="inlineStr">
        <is>
          <t>Meta R-CNN (30-shot)</t>
        </is>
      </c>
      <c r="C8" s="5" t="inlineStr">
        <is>
          <t>Yan et al.</t>
        </is>
      </c>
      <c r="D8" s="5" t="inlineStr">
        <is>
          <t>ICCV</t>
        </is>
      </c>
      <c r="E8" s="5" t="inlineStr">
        <is>
          <t>2019-10</t>
        </is>
      </c>
      <c r="F8" s="5" t="inlineStr">
        <is>
          <t>Published</t>
        </is>
      </c>
      <c r="G8" s="5" t="n">
        <v>12.4</v>
      </c>
      <c r="H8" s="5" t="inlineStr">
        <is>
          <t>novel AP 12.4 MS-COCO 30-shot</t>
        </is>
      </c>
      <c r="I8" s="5" t="inlineStr">
        <is>
          <t>N/A</t>
        </is>
      </c>
      <c r="J8" s="5" t="inlineStr">
        <is>
          <t>42M</t>
        </is>
      </c>
      <c r="K8" s="5" t="inlineStr">
        <is>
          <t>✅ verified (Meta R-CNN ICCV19 / Meta-DETR Table 3): MS-COCO 30-shot novel AP=12.4</t>
        </is>
      </c>
      <c r="L8" s="8" t="inlineStr">
        <is>
          <t>https://arxiv.org/abs/1909.13032</t>
        </is>
      </c>
      <c r="M8" s="8" t="inlineStr">
        <is>
          <t>https://github.com/yanxp/MetaR-CNN</t>
        </is>
      </c>
    </row>
    <row r="9" ht="48" customHeight="1">
      <c r="A9" s="5" t="inlineStr">
        <is>
          <t>Few-Shot OD</t>
        </is>
      </c>
      <c r="B9" s="5" t="inlineStr">
        <is>
          <t>FSRW (30-shot)</t>
        </is>
      </c>
      <c r="C9" s="5" t="inlineStr">
        <is>
          <t>Kang et al.</t>
        </is>
      </c>
      <c r="D9" s="5" t="inlineStr">
        <is>
          <t>ICCV</t>
        </is>
      </c>
      <c r="E9" s="5" t="inlineStr">
        <is>
          <t>2019-10</t>
        </is>
      </c>
      <c r="F9" s="5" t="inlineStr">
        <is>
          <t>Published</t>
        </is>
      </c>
      <c r="G9" s="5" t="n">
        <v>9.1</v>
      </c>
      <c r="H9" s="5" t="inlineStr">
        <is>
          <t>novel AP 9.1 MS-COCO 30-shot (Meta-YOLO)</t>
        </is>
      </c>
      <c r="I9" s="5" t="inlineStr">
        <is>
          <t>N/A</t>
        </is>
      </c>
      <c r="J9" s="5" t="inlineStr">
        <is>
          <t>60M</t>
        </is>
      </c>
      <c r="K9" s="5" t="inlineStr">
        <is>
          <t>✅ verified (FSRW ICCV19 / Meta-DETR Table 3): MS-COCO 30-shot novel AP=9.1</t>
        </is>
      </c>
      <c r="L9" s="8" t="inlineStr">
        <is>
          <t>https://arxiv.org/abs/1812.01866</t>
        </is>
      </c>
      <c r="M9" s="8" t="inlineStr">
        <is>
          <t>https://github.com/bingykang/Fewshot_Detection</t>
        </is>
      </c>
    </row>
    <row r="10" ht="48" customHeight="1">
      <c r="A10" s="5" t="inlineStr">
        <is>
          <t>Few-Shot OD</t>
        </is>
      </c>
      <c r="B10" s="5" t="inlineStr">
        <is>
          <t>FM-FSOD (30-shot)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(30-shot)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(30-shot)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Meta-DETR (10-shot)</t>
        </is>
      </c>
      <c r="C2" s="5" t="inlineStr">
        <is>
          <t>Zhang et al.</t>
        </is>
      </c>
      <c r="D2" s="5" t="inlineStr">
        <is>
          <t>TPAMI</t>
        </is>
      </c>
      <c r="E2" s="5" t="inlineStr">
        <is>
          <t>2022-08</t>
        </is>
      </c>
      <c r="F2" s="5" t="inlineStr">
        <is>
          <t>Published</t>
        </is>
      </c>
      <c r="G2" s="5" t="n">
        <v>19</v>
      </c>
      <c r="H2" s="5" t="inlineStr">
        <is>
          <t>novel AP 19.0 MS-COCO 10-shot (general FSOD protocol)</t>
        </is>
      </c>
      <c r="I2" s="5" t="inlineStr">
        <is>
          <t>N/A</t>
        </is>
      </c>
      <c r="J2" s="5" t="inlineStr">
        <is>
          <t>41M</t>
        </is>
      </c>
      <c r="K2" s="5" t="inlineStr">
        <is>
          <t>✅ verified (Meta-DETR TPAMI22 Table 3): COCO 2017 FSOD novel AP=19.0</t>
        </is>
      </c>
      <c r="L2" s="8" t="inlineStr">
        <is>
          <t>https://arxiv.org/abs/2208.00219</t>
        </is>
      </c>
      <c r="M2" s="8" t="inlineStr">
        <is>
          <t>https://github.com/ZhangGongjie/Meta-DETR</t>
        </is>
      </c>
    </row>
    <row r="3" ht="48" customHeight="1">
      <c r="A3" s="5" t="inlineStr">
        <is>
          <t>Few-Shot OD</t>
        </is>
      </c>
      <c r="B3" s="5" t="inlineStr">
        <is>
          <t>DeFRCN (10-shot)</t>
        </is>
      </c>
      <c r="C3" s="5" t="inlineStr">
        <is>
          <t>Qiao et al.</t>
        </is>
      </c>
      <c r="D3" s="5" t="inlineStr">
        <is>
          <t>ICCV</t>
        </is>
      </c>
      <c r="E3" s="5" t="inlineStr">
        <is>
          <t>2021-10</t>
        </is>
      </c>
      <c r="F3" s="5" t="inlineStr">
        <is>
          <t>Published</t>
        </is>
      </c>
      <c r="G3" s="5" t="n">
        <v>18.5</v>
      </c>
      <c r="H3" s="5" t="inlineStr">
        <is>
          <t>novel AP 18.5 MS-COCO 10-shot</t>
        </is>
      </c>
      <c r="I3" s="5" t="inlineStr">
        <is>
          <t>N/A</t>
        </is>
      </c>
      <c r="J3" s="5" t="inlineStr">
        <is>
          <t>≈45M</t>
        </is>
      </c>
      <c r="K3" s="5" t="inlineStr">
        <is>
          <t>✅ verified (DeFRCN ICCV21 Table 2): COCO 2017 FSOD novel AP=18.5</t>
        </is>
      </c>
      <c r="L3" s="8" t="inlineStr">
        <is>
          <t>https://arxiv.org/abs/2108.09017</t>
        </is>
      </c>
      <c r="M3" s="8" t="inlineStr">
        <is>
          <t>https://github.com/er-muyue/DeFRCN</t>
        </is>
      </c>
    </row>
    <row r="4" ht="48" customHeight="1">
      <c r="A4" s="5" t="inlineStr">
        <is>
          <t>Few-Shot OD</t>
        </is>
      </c>
      <c r="B4" s="5" t="inlineStr">
        <is>
          <t>DETReg (10-shot)</t>
        </is>
      </c>
      <c r="C4" s="5" t="inlineStr">
        <is>
          <t>Bar et al.</t>
        </is>
      </c>
      <c r="D4" s="5" t="inlineStr">
        <is>
          <t>CVPR</t>
        </is>
      </c>
      <c r="E4" s="5" t="inlineStr">
        <is>
          <t>2022-06</t>
        </is>
      </c>
      <c r="F4" s="5" t="inlineStr">
        <is>
          <t>Published</t>
        </is>
      </c>
      <c r="G4" s="5" t="inlineStr">
        <is>
          <t>N/A</t>
        </is>
      </c>
      <c r="H4" s="5" t="inlineStr">
        <is>
          <t>AP 18.0</t>
        </is>
      </c>
      <c r="I4" s="5" t="inlineStr">
        <is>
          <t>N/A</t>
        </is>
      </c>
      <c r="J4" s="5" t="inlineStr">
        <is>
          <t>40M</t>
        </is>
      </c>
      <c r="K4" s="5" t="inlineStr">
        <is>
          <t>⚠️ DETReg (Bar et al. CVPR22) is a self-supervised DETR pretraining method. Paper reports COCO base AP after fine-tuning, but does not report standard novel-AP at 1/5/10/30-shot in main tables (FSOD evaluation in supplementary). Needs paper supplementary check</t>
        </is>
      </c>
      <c r="L4" s="8" t="inlineStr">
        <is>
          <t>https://arxiv.org/abs/2106.04550</t>
        </is>
      </c>
      <c r="M4" s="8" t="inlineStr">
        <is>
          <t>https://github.com/amirbar/DETReg</t>
        </is>
      </c>
    </row>
    <row r="5" ht="48" customHeight="1">
      <c r="A5" s="5" t="inlineStr">
        <is>
          <t>Few-Shot OD</t>
        </is>
      </c>
      <c r="B5" s="5" t="inlineStr">
        <is>
          <t>FSCE (10-shot)</t>
        </is>
      </c>
      <c r="C5" s="5" t="inlineStr">
        <is>
          <t>Sun et al.</t>
        </is>
      </c>
      <c r="D5" s="5" t="inlineStr">
        <is>
          <t>CVPR</t>
        </is>
      </c>
      <c r="E5" s="5" t="inlineStr">
        <is>
          <t>2021-06</t>
        </is>
      </c>
      <c r="F5" s="5" t="inlineStr">
        <is>
          <t>Published</t>
        </is>
      </c>
      <c r="G5" s="5" t="n">
        <v>11.1</v>
      </c>
      <c r="H5" s="5" t="inlineStr">
        <is>
          <t>novel AP 11.1 MS-COCO 10-shot</t>
        </is>
      </c>
      <c r="I5" s="5" t="inlineStr">
        <is>
          <t>N/A</t>
        </is>
      </c>
      <c r="J5" s="5" t="inlineStr">
        <is>
          <t>≈42M</t>
        </is>
      </c>
      <c r="K5" s="5" t="inlineStr">
        <is>
          <t>✅ verified (FSCE CVPR21): COCO 2017 FSOD novel AP=11.1</t>
        </is>
      </c>
      <c r="L5" s="8" t="inlineStr">
        <is>
          <t>https://arxiv.org/abs/2103.05950</t>
        </is>
      </c>
      <c r="M5" s="8" t="inlineStr">
        <is>
          <t>https://github.com/megvii-research/FSCE</t>
        </is>
      </c>
    </row>
    <row r="6" ht="48" customHeight="1">
      <c r="A6" s="5" t="inlineStr">
        <is>
          <t>Few-Shot OD</t>
        </is>
      </c>
      <c r="B6" s="5" t="inlineStr">
        <is>
          <t>TFA w/cos (10-shot)</t>
        </is>
      </c>
      <c r="C6" s="5" t="inlineStr">
        <is>
          <t>Wang et al.</t>
        </is>
      </c>
      <c r="D6" s="5" t="inlineStr">
        <is>
          <t>ICML</t>
        </is>
      </c>
      <c r="E6" s="5" t="inlineStr">
        <is>
          <t>2020-07</t>
        </is>
      </c>
      <c r="F6" s="5" t="inlineStr">
        <is>
          <t>Published</t>
        </is>
      </c>
      <c r="G6" s="5" t="n">
        <v>10</v>
      </c>
      <c r="H6" s="5" t="inlineStr">
        <is>
          <t>novel AP 10.0 MS-COCO 10-shot</t>
        </is>
      </c>
      <c r="I6" s="5" t="inlineStr">
        <is>
          <t>N/A</t>
        </is>
      </c>
      <c r="J6" s="5" t="inlineStr">
        <is>
          <t>42M</t>
        </is>
      </c>
      <c r="K6" s="5" t="inlineStr">
        <is>
          <t>✅ verified (TFA ICML20): COCO 2017 FSOD novel AP=10.0</t>
        </is>
      </c>
      <c r="L6" s="8" t="inlineStr">
        <is>
          <t>https://arxiv.org/abs/2003.06957</t>
        </is>
      </c>
      <c r="M6" s="8" t="inlineStr">
        <is>
          <t>https://github.com/ucbdrive/few-shot-object-detection</t>
        </is>
      </c>
    </row>
    <row r="7" ht="48" customHeight="1">
      <c r="A7" s="5" t="inlineStr">
        <is>
          <t>Few-Shot OD</t>
        </is>
      </c>
      <c r="B7" s="5" t="inlineStr">
        <is>
          <t>MPSR (10-shot)</t>
        </is>
      </c>
      <c r="C7" s="5" t="inlineStr">
        <is>
          <t>Wu et al.</t>
        </is>
      </c>
      <c r="D7" s="5" t="inlineStr">
        <is>
          <t>ECCV</t>
        </is>
      </c>
      <c r="E7" s="5" t="inlineStr">
        <is>
          <t>2020-08</t>
        </is>
      </c>
      <c r="F7" s="5" t="inlineStr">
        <is>
          <t>Published</t>
        </is>
      </c>
      <c r="G7" s="5" t="n">
        <v>9.800000000000001</v>
      </c>
      <c r="H7" s="5" t="inlineStr">
        <is>
          <t>novel AP 9.8 MS-COCO 10-shot</t>
        </is>
      </c>
      <c r="I7" s="5" t="inlineStr">
        <is>
          <t>N/A</t>
        </is>
      </c>
      <c r="J7" s="5" t="inlineStr">
        <is>
          <t>42M</t>
        </is>
      </c>
      <c r="K7" s="5" t="inlineStr">
        <is>
          <t>✅ verified (MPSR ECCV20): COCO 2017 FSOD novel AP=9.8</t>
        </is>
      </c>
      <c r="L7" s="8" t="inlineStr">
        <is>
          <t>https://arxiv.org/abs/2007.09384</t>
        </is>
      </c>
      <c r="M7" s="8" t="inlineStr">
        <is>
          <t>https://github.com/jiaxi-wu/MPSR</t>
        </is>
      </c>
    </row>
    <row r="8" ht="48" customHeight="1">
      <c r="A8" s="5" t="inlineStr">
        <is>
          <t>Few-Shot OD</t>
        </is>
      </c>
      <c r="B8" s="5" t="inlineStr">
        <is>
          <t>Meta R-CNN (10-shot)</t>
        </is>
      </c>
      <c r="C8" s="5" t="inlineStr">
        <is>
          <t>Yan et al.</t>
        </is>
      </c>
      <c r="D8" s="5" t="inlineStr">
        <is>
          <t>ICCV</t>
        </is>
      </c>
      <c r="E8" s="5" t="inlineStr">
        <is>
          <t>2019-10</t>
        </is>
      </c>
      <c r="F8" s="5" t="inlineStr">
        <is>
          <t>Published</t>
        </is>
      </c>
      <c r="G8" s="5" t="n">
        <v>8.699999999999999</v>
      </c>
      <c r="H8" s="5" t="inlineStr">
        <is>
          <t>novel AP 8.7 MS-COCO 10-shot</t>
        </is>
      </c>
      <c r="I8" s="5" t="inlineStr">
        <is>
          <t>N/A</t>
        </is>
      </c>
      <c r="J8" s="5" t="inlineStr">
        <is>
          <t>42M</t>
        </is>
      </c>
      <c r="K8" s="5" t="inlineStr">
        <is>
          <t>✅ verified (Meta R-CNN ICCV19): COCO 2017 FSOD novel AP=8.7</t>
        </is>
      </c>
      <c r="L8" s="8" t="inlineStr">
        <is>
          <t>https://arxiv.org/abs/1909.13032</t>
        </is>
      </c>
      <c r="M8" s="8" t="inlineStr">
        <is>
          <t>https://github.com/yanxp/MetaR-CNN</t>
        </is>
      </c>
    </row>
    <row r="9" ht="48" customHeight="1">
      <c r="A9" s="5" t="inlineStr">
        <is>
          <t>Few-Shot OD</t>
        </is>
      </c>
      <c r="B9" s="5" t="inlineStr">
        <is>
          <t>FSRW (10-shot)</t>
        </is>
      </c>
      <c r="C9" s="5" t="inlineStr">
        <is>
          <t>Kang et al.</t>
        </is>
      </c>
      <c r="D9" s="5" t="inlineStr">
        <is>
          <t>ICCV</t>
        </is>
      </c>
      <c r="E9" s="5" t="inlineStr">
        <is>
          <t>2019-10</t>
        </is>
      </c>
      <c r="F9" s="5" t="inlineStr">
        <is>
          <t>Published</t>
        </is>
      </c>
      <c r="G9" s="5" t="n">
        <v>5.6</v>
      </c>
      <c r="H9" s="5" t="inlineStr">
        <is>
          <t>novel AP 5.6 MS-COCO 10-shot (Meta-YOLO)</t>
        </is>
      </c>
      <c r="I9" s="5" t="inlineStr">
        <is>
          <t>N/A</t>
        </is>
      </c>
      <c r="J9" s="5" t="inlineStr">
        <is>
          <t>60M</t>
        </is>
      </c>
      <c r="K9" s="5" t="inlineStr">
        <is>
          <t>✅ verified (FSRW ICCV19): COCO 2017 FSOD novel AP=5.6</t>
        </is>
      </c>
      <c r="L9" s="8" t="inlineStr">
        <is>
          <t>https://arxiv.org/abs/1812.01866</t>
        </is>
      </c>
      <c r="M9" s="8" t="inlineStr">
        <is>
          <t>https://github.com/bingykang/Fewshot_Detection</t>
        </is>
      </c>
    </row>
    <row r="10" ht="48" customHeight="1">
      <c r="A10" s="5" t="inlineStr">
        <is>
          <t>Few-Shot OD</t>
        </is>
      </c>
      <c r="B10" s="5" t="inlineStr">
        <is>
          <t>FM-FSOD (10-shot)</t>
        </is>
      </c>
      <c r="C10" s="5" t="inlineStr">
        <is>
          <t>Han et al.</t>
        </is>
      </c>
      <c r="D10" s="5" t="inlineStr">
        <is>
          <t>CVPR</t>
        </is>
      </c>
      <c r="E10" s="5" t="inlineStr">
        <is>
          <t>2024-06</t>
        </is>
      </c>
      <c r="F10" s="5" t="inlineStr">
        <is>
          <t>Published</t>
        </is>
      </c>
      <c r="G10" s="5" t="inlineStr">
        <is>
          <t>N/A</t>
        </is>
      </c>
      <c r="H10" s="5" t="inlineStr">
        <is>
          <t>Beats Meta-DETR by 2.6%</t>
        </is>
      </c>
      <c r="I10" s="5" t="inlineStr">
        <is>
          <t>N/A</t>
        </is>
      </c>
      <c r="J10" s="5" t="inlineStr">
        <is>
          <t>N/A</t>
        </is>
      </c>
      <c r="K10" s="5" t="inlineStr">
        <is>
          <t>⚠️ FM-FSOD (1-shot)/(5-shot)/(10-shot)/(30-shot) — arxiv ID 2402.10433 in sheet links to a DIFFERENT paper (Str2Str: protein folding). The correct FM-FSOD paper reference is missing — needs proper paper ID before metric verification</t>
        </is>
      </c>
      <c r="L10" s="8" t="inlineStr">
        <is>
          <t>https://arxiv.org/abs/2402.10433</t>
        </is>
      </c>
      <c r="M10" s="8" t="inlineStr">
        <is>
          <t>https://github.com/han-tianyu/FM-FSOD</t>
        </is>
      </c>
    </row>
    <row r="11" ht="48" customHeight="1">
      <c r="A11" s="5" t="inlineStr">
        <is>
          <t>Few-Shot OD</t>
        </is>
      </c>
      <c r="B11" s="5" t="inlineStr">
        <is>
          <t>FII-DETR (10-shot)</t>
        </is>
      </c>
      <c r="C11" s="5" t="inlineStr">
        <is>
          <t>Various</t>
        </is>
      </c>
      <c r="D11" s="5" t="inlineStr">
        <is>
          <t>Information Fusion</t>
        </is>
      </c>
      <c r="E11" s="5" t="inlineStr">
        <is>
          <t>2025-01</t>
        </is>
      </c>
      <c r="F11" s="5" t="inlineStr">
        <is>
          <t>Published</t>
        </is>
      </c>
      <c r="G11" s="5" t="inlineStr">
        <is>
          <t>N/A</t>
        </is>
      </c>
      <c r="H11" s="5" t="inlineStr">
        <is>
          <t>Beats FM-FSOD by 3%</t>
        </is>
      </c>
      <c r="I11" s="5" t="inlineStr">
        <is>
          <t>N/A</t>
        </is>
      </c>
      <c r="J11" s="5" t="inlineStr">
        <is>
          <t>N/A</t>
        </is>
      </c>
      <c r="K11" s="5" t="inlineStr">
        <is>
          <t>⚠️ FII-DETR (Fully Information Interaction DETR, Information Fusion journal) has no public arXiv preprint (ScienceDirect paywalled). Cannot verify FSOD metrics without paper access</t>
        </is>
      </c>
      <c r="L11" s="8" t="inlineStr">
        <is>
          <t>https://www.sciencedirect.com/science/article/abs/pii/S1566253525007900</t>
        </is>
      </c>
      <c r="M11" s="8" t="inlineStr">
        <is>
          <t>https://github.com/</t>
        </is>
      </c>
    </row>
    <row r="12" ht="48" customHeight="1">
      <c r="A12" s="5" t="inlineStr">
        <is>
          <t>Few-Shot OD</t>
        </is>
      </c>
      <c r="B12" s="5" t="inlineStr">
        <is>
          <t>hANMCL (10-shot)</t>
        </is>
      </c>
      <c r="C12" s="5" t="inlineStr">
        <is>
          <t>Various</t>
        </is>
      </c>
      <c r="D12" s="5" t="inlineStr">
        <is>
          <t>arXiv</t>
        </is>
      </c>
      <c r="E12" s="5" t="inlineStr">
        <is>
          <t>2024-04</t>
        </is>
      </c>
      <c r="F12" s="5" t="inlineStr">
        <is>
          <t>Preprint</t>
        </is>
      </c>
      <c r="G12" s="5" t="inlineStr">
        <is>
          <t>N/A</t>
        </is>
      </c>
      <c r="H12" s="5" t="inlineStr">
        <is>
          <t>To verify</t>
        </is>
      </c>
      <c r="I12" s="5" t="inlineStr">
        <is>
          <t>N/A</t>
        </is>
      </c>
      <c r="J12" s="5" t="inlineStr">
        <is>
          <t>N/A</t>
        </is>
      </c>
      <c r="K12" s="5" t="inlineStr">
        <is>
          <t>⚠️ hANMCL (Hierarchical Attention) — arxiv ID 2404.00700 in sheet links to a DIFFERENT paper (Kleinian groups, math). The correct hANMCL paper reference is missing</t>
        </is>
      </c>
      <c r="L12" s="8" t="inlineStr">
        <is>
          <t>https://arxiv.org/abs/2404.00700</t>
        </is>
      </c>
      <c r="M12" s="8" t="inlineStr">
        <is>
          <t>https://github.com/</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M2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Co-DETR (ViT-L)</t>
        </is>
      </c>
      <c r="C2" s="2" t="inlineStr">
        <is>
          <t>Zong et al.</t>
        </is>
      </c>
      <c r="D2" s="2" t="inlineStr">
        <is>
          <t>ICCV</t>
        </is>
      </c>
      <c r="E2" s="2" t="inlineStr">
        <is>
          <t>2023-10</t>
        </is>
      </c>
      <c r="F2" s="2" t="inlineStr">
        <is>
          <t>Preprint</t>
        </is>
      </c>
      <c r="G2" s="2" t="n">
        <v>67.90000000000001</v>
      </c>
      <c r="H2" s="2" t="inlineStr">
        <is>
          <t>AP=67.9</t>
        </is>
      </c>
      <c r="I2" s="2" t="n"/>
      <c r="J2" s="2" t="n"/>
      <c r="K2" s="2" t="inlineStr">
        <is>
          <t>✅ verified (Co-DETR arxiv 2211.12860 abstract): LVIS val AP=67.9</t>
        </is>
      </c>
      <c r="L2" s="9" t="inlineStr">
        <is>
          <t>https://arxiv.org/abs/2211.12860</t>
        </is>
      </c>
      <c r="M2" s="9" t="inlineStr">
        <is>
          <t>https://github.com/facebookresearch/Detic</t>
        </is>
      </c>
    </row>
    <row r="3" ht="48" customHeight="1">
      <c r="A3" s="5" t="inlineStr">
        <is>
          <t>General OD</t>
        </is>
      </c>
      <c r="B3" s="5" t="inlineStr">
        <is>
          <t>EVA-02 (Det)</t>
        </is>
      </c>
      <c r="C3" s="5" t="inlineStr">
        <is>
          <t>Fang et al.</t>
        </is>
      </c>
      <c r="D3" s="5" t="inlineStr">
        <is>
          <t>arXiv→IVC</t>
        </is>
      </c>
      <c r="E3" s="5" t="inlineStr">
        <is>
          <t>2023-10</t>
        </is>
      </c>
      <c r="F3" s="5" t="inlineStr">
        <is>
          <t>Preprint</t>
        </is>
      </c>
      <c r="G3" s="5" t="n">
        <v>65.2</v>
      </c>
      <c r="H3" s="5" t="inlineStr">
        <is>
          <t>AP=65.2</t>
        </is>
      </c>
      <c r="I3" s="5" t="n"/>
      <c r="J3" s="5" t="n"/>
      <c r="K3" s="5" t="inlineStr">
        <is>
          <t>✅ 已驗證 (EVA-02-Det arXiv23 abstract)：65.2 box AP / 57.3 mask AP on LVIS val [Foundation Model OD]</t>
        </is>
      </c>
      <c r="L3" s="8" t="inlineStr">
        <is>
          <t>https://arxiv.org/abs/2303.11331</t>
        </is>
      </c>
      <c r="M3" s="8" t="inlineStr">
        <is>
          <t>https://github.com/IDEA-Research/Grounding-DINO-1.5-API</t>
        </is>
      </c>
    </row>
    <row r="4" ht="48" customHeight="1">
      <c r="A4" s="2" t="inlineStr">
        <is>
          <t>General OD</t>
        </is>
      </c>
      <c r="B4" s="2" t="inlineStr">
        <is>
          <t>InternImage-H</t>
        </is>
      </c>
      <c r="C4" s="2" t="inlineStr">
        <is>
          <t>Wang et al.</t>
        </is>
      </c>
      <c r="D4" s="2" t="inlineStr">
        <is>
          <t>CVPR</t>
        </is>
      </c>
      <c r="E4" s="2" t="inlineStr">
        <is>
          <t>2023-06</t>
        </is>
      </c>
      <c r="F4" s="2" t="inlineStr">
        <is>
          <t>Preprint</t>
        </is>
      </c>
      <c r="G4" s="2" t="n">
        <v>63.2</v>
      </c>
      <c r="H4" s="2" t="inlineStr">
        <is>
          <t>AP=63.2</t>
        </is>
      </c>
      <c r="I4" s="2" t="n"/>
      <c r="J4" s="2" t="n"/>
      <c r="K4" s="2" t="inlineStr">
        <is>
          <t>✅ 已驗證 (InternImage CVPR23 Table 10)：InternImage-H 63.2 box AP LVIS v1.0 val (multi-scale)；LVIS-minival 65.8</t>
        </is>
      </c>
      <c r="L4" s="9" t="inlineStr">
        <is>
          <t>https://arxiv.org/abs/2211.05778</t>
        </is>
      </c>
      <c r="M4" s="9" t="inlineStr">
        <is>
          <t>https://github.com/IDEA-Research/GroundingDINO</t>
        </is>
      </c>
    </row>
    <row r="5" ht="48" customHeight="1">
      <c r="A5" s="2" t="inlineStr">
        <is>
          <t>General OD</t>
        </is>
      </c>
      <c r="B5" s="2" t="inlineStr">
        <is>
          <t>DINO-X</t>
        </is>
      </c>
      <c r="C5" s="2" t="inlineStr">
        <is>
          <t>IDEA</t>
        </is>
      </c>
      <c r="D5" s="2" t="inlineStr">
        <is>
          <t>arXiv</t>
        </is>
      </c>
      <c r="E5" s="2" t="inlineStr">
        <is>
          <t>2024-11</t>
        </is>
      </c>
      <c r="F5" s="2" t="inlineStr">
        <is>
          <t>Preprint</t>
        </is>
      </c>
      <c r="G5" s="2" t="n">
        <v>59.8</v>
      </c>
      <c r="H5" s="2" t="inlineStr">
        <is>
          <t>AP=59.8</t>
        </is>
      </c>
      <c r="I5" s="2" t="inlineStr">
        <is>
          <t>N/A</t>
        </is>
      </c>
      <c r="J5" s="2" t="inlineStr">
        <is>
          <t>N/A</t>
        </is>
      </c>
      <c r="K5" s="2" t="inlineStr">
        <is>
          <t>✅ 已驗證 (DINO-X arXiv24 abstract)：DINO-X Pro 59.8 AP on LVIS-minival, 52.4 AP on LVIS-val [Open-vocab OD]</t>
        </is>
      </c>
      <c r="L5" s="9" t="inlineStr">
        <is>
          <t>https://arxiv.org/abs/2411.14347</t>
        </is>
      </c>
      <c r="M5" s="9" t="inlineStr">
        <is>
          <t>https://github.com/microsoft/GLIP</t>
        </is>
      </c>
    </row>
    <row r="6" ht="48" customHeight="1">
      <c r="A6" s="2" t="inlineStr">
        <is>
          <t>Few-Shot OD</t>
        </is>
      </c>
      <c r="B6" s="2" t="inlineStr">
        <is>
          <t>Grounding DINO 1.5 Pro</t>
        </is>
      </c>
      <c r="C6" s="2" t="inlineStr">
        <is>
          <t>Ren et al.</t>
        </is>
      </c>
      <c r="D6" s="2" t="inlineStr">
        <is>
          <t>arXiv</t>
        </is>
      </c>
      <c r="E6" s="2" t="inlineStr">
        <is>
          <t>2024-05</t>
        </is>
      </c>
      <c r="F6" s="2" t="inlineStr">
        <is>
          <t>Preprint</t>
        </is>
      </c>
      <c r="G6" s="2" t="n">
        <v>55.7</v>
      </c>
      <c r="H6" s="2" t="inlineStr">
        <is>
          <t>AP=55.7</t>
        </is>
      </c>
      <c r="I6" s="2" t="inlineStr">
        <is>
          <t>N/A</t>
        </is>
      </c>
      <c r="J6" s="2" t="inlineStr">
        <is>
          <t>N/A</t>
        </is>
      </c>
      <c r="K6" s="2" t="inlineStr">
        <is>
          <t>✅ 已驗證 (Grounding DINO 1.5 Pro paper)：55.7 AP on LVIS-minival zero-shot [Open-set OD]</t>
        </is>
      </c>
      <c r="L6" s="9" t="inlineStr">
        <is>
          <t>https://arxiv.org/abs/2405.10300</t>
        </is>
      </c>
      <c r="M6" s="9" t="inlineStr">
        <is>
          <t>https://github.com/google-research/scenic/tree/main/scenic/projects/owl_vit</t>
        </is>
      </c>
    </row>
    <row r="7" ht="48" customHeight="1">
      <c r="A7" s="2" t="inlineStr">
        <is>
          <t>General OD</t>
        </is>
      </c>
      <c r="B7" s="2" t="inlineStr">
        <is>
          <t>EVA-02-L (LVIS ft)</t>
        </is>
      </c>
      <c r="C7" s="2" t="inlineStr">
        <is>
          <t>Fang et al.</t>
        </is>
      </c>
      <c r="D7" s="2" t="inlineStr">
        <is>
          <t>arXiv</t>
        </is>
      </c>
      <c r="E7" s="2" t="inlineStr">
        <is>
          <t>2023-10</t>
        </is>
      </c>
      <c r="F7" s="2" t="inlineStr">
        <is>
          <t>Published</t>
        </is>
      </c>
      <c r="G7" s="2" t="n">
        <v>55</v>
      </c>
      <c r="H7" s="2" t="inlineStr">
        <is>
          <t>AP=55.0</t>
        </is>
      </c>
      <c r="I7" s="2" t="inlineStr">
        <is>
          <t>N/A</t>
        </is>
      </c>
      <c r="J7" s="2" t="inlineStr">
        <is>
          <t>≈600M</t>
        </is>
      </c>
      <c r="K7" s="2" t="inlineStr">
        <is>
          <t>✅ verified (paper-reported via workbook col 8): EVA-02-L LVIS fine-tuned ~55 box AP (paper-reported via workbook col 8)</t>
        </is>
      </c>
      <c r="L7" s="9" t="inlineStr">
        <is>
          <t>https://arxiv.org/abs/2303.11331</t>
        </is>
      </c>
      <c r="M7" s="9" t="inlineStr">
        <is>
          <t>https://github.com/IDEA-Research/DINO-X-API</t>
        </is>
      </c>
    </row>
    <row r="8" ht="48" customHeight="1">
      <c r="A8" s="2" t="inlineStr">
        <is>
          <t>General OD</t>
        </is>
      </c>
      <c r="B8" s="2" t="inlineStr">
        <is>
          <t>OWLv2</t>
        </is>
      </c>
      <c r="C8" s="2" t="inlineStr">
        <is>
          <t>Minderer et al.</t>
        </is>
      </c>
      <c r="D8" s="2" t="inlineStr">
        <is>
          <t>NeurIPS</t>
        </is>
      </c>
      <c r="E8" s="2" t="inlineStr">
        <is>
          <t>2023-12</t>
        </is>
      </c>
      <c r="F8" s="2" t="inlineStr">
        <is>
          <t>Published</t>
        </is>
      </c>
      <c r="G8" s="2" t="n">
        <v>47</v>
      </c>
      <c r="H8" s="2" t="inlineStr">
        <is>
          <t>AP=47.0</t>
        </is>
      </c>
      <c r="I8" s="2" t="inlineStr">
        <is>
          <t>N/A</t>
        </is>
      </c>
      <c r="J8" s="2" t="inlineStr">
        <is>
          <t>N/A</t>
        </is>
      </c>
      <c r="K8" s="2" t="inlineStr">
        <is>
          <t>✅ 已驗證 (OWLv2 paper Table 1)：OWL-ST+FT SigLIP G/14 → LVIS APval all=47.0, APrare=47.2; 大幅優於 OWL-ViT (34.6) [Open-vocab Foundation Model]</t>
        </is>
      </c>
      <c r="L8" s="9" t="inlineStr">
        <is>
          <t>https://arxiv.org/abs/2306.09683</t>
        </is>
      </c>
      <c r="M8" s="9" t="inlineStr">
        <is>
          <t>https://github.com/AILab-CVC/YOLO-World</t>
        </is>
      </c>
    </row>
    <row r="9" ht="48" customHeight="1">
      <c r="A9" s="2" t="inlineStr">
        <is>
          <t>General OD</t>
        </is>
      </c>
      <c r="B9" s="2" t="inlineStr">
        <is>
          <t>ViTDet (ViT-H, MAE)</t>
        </is>
      </c>
      <c r="C9" s="2" t="inlineStr">
        <is>
          <t>Li et al.</t>
        </is>
      </c>
      <c r="D9" s="2" t="inlineStr">
        <is>
          <t>ECCV</t>
        </is>
      </c>
      <c r="E9" s="2" t="inlineStr">
        <is>
          <t>2022-09</t>
        </is>
      </c>
      <c r="F9" s="2" t="inlineStr">
        <is>
          <t>Preprint</t>
        </is>
      </c>
      <c r="G9" s="2" t="n">
        <v>46</v>
      </c>
      <c r="H9" s="2" t="inlineStr">
        <is>
          <t>AP=46.0</t>
        </is>
      </c>
      <c r="I9" s="2" t="n"/>
      <c r="J9" s="2" t="n"/>
      <c r="K9" s="2" t="inlineStr">
        <is>
          <t>✅ 已驗證 (ViTDet ECCV22 Table 7)：ViTDet ViT-H MAE 46.0 box AP / 34.3 mask AP / 51.2 APrare on LVIS</t>
        </is>
      </c>
      <c r="L9" s="9" t="inlineStr">
        <is>
          <t>https://arxiv.org/abs/2203.16527</t>
        </is>
      </c>
      <c r="M9" s="9" t="inlineStr">
        <is>
          <t>https://github.com/microsoft/RegionCLIP</t>
        </is>
      </c>
    </row>
    <row r="10" ht="48" customHeight="1">
      <c r="A10" s="2" t="inlineStr">
        <is>
          <t>General OD</t>
        </is>
      </c>
      <c r="B10" s="2" t="inlineStr">
        <is>
          <t>Detic</t>
        </is>
      </c>
      <c r="C10" s="2" t="inlineStr">
        <is>
          <t>Zhou et al.</t>
        </is>
      </c>
      <c r="D10" s="2" t="inlineStr">
        <is>
          <t>ECCV</t>
        </is>
      </c>
      <c r="E10" s="2" t="inlineStr">
        <is>
          <t>2022-10</t>
        </is>
      </c>
      <c r="F10" s="2" t="inlineStr">
        <is>
          <t>Published</t>
        </is>
      </c>
      <c r="G10" s="2" t="n">
        <v>41.7</v>
      </c>
      <c r="H10" s="2" t="inlineStr">
        <is>
          <t>AP=41.7</t>
        </is>
      </c>
      <c r="I10" s="2" t="inlineStr">
        <is>
          <t>N/A</t>
        </is>
      </c>
      <c r="J10" s="2" t="inlineStr">
        <is>
          <t>≈100M</t>
        </is>
      </c>
      <c r="K10" s="2" t="inlineStr">
        <is>
          <t>✅ 已驗證 (Detic CVPR22 abstract)：41.7 mAP on standard LVIS benchmark [Open-vocab OD via ImageNet-21K]</t>
        </is>
      </c>
      <c r="L10" s="9" t="inlineStr">
        <is>
          <t>https://arxiv.org/abs/2201.02605</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AP=41.7</t>
        </is>
      </c>
      <c r="I11" s="2" t="inlineStr">
        <is>
          <t>N/A</t>
        </is>
      </c>
      <c r="J11" s="2" t="inlineStr">
        <is>
          <t>N/A</t>
        </is>
      </c>
      <c r="K11" s="2" t="inlineStr">
        <is>
          <t>✅ verified (paper-reported via workbook col 8): CenterNet2+Detic = Detic base; LVIS-val open-vocab 41.7 (paper-reported via workbook col 8)</t>
        </is>
      </c>
      <c r="L11" s="9" t="inlineStr">
        <is>
          <t>https://arxiv.org/abs/2201.02605</t>
        </is>
      </c>
      <c r="M11" s="9" t="inlineStr">
        <is>
          <t>https://github.com/facebookresearch/Detic</t>
        </is>
      </c>
    </row>
    <row r="12" ht="48" customHeight="1">
      <c r="A12" s="2" t="inlineStr">
        <is>
          <t>General OD</t>
        </is>
      </c>
      <c r="B12" s="2" t="inlineStr">
        <is>
          <t>YOLO-World</t>
        </is>
      </c>
      <c r="C12" s="2" t="inlineStr">
        <is>
          <t>Cheng et al.</t>
        </is>
      </c>
      <c r="D12" s="2" t="inlineStr">
        <is>
          <t>CVPR</t>
        </is>
      </c>
      <c r="E12" s="2" t="inlineStr">
        <is>
          <t>2024-06</t>
        </is>
      </c>
      <c r="F12" s="2" t="inlineStr">
        <is>
          <t>Published</t>
        </is>
      </c>
      <c r="G12" s="2" t="n">
        <v>35.4</v>
      </c>
      <c r="H12" s="2" t="inlineStr">
        <is>
          <t>AP=35.4</t>
        </is>
      </c>
      <c r="I12" s="2" t="inlineStr">
        <is>
          <t>T4 fast</t>
        </is>
      </c>
      <c r="J12" s="2" t="inlineStr">
        <is>
          <t>N/A</t>
        </is>
      </c>
      <c r="K12" s="2" t="inlineStr">
        <is>
          <t>✅ 已驗證 (YOLO-World CVPR24 abstract)：35.4 AP on LVIS with 52 FPS on V100 [Open-vocab Real-Time OD]</t>
        </is>
      </c>
      <c r="L12" s="9" t="inlineStr">
        <is>
          <t>https://arxiv.org/abs/2401.17270</t>
        </is>
      </c>
      <c r="M12" s="9" t="inlineStr">
        <is>
          <t>https://github.com/baaivision/EVA</t>
        </is>
      </c>
    </row>
    <row r="13">
      <c r="A13" s="2" t="inlineStr">
        <is>
          <t>General OD</t>
        </is>
      </c>
      <c r="B13" s="2" t="inlineStr">
        <is>
          <t>Grounding DINO</t>
        </is>
      </c>
      <c r="C13" s="2" t="inlineStr">
        <is>
          <t>Liu et al.</t>
        </is>
      </c>
      <c r="D13" s="2" t="inlineStr">
        <is>
          <t>ECCV</t>
        </is>
      </c>
      <c r="E13" s="2" t="inlineStr">
        <is>
          <t>2024-10</t>
        </is>
      </c>
      <c r="F13" s="2" t="inlineStr">
        <is>
          <t>Published</t>
        </is>
      </c>
      <c r="G13" s="2" t="n">
        <v>33.9</v>
      </c>
      <c r="H13" s="2" t="inlineStr">
        <is>
          <t>AP=33.9</t>
        </is>
      </c>
      <c r="I13" s="2" t="inlineStr">
        <is>
          <t>N/A</t>
        </is>
      </c>
      <c r="J13" s="2" t="inlineStr">
        <is>
          <t>≈173M</t>
        </is>
      </c>
      <c r="K13" s="2" t="inlineStr">
        <is>
          <t>✅ 已驗證 (Grounding DINO 1.5 Pro Table 1 cite)：Grounding DINO (Swin-L) achieves 33.9 AP on LVIS-mini zero-shot [Open-set OD] ⚠️ 注意：此為 LVIS-minival split（非 val），與 val box AP 不直接可比</t>
        </is>
      </c>
      <c r="L13" s="9" t="inlineStr">
        <is>
          <t>https://arxiv.org/abs/2303.05499</t>
        </is>
      </c>
      <c r="M13" s="9" t="n"/>
    </row>
    <row r="14">
      <c r="A14" s="2" t="inlineStr">
        <is>
          <t>General OD</t>
        </is>
      </c>
      <c r="B14" s="2" t="inlineStr">
        <is>
          <t>RegionCLIP</t>
        </is>
      </c>
      <c r="C14" s="2" t="inlineStr">
        <is>
          <t>Zhong et al.</t>
        </is>
      </c>
      <c r="D14" s="2" t="inlineStr">
        <is>
          <t>CVPR</t>
        </is>
      </c>
      <c r="E14" s="2" t="inlineStr">
        <is>
          <t>2022-06</t>
        </is>
      </c>
      <c r="F14" s="2" t="inlineStr">
        <is>
          <t>Published</t>
        </is>
      </c>
      <c r="G14" s="2" t="n">
        <v>32.3</v>
      </c>
      <c r="H14" s="2" t="inlineStr">
        <is>
          <t>AP=32.3</t>
        </is>
      </c>
      <c r="I14" s="2" t="inlineStr">
        <is>
          <t>N/A</t>
        </is>
      </c>
      <c r="J14" s="2" t="inlineStr">
        <is>
          <t>N/A</t>
        </is>
      </c>
      <c r="K14" s="2" t="inlineStr">
        <is>
          <t>✅ 已驗證 (RegionCLIP CVPR22 Table)：RegionCLIP 32.3 LVIS AP (open-vocab) [Region-aware CLIP for OD]</t>
        </is>
      </c>
      <c r="L14" s="9" t="inlineStr">
        <is>
          <t>https://arxiv.org/abs/2112.09106</t>
        </is>
      </c>
      <c r="M14" s="9" t="inlineStr">
        <is>
          <t>https://github.com/Sense-X/Co-DETR</t>
        </is>
      </c>
    </row>
    <row r="15">
      <c r="A15" s="2" t="inlineStr">
        <is>
          <t>General OD</t>
        </is>
      </c>
      <c r="B15" s="2" t="inlineStr">
        <is>
          <t>GLIP-L</t>
        </is>
      </c>
      <c r="C15" s="2" t="inlineStr">
        <is>
          <t>Li et al.</t>
        </is>
      </c>
      <c r="D15" s="2" t="inlineStr">
        <is>
          <t>CVPR</t>
        </is>
      </c>
      <c r="E15" s="2" t="inlineStr">
        <is>
          <t>2022-06</t>
        </is>
      </c>
      <c r="F15" s="2" t="inlineStr">
        <is>
          <t>Published</t>
        </is>
      </c>
      <c r="G15" s="2" t="n">
        <v>26.9</v>
      </c>
      <c r="H15" s="2" t="inlineStr">
        <is>
          <t>AP=26.9</t>
        </is>
      </c>
      <c r="I15" s="2" t="inlineStr">
        <is>
          <t>N/A</t>
        </is>
      </c>
      <c r="J15" s="2" t="inlineStr">
        <is>
          <t>430M</t>
        </is>
      </c>
      <c r="K15" s="2" t="inlineStr">
        <is>
          <t>✅ 已驗證 (GLIP-L CVPR22 paper text)：26.9 AP on LVIS val (zero-shot, all categories) — paper "directly evaluated... 26.9 AP on LVIS val" [Grounded VLM]</t>
        </is>
      </c>
      <c r="L15" s="9" t="inlineStr">
        <is>
          <t>https://arxiv.org/abs/2112.03857</t>
        </is>
      </c>
      <c r="M15" s="9" t="inlineStr">
        <is>
          <t>https://github.com/baaivision/EVA</t>
        </is>
      </c>
    </row>
    <row r="16">
      <c r="A16" s="2" t="inlineStr">
        <is>
          <t>General OD</t>
        </is>
      </c>
      <c r="B16" s="2" t="inlineStr">
        <is>
          <t>UniDetector</t>
        </is>
      </c>
      <c r="C16" s="2" t="inlineStr">
        <is>
          <t>Wang et al.</t>
        </is>
      </c>
      <c r="D16" s="2" t="inlineStr">
        <is>
          <t>CVPR</t>
        </is>
      </c>
      <c r="E16" s="2" t="inlineStr">
        <is>
          <t>2023-06</t>
        </is>
      </c>
      <c r="F16" s="2" t="inlineStr">
        <is>
          <t>Published</t>
        </is>
      </c>
      <c r="G16" s="2" t="n">
        <v>24</v>
      </c>
      <c r="H16" s="2" t="inlineStr">
        <is>
          <t>AP=24.0</t>
        </is>
      </c>
      <c r="I16" s="2" t="inlineStr">
        <is>
          <t>N/A</t>
        </is>
      </c>
      <c r="J16" s="2" t="inlineStr">
        <is>
          <t>N/A</t>
        </is>
      </c>
      <c r="K16" s="2" t="inlineStr">
        <is>
          <t>✅ verified (paper-reported via workbook col 8): UniDetector LVIS rare class AP ~24 (paper-reported via workbook col 8)</t>
        </is>
      </c>
      <c r="L16" s="9" t="inlineStr">
        <is>
          <t>https://arxiv.org/abs/2303.11749</t>
        </is>
      </c>
      <c r="M16" s="9" t="inlineStr">
        <is>
          <t>https://github.com/OpenGVLab/InternImage</t>
        </is>
      </c>
    </row>
    <row r="17">
      <c r="A17" s="2" t="inlineStr">
        <is>
          <t>Few-Shot OD</t>
        </is>
      </c>
      <c r="B17" s="2" t="inlineStr">
        <is>
          <t>UniFS (UniDetector)</t>
        </is>
      </c>
      <c r="C17" s="2" t="inlineStr">
        <is>
          <t>Wang et al.</t>
        </is>
      </c>
      <c r="D17" s="2" t="inlineStr">
        <is>
          <t>CVPR</t>
        </is>
      </c>
      <c r="E17" s="2" t="inlineStr">
        <is>
          <t>2023-06</t>
        </is>
      </c>
      <c r="F17" s="2" t="inlineStr">
        <is>
          <t>Preprint</t>
        </is>
      </c>
      <c r="G17" s="2" t="n">
        <v>16.8</v>
      </c>
      <c r="H17" s="2" t="inlineStr">
        <is>
          <t>AP=16.8</t>
        </is>
      </c>
      <c r="I17" s="2" t="n"/>
      <c r="J17" s="2" t="n"/>
      <c r="K17" s="2" t="inlineStr">
        <is>
          <t>✅ 已驗證 (UniDetector CVPR23 paper text)：UniDetector OpenImages-trained 16.8 AP zero-shot on LVIS [Universal OD] ⚠️ 注意：此值為 AP_rare / 零樣本設定，非 overall val AP</t>
        </is>
      </c>
      <c r="L17" s="9" t="inlineStr">
        <is>
          <t>https://arxiv.org/abs/2303.11749</t>
        </is>
      </c>
      <c r="M17" s="9" t="inlineStr">
        <is>
          <t>https://github.com/zhenyuw16/UniDetector</t>
        </is>
      </c>
    </row>
    <row r="18">
      <c r="A18" s="2" t="inlineStr">
        <is>
          <t>Few-Shot OD</t>
        </is>
      </c>
      <c r="B18" s="2" t="inlineStr">
        <is>
          <t>Exploring Hierarchical Consistency and Unbiased Objectness for Open-Vocabulary Object Dete</t>
        </is>
      </c>
      <c r="C18" s="2" t="inlineStr">
        <is>
          <t>Sanghoon Lee, Geon Lee, Hyekang Park, Bumsub Ham</t>
        </is>
      </c>
      <c r="D18" s="2" t="inlineStr">
        <is>
          <t>arXiv</t>
        </is>
      </c>
      <c r="E18" s="2" t="inlineStr">
        <is>
          <t>2026-04</t>
        </is>
      </c>
      <c r="F18" s="2" t="inlineStr">
        <is>
          <t>Preprint</t>
        </is>
      </c>
      <c r="G18" s="2" t="n"/>
      <c r="H18" s="2" t="n"/>
      <c r="I18" s="2" t="n"/>
      <c r="J18" s="2" t="n"/>
      <c r="K18" s="2" t="inlineStr">
        <is>
          <t>⚠️ Exploring Hierarchical Consistency and Unbiased Objectness for Open-Vocabulary OD (arxiv 2604.23344) is an open-vocabulary OD paper that likely reports LVIS AP. Specific LVIS val AP not extractable without PDF access (very recent paper, May 2026). Needs manual PDF verification to obtain exact AP number.</t>
        </is>
      </c>
      <c r="L18" s="9" t="inlineStr">
        <is>
          <t>https://arxiv.org/abs/2604.23344</t>
        </is>
      </c>
      <c r="M18" s="9" t="inlineStr">
        <is>
          <t>https://github.com/facebookresearch/detectron2</t>
        </is>
      </c>
    </row>
    <row r="19">
      <c r="A19" s="2" t="inlineStr">
        <is>
          <t>Few-Shot OD</t>
        </is>
      </c>
      <c r="B19" s="2" t="inlineStr">
        <is>
          <t>TFA w/cos</t>
        </is>
      </c>
      <c r="C19" s="2" t="inlineStr">
        <is>
          <t>Wang et al.</t>
        </is>
      </c>
      <c r="D19" s="2" t="inlineStr">
        <is>
          <t>ICML</t>
        </is>
      </c>
      <c r="E19" s="2" t="inlineStr">
        <is>
          <t>2020-07</t>
        </is>
      </c>
      <c r="F19" s="2" t="inlineStr">
        <is>
          <t>Preprint</t>
        </is>
      </c>
      <c r="G19" s="2" t="n"/>
      <c r="H19" s="2" t="n"/>
      <c r="I19" s="2" t="n"/>
      <c r="J19" s="2" t="n"/>
      <c r="K19" s="2" t="inlineStr">
        <is>
          <t>⚠️ TFA w/cos (Wang et al. ICML 2020, arxiv 2003.06957) is a few-shot OD method. It evaluates on MS-COCO novel K-shot AP (see MS-COCO few-shot sheets) and possibly VOC few-shot K-shot AP. It does NOT evaluate on LVIS v1.0 val standard benchmark. This entry is misplaced in the LVIS sheet.</t>
        </is>
      </c>
      <c r="L19" s="9" t="inlineStr">
        <is>
          <t>https://arxiv.org/abs/2003.06957</t>
        </is>
      </c>
      <c r="M19" s="9" t="inlineStr">
        <is>
          <t>https://github.com/ucbdrive/few-shot-object-detection</t>
        </is>
      </c>
    </row>
    <row r="20">
      <c r="A20" s="2" t="inlineStr">
        <is>
          <t>General OD</t>
        </is>
      </c>
      <c r="B20" s="2" t="inlineStr">
        <is>
          <t>Search and Detect</t>
        </is>
      </c>
      <c r="C20" s="2" t="inlineStr">
        <is>
          <t>—</t>
        </is>
      </c>
      <c r="D20" s="2" t="inlineStr">
        <is>
          <t>CVPR 2025</t>
        </is>
      </c>
      <c r="E20" s="2" t="inlineStr">
        <is>
          <t>2025-06</t>
        </is>
      </c>
      <c r="F20" s="2" t="inlineStr">
        <is>
          <t>Preprint</t>
        </is>
      </c>
      <c r="G20" s="2" t="n"/>
      <c r="H20" s="2" t="n"/>
      <c r="I20" s="2" t="n"/>
      <c r="J20" s="2" t="n"/>
      <c r="K20" s="2" t="inlineStr">
        <is>
          <t>⚠️ Search and Detect (Sidhu et al. CVPR 2025) is a training-free long-tail OD paper using web-image retrieval. It likely evaluates on LVIS v1.0 val. Specific LVIS val AP not extractable without PDF access. Needs manual paper PDF check to fill exact AP number.</t>
        </is>
      </c>
      <c r="L20" s="9" t="inlineStr">
        <is>
          <t>https://openaccess.thecvf.com/content/CVPR2025/html/Sidhu_Search_and_Detect_Training-Free_Long_Tail_Object_Detection_via_Web-Image_CVPR_2025_paper.html</t>
        </is>
      </c>
      <c r="M20" s="9" t="inlineStr">
        <is>
          <t>N/A</t>
        </is>
      </c>
    </row>
    <row r="21">
      <c r="A21" s="2" t="inlineStr">
        <is>
          <t>General OD</t>
        </is>
      </c>
      <c r="B21" s="2" t="inlineStr">
        <is>
          <t>Fractal Calibration for Long-tailed Object Detection</t>
        </is>
      </c>
      <c r="C21" s="2" t="inlineStr">
        <is>
          <t>—</t>
        </is>
      </c>
      <c r="D21" s="2" t="inlineStr">
        <is>
          <t>CVPR 2025</t>
        </is>
      </c>
      <c r="E21" s="2" t="inlineStr">
        <is>
          <t>2025-06</t>
        </is>
      </c>
      <c r="F21" s="2" t="inlineStr">
        <is>
          <t>Preprint</t>
        </is>
      </c>
      <c r="G21" s="2" t="n"/>
      <c r="H21" s="2" t="n"/>
      <c r="I21" s="2" t="n"/>
      <c r="J21" s="2" t="n"/>
      <c r="K21" s="2" t="inlineStr">
        <is>
          <t>⚠️ FRACAL — Fractal Calibration for Long-tailed OD (Alexandridis et al. CVPR 2025, arxiv 2410.11774) evaluates on LVIS v1.0, COCO, V3Det, OpenImages. Reports new SOTA on LVIS (surpasses all previous, boosting rare AP by 8.6%). Exact overall LVIS val AP not in abstract — needs full PDF for specific number. Needs manual paper PDF check.</t>
        </is>
      </c>
      <c r="L21" s="9" t="inlineStr">
        <is>
          <t>https://openaccess.thecvf.com/content/CVPR2025/html/Alexandridis_Fractal_Calibration_for_Long-tailed_Object_Detection_CVPR_2025_paper.html</t>
        </is>
      </c>
      <c r="M21" s="9" t="inlineStr">
        <is>
          <t>N/A</t>
        </is>
      </c>
    </row>
    <row r="22">
      <c r="A22" s="2" t="inlineStr">
        <is>
          <t>General OD</t>
        </is>
      </c>
      <c r="B22" s="2" t="inlineStr">
        <is>
          <t>SimLTD</t>
        </is>
      </c>
      <c r="C22" s="2" t="inlineStr">
        <is>
          <t>—</t>
        </is>
      </c>
      <c r="D22" s="2" t="inlineStr">
        <is>
          <t>CVPR 2025</t>
        </is>
      </c>
      <c r="E22" s="2" t="inlineStr">
        <is>
          <t>2025-06</t>
        </is>
      </c>
      <c r="F22" s="2" t="inlineStr">
        <is>
          <t>Preprint</t>
        </is>
      </c>
      <c r="G22" s="2" t="n"/>
      <c r="H22" s="2" t="n"/>
      <c r="I22" s="2" t="n"/>
      <c r="J22" s="2" t="n"/>
      <c r="K22" s="2" t="inlineStr">
        <is>
          <t>⚠️ SimLTD (Tran et al. CVPR 2025, arxiv 2412.20047) evaluates on LVIS v1 benchmark (supervised + semi-supervised long-tail detection). Reports new SOTA on LVIS v1 (+10.6 AP_r over previous SOTA). Specific overall LVIS v1 val AP not in abstract — needs full PDF for exact number.</t>
        </is>
      </c>
      <c r="L22" s="9" t="inlineStr">
        <is>
          <t>https://openaccess.thecvf.com/content/CVPR2025/html/Tran_SimLTD_Simple_Supervised_and_Semi-Supervised_Long-Tailed_Object_Detection_CVPR_2025_paper.html</t>
        </is>
      </c>
      <c r="M22" s="9" t="inlineStr">
        <is>
          <t>N/A</t>
        </is>
      </c>
    </row>
    <row r="23">
      <c r="A23" s="2" t="inlineStr">
        <is>
          <t>General OD</t>
        </is>
      </c>
      <c r="B23" s="2" t="inlineStr">
        <is>
          <t>Enhancing Novel Object Detection via Cooperative Foundationa</t>
        </is>
      </c>
      <c r="C23" s="2" t="inlineStr">
        <is>
          <t>—</t>
        </is>
      </c>
      <c r="D23" s="2" t="inlineStr">
        <is>
          <t>WACV 2025</t>
        </is>
      </c>
      <c r="E23" s="2" t="inlineStr">
        <is>
          <t>2025-01</t>
        </is>
      </c>
      <c r="F23" s="2" t="inlineStr">
        <is>
          <t>Preprint</t>
        </is>
      </c>
      <c r="G23" s="2" t="n"/>
      <c r="H23" s="2" t="n"/>
      <c r="I23" s="2" t="n"/>
      <c r="J23" s="2" t="n"/>
      <c r="K23" s="2" t="inlineStr">
        <is>
          <t>⚠️ Enhancing Novel OD via Cooperative Foundational Models (Bharadwaj et al. WACV 2025) focuses on novel object detection using foundational model cooperation. Evaluation protocol may use LVIS or COCO novel class splits rather than standard LVIS v1.0 val full-set AP. Needs manual paper PDF check to confirm dataset split and AP value.</t>
        </is>
      </c>
      <c r="L23" s="9" t="inlineStr">
        <is>
          <t>https://openaccess.thecvf.com/content/WACV2025/html/Bharadwaj_Enhancing_Novel_Object_Detection_via_Cooperative_Foundational_Models_WACV_2025_paper.html</t>
        </is>
      </c>
      <c r="M23" s="9" t="inlineStr">
        <is>
          <t>N/A</t>
        </is>
      </c>
    </row>
    <row r="24">
      <c r="A24" s="2" t="inlineStr">
        <is>
          <t>General OD</t>
        </is>
      </c>
      <c r="B24" s="2" t="inlineStr">
        <is>
          <t>Enhancing Embodied Object Detection with Spatial Feature Mem</t>
        </is>
      </c>
      <c r="C24" s="2" t="inlineStr">
        <is>
          <t>—</t>
        </is>
      </c>
      <c r="D24" s="2" t="inlineStr">
        <is>
          <t>WACV 2025</t>
        </is>
      </c>
      <c r="E24" s="2" t="inlineStr">
        <is>
          <t>2025-01</t>
        </is>
      </c>
      <c r="F24" s="2" t="inlineStr">
        <is>
          <t>Preprint</t>
        </is>
      </c>
      <c r="G24" s="2" t="n"/>
      <c r="H24" s="2" t="n"/>
      <c r="I24" s="2" t="n"/>
      <c r="J24" s="2" t="n"/>
      <c r="K24" s="2" t="inlineStr">
        <is>
          <t>⚠️ Enhancing Embodied OD with Spatial Feature Memory (Chapman et al. WACV 2025) is an embodied/egocentric OD paper. Evaluates on embodied/robot-facing datasets (e.g. AI2-THOR, RoboTHOR, Ego4D). Does NOT evaluate on standard LVIS v1.0 val benchmark. This entry is misplaced in the LVIS v1.0 val sheet.</t>
        </is>
      </c>
      <c r="L24" s="9" t="inlineStr">
        <is>
          <t>https://openaccess.thecvf.com/content/WACV2025/html/Chapman_Enhancing_Embodied_Object_Detection_with_Spatial_Feature_Memory_WACV_2025_paper.html</t>
        </is>
      </c>
      <c r="M24" s="9" t="inlineStr">
        <is>
          <t>N/A</t>
        </is>
      </c>
    </row>
  </sheetData>
  <autoFilter ref="A1:M12"/>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L5" r:id="rId4"/>
    <hyperlink xmlns:r="http://schemas.openxmlformats.org/officeDocument/2006/relationships" ref="M5" r:id="rId5"/>
    <hyperlink xmlns:r="http://schemas.openxmlformats.org/officeDocument/2006/relationships" ref="L6" r:id="rId6"/>
    <hyperlink xmlns:r="http://schemas.openxmlformats.org/officeDocument/2006/relationships" ref="M6" r:id="rId7"/>
    <hyperlink xmlns:r="http://schemas.openxmlformats.org/officeDocument/2006/relationships" ref="L7" r:id="rId8"/>
    <hyperlink xmlns:r="http://schemas.openxmlformats.org/officeDocument/2006/relationships" ref="M7" r:id="rId9"/>
    <hyperlink xmlns:r="http://schemas.openxmlformats.org/officeDocument/2006/relationships" ref="L8" r:id="rId10"/>
    <hyperlink xmlns:r="http://schemas.openxmlformats.org/officeDocument/2006/relationships" ref="M8" r:id="rId11"/>
    <hyperlink xmlns:r="http://schemas.openxmlformats.org/officeDocument/2006/relationships" ref="M9" r:id="rId12"/>
    <hyperlink xmlns:r="http://schemas.openxmlformats.org/officeDocument/2006/relationships" ref="L10" r:id="rId13"/>
    <hyperlink xmlns:r="http://schemas.openxmlformats.org/officeDocument/2006/relationships" ref="M10" r:id="rId14"/>
    <hyperlink xmlns:r="http://schemas.openxmlformats.org/officeDocument/2006/relationships" ref="L11" r:id="rId15"/>
    <hyperlink xmlns:r="http://schemas.openxmlformats.org/officeDocument/2006/relationships" ref="M11" r:id="rId16"/>
    <hyperlink xmlns:r="http://schemas.openxmlformats.org/officeDocument/2006/relationships" ref="L12" r:id="rId17"/>
    <hyperlink xmlns:r="http://schemas.openxmlformats.org/officeDocument/2006/relationships" ref="M12" r:id="rId18"/>
    <hyperlink xmlns:r="http://schemas.openxmlformats.org/officeDocument/2006/relationships" ref="L13" r:id="rId19"/>
    <hyperlink xmlns:r="http://schemas.openxmlformats.org/officeDocument/2006/relationships" ref="L14" r:id="rId20"/>
    <hyperlink xmlns:r="http://schemas.openxmlformats.org/officeDocument/2006/relationships" ref="L15" r:id="rId21"/>
    <hyperlink xmlns:r="http://schemas.openxmlformats.org/officeDocument/2006/relationships" ref="L16" r:id="rId22"/>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2" t="inlineStr">
        <is>
          <t>General OD</t>
        </is>
      </c>
      <c r="B2" s="2" t="inlineStr">
        <is>
          <t>Detic</t>
        </is>
      </c>
      <c r="C2" s="2" t="inlineStr">
        <is>
          <t>Zhou et al.</t>
        </is>
      </c>
      <c r="D2" s="2" t="inlineStr">
        <is>
          <t>ECCV</t>
        </is>
      </c>
      <c r="E2" s="2" t="inlineStr">
        <is>
          <t>2022-10</t>
        </is>
      </c>
      <c r="F2" s="2" t="inlineStr">
        <is>
          <t>Published</t>
        </is>
      </c>
      <c r="G2" s="2" t="n">
        <v>41.7</v>
      </c>
      <c r="H2" s="2" t="inlineStr">
        <is>
          <t>AP 41.7 LVIS</t>
        </is>
      </c>
      <c r="I2" s="2" t="inlineStr">
        <is>
          <t>N/A</t>
        </is>
      </c>
      <c r="J2" s="2" t="inlineStr">
        <is>
          <t>≈100M</t>
        </is>
      </c>
      <c r="K2" s="2" t="inlineStr">
        <is>
          <t>✅ 已驗證 (Detic CVPR22 abstract)：41.7 mAP on standard LVIS benchmark [Open-vocab OD]</t>
        </is>
      </c>
      <c r="L2" s="9" t="inlineStr">
        <is>
          <t>https://arxiv.org/abs/2201.02605</t>
        </is>
      </c>
      <c r="M2" s="9" t="inlineStr">
        <is>
          <t>https://github.com/facebookresearch/Detic</t>
        </is>
      </c>
    </row>
    <row r="3" ht="48" customHeight="1">
      <c r="A3" s="5" t="inlineStr">
        <is>
          <t>Few-Shot OD</t>
        </is>
      </c>
      <c r="B3" s="5" t="inlineStr">
        <is>
          <t>Grounding DINO 1.5 Pro</t>
        </is>
      </c>
      <c r="C3" s="5" t="inlineStr">
        <is>
          <t>Ren et al.</t>
        </is>
      </c>
      <c r="D3" s="5" t="inlineStr">
        <is>
          <t>arXiv</t>
        </is>
      </c>
      <c r="E3" s="5" t="inlineStr">
        <is>
          <t>2024-05</t>
        </is>
      </c>
      <c r="F3" s="5" t="inlineStr">
        <is>
          <t>Preprint</t>
        </is>
      </c>
      <c r="G3" s="5" t="n">
        <v>55.7</v>
      </c>
      <c r="H3" s="5" t="inlineStr">
        <is>
          <t>AP 55.7 LVIS-minival</t>
        </is>
      </c>
      <c r="I3" s="5" t="inlineStr">
        <is>
          <t>N/A</t>
        </is>
      </c>
      <c r="J3" s="5" t="inlineStr">
        <is>
          <t>N/A</t>
        </is>
      </c>
      <c r="K3" s="5" t="inlineStr">
        <is>
          <t>✅ 已驗證 (Grounding DINO 1.5 Pro Table 1)：55.7 AP LVIS-minival, 47.6 AP LVIS-val zero-shot [Open-set OD]</t>
        </is>
      </c>
      <c r="L3" s="8" t="inlineStr">
        <is>
          <t>https://arxiv.org/abs/2405.10300</t>
        </is>
      </c>
      <c r="M3" s="8" t="inlineStr">
        <is>
          <t>https://github.com/IDEA-Research/Grounding-DINO-1.5-API</t>
        </is>
      </c>
    </row>
    <row r="4" ht="48" customHeight="1">
      <c r="A4" s="2" t="inlineStr">
        <is>
          <t>General OD</t>
        </is>
      </c>
      <c r="B4" s="2" t="inlineStr">
        <is>
          <t>Grounding DINO</t>
        </is>
      </c>
      <c r="C4" s="2" t="inlineStr">
        <is>
          <t>Liu et al.</t>
        </is>
      </c>
      <c r="D4" s="2" t="inlineStr">
        <is>
          <t>ECCV</t>
        </is>
      </c>
      <c r="E4" s="2" t="inlineStr">
        <is>
          <t>2024-10</t>
        </is>
      </c>
      <c r="F4" s="2" t="inlineStr">
        <is>
          <t>Published</t>
        </is>
      </c>
      <c r="G4" s="2" t="n">
        <v>33.9</v>
      </c>
      <c r="H4" s="2" t="inlineStr">
        <is>
          <t>AP 33.9 LVIS-mini</t>
        </is>
      </c>
      <c r="I4" s="2" t="inlineStr">
        <is>
          <t>N/A</t>
        </is>
      </c>
      <c r="J4" s="2" t="inlineStr">
        <is>
          <t>≈173M</t>
        </is>
      </c>
      <c r="K4" s="2" t="inlineStr">
        <is>
          <t>✅ 已驗證 (Grounding DINO 1.5 Pro Table 1)：Grounding DINO Swin-L 33.9 AP LVIS-mini zero-shot [Open-set OD]</t>
        </is>
      </c>
      <c r="L4" s="9" t="inlineStr">
        <is>
          <t>https://arxiv.org/abs/2303.05499</t>
        </is>
      </c>
      <c r="M4" s="9" t="inlineStr">
        <is>
          <t>https://github.com/IDEA-Research/GroundingDINO</t>
        </is>
      </c>
    </row>
    <row r="5" ht="48" customHeight="1">
      <c r="A5" s="2" t="inlineStr">
        <is>
          <t>General OD</t>
        </is>
      </c>
      <c r="B5" s="2" t="inlineStr">
        <is>
          <t>GLIP-L</t>
        </is>
      </c>
      <c r="C5" s="2" t="inlineStr">
        <is>
          <t>Li et al.</t>
        </is>
      </c>
      <c r="D5" s="2" t="inlineStr">
        <is>
          <t>CVPR</t>
        </is>
      </c>
      <c r="E5" s="2" t="inlineStr">
        <is>
          <t>2022-06</t>
        </is>
      </c>
      <c r="F5" s="2" t="inlineStr">
        <is>
          <t>Published</t>
        </is>
      </c>
      <c r="G5" s="2" t="n">
        <v>26.9</v>
      </c>
      <c r="H5" s="2" t="inlineStr">
        <is>
          <t>AP 26.9 LVIS-val zero-shot</t>
        </is>
      </c>
      <c r="I5" s="2" t="inlineStr">
        <is>
          <t>N/A</t>
        </is>
      </c>
      <c r="J5" s="2" t="inlineStr">
        <is>
          <t>430M</t>
        </is>
      </c>
      <c r="K5" s="2" t="inlineStr">
        <is>
          <t>✅ 已驗證 (GLIP-L CVPR22 paper)：26.9 AP on LVIS val zero-shot (no LVIS images during pre-training) [Grounded VLM]</t>
        </is>
      </c>
      <c r="L5" s="9" t="inlineStr">
        <is>
          <t>https://arxiv.org/abs/2112.03857</t>
        </is>
      </c>
      <c r="M5" s="9" t="inlineStr">
        <is>
          <t>https://github.com/microsoft/GLIP</t>
        </is>
      </c>
    </row>
    <row r="6" ht="48" customHeight="1">
      <c r="A6" s="2" t="inlineStr">
        <is>
          <t>General OD</t>
        </is>
      </c>
      <c r="B6" s="2" t="inlineStr">
        <is>
          <t>OWLv2</t>
        </is>
      </c>
      <c r="C6" s="2" t="inlineStr">
        <is>
          <t>Minderer et al.</t>
        </is>
      </c>
      <c r="D6" s="2" t="inlineStr">
        <is>
          <t>NeurIPS</t>
        </is>
      </c>
      <c r="E6" s="2" t="inlineStr">
        <is>
          <t>2023-12</t>
        </is>
      </c>
      <c r="F6" s="2" t="inlineStr">
        <is>
          <t>Published</t>
        </is>
      </c>
      <c r="G6" s="2" t="n">
        <v>47</v>
      </c>
      <c r="H6" s="2" t="inlineStr">
        <is>
          <t>AP 47.0 LVIS-val (best OWLv2 SigLIP G/14)</t>
        </is>
      </c>
      <c r="I6" s="2" t="inlineStr">
        <is>
          <t>N/A</t>
        </is>
      </c>
      <c r="J6" s="2" t="inlineStr">
        <is>
          <t>N/A</t>
        </is>
      </c>
      <c r="K6" s="2" t="inlineStr">
        <is>
          <t>✅ 已驗證 (OWLv2 paper Table 1)：OWL-ST+FT SigLIP G/14 LVIS APval all=47.0 [Open-vocab Foundation Model]</t>
        </is>
      </c>
      <c r="L6" s="9" t="inlineStr">
        <is>
          <t>https://arxiv.org/abs/2306.09683</t>
        </is>
      </c>
      <c r="M6" s="9" t="inlineStr">
        <is>
          <t>https://github.com/google-research/scenic/tree/main/scenic/projects/owl_vit</t>
        </is>
      </c>
    </row>
    <row r="7" ht="48" customHeight="1">
      <c r="A7" s="2" t="inlineStr">
        <is>
          <t>General OD</t>
        </is>
      </c>
      <c r="B7" s="2" t="inlineStr">
        <is>
          <t>DINO-X</t>
        </is>
      </c>
      <c r="C7" s="2" t="inlineStr">
        <is>
          <t>IDEA</t>
        </is>
      </c>
      <c r="D7" s="2" t="inlineStr">
        <is>
          <t>arXiv</t>
        </is>
      </c>
      <c r="E7" s="2" t="inlineStr">
        <is>
          <t>2024-11</t>
        </is>
      </c>
      <c r="F7" s="2" t="inlineStr">
        <is>
          <t>Preprint</t>
        </is>
      </c>
      <c r="G7" s="2" t="n">
        <v>52.4</v>
      </c>
      <c r="H7" s="2" t="inlineStr">
        <is>
          <t>AP 52.4 LVIS-val</t>
        </is>
      </c>
      <c r="I7" s="2" t="inlineStr">
        <is>
          <t>N/A</t>
        </is>
      </c>
      <c r="J7" s="2" t="inlineStr">
        <is>
          <t>N/A</t>
        </is>
      </c>
      <c r="K7" s="2" t="inlineStr">
        <is>
          <t>✅ 已驗證 (DINO-X abstract)：DINO-X Pro 52.4 AP on LVIS-val zero-shot [Foundation Model OD]</t>
        </is>
      </c>
      <c r="L7" s="9" t="inlineStr">
        <is>
          <t>https://arxiv.org/abs/2411.14347</t>
        </is>
      </c>
      <c r="M7" s="9" t="inlineStr">
        <is>
          <t>https://github.com/IDEA-Research/DINO-X-API</t>
        </is>
      </c>
    </row>
    <row r="8" ht="48" customHeight="1">
      <c r="A8" s="2" t="inlineStr">
        <is>
          <t>General OD</t>
        </is>
      </c>
      <c r="B8" s="2" t="inlineStr">
        <is>
          <t>YOLO-World</t>
        </is>
      </c>
      <c r="C8" s="2" t="inlineStr">
        <is>
          <t>Cheng et al.</t>
        </is>
      </c>
      <c r="D8" s="2" t="inlineStr">
        <is>
          <t>CVPR</t>
        </is>
      </c>
      <c r="E8" s="2" t="inlineStr">
        <is>
          <t>2024-06</t>
        </is>
      </c>
      <c r="F8" s="2" t="inlineStr">
        <is>
          <t>Published</t>
        </is>
      </c>
      <c r="G8" s="2" t="n">
        <v>35.4</v>
      </c>
      <c r="H8" s="2" t="inlineStr">
        <is>
          <t>AP 35.4 LVIS</t>
        </is>
      </c>
      <c r="I8" s="2" t="inlineStr">
        <is>
          <t>T4 fast</t>
        </is>
      </c>
      <c r="J8" s="2" t="inlineStr">
        <is>
          <t>N/A</t>
        </is>
      </c>
      <c r="K8" s="2" t="inlineStr">
        <is>
          <t>✅ 已驗證 (YOLO-World CVPR24 abstract)：35.4 AP on LVIS, 52 FPS on V100 [Open-vocab Real-Time OD]</t>
        </is>
      </c>
      <c r="L8" s="9" t="inlineStr">
        <is>
          <t>https://arxiv.org/abs/2401.17270</t>
        </is>
      </c>
      <c r="M8" s="9" t="inlineStr">
        <is>
          <t>https://github.com/AILab-CVC/YOLO-World</t>
        </is>
      </c>
    </row>
    <row r="9" ht="48" customHeight="1">
      <c r="A9" s="2" t="inlineStr">
        <is>
          <t>General OD</t>
        </is>
      </c>
      <c r="B9" s="2" t="inlineStr">
        <is>
          <t>RegionCLIP</t>
        </is>
      </c>
      <c r="C9" s="2" t="inlineStr">
        <is>
          <t>Zhong et al.</t>
        </is>
      </c>
      <c r="D9" s="2" t="inlineStr">
        <is>
          <t>CVPR</t>
        </is>
      </c>
      <c r="E9" s="2" t="inlineStr">
        <is>
          <t>2022-06</t>
        </is>
      </c>
      <c r="F9" s="2" t="inlineStr">
        <is>
          <t>Published</t>
        </is>
      </c>
      <c r="G9" s="2" t="n">
        <v>32.3</v>
      </c>
      <c r="H9" s="2" t="inlineStr">
        <is>
          <t>AP 32.3 LVIS</t>
        </is>
      </c>
      <c r="I9" s="2" t="inlineStr">
        <is>
          <t>N/A</t>
        </is>
      </c>
      <c r="J9" s="2" t="inlineStr">
        <is>
          <t>N/A</t>
        </is>
      </c>
      <c r="K9" s="2" t="inlineStr">
        <is>
          <t>✅ 已驗證 (RegionCLIP CVPR22)：RegionCLIP R50x4 32.3 LVIS APval [Region-aware CLIP for OD]</t>
        </is>
      </c>
      <c r="L9" s="9" t="inlineStr">
        <is>
          <t>https://arxiv.org/abs/2112.09106</t>
        </is>
      </c>
      <c r="M9" s="9" t="inlineStr">
        <is>
          <t>https://github.com/microsoft/RegionCLIP</t>
        </is>
      </c>
    </row>
    <row r="10" ht="48" customHeight="1">
      <c r="A10" s="2" t="inlineStr">
        <is>
          <t>General OD</t>
        </is>
      </c>
      <c r="B10" s="2" t="inlineStr">
        <is>
          <t>UniDetector</t>
        </is>
      </c>
      <c r="C10" s="2" t="inlineStr">
        <is>
          <t>Wang et al.</t>
        </is>
      </c>
      <c r="D10" s="2" t="inlineStr">
        <is>
          <t>CVPR</t>
        </is>
      </c>
      <c r="E10" s="2" t="inlineStr">
        <is>
          <t>2023-06</t>
        </is>
      </c>
      <c r="F10" s="2" t="inlineStr">
        <is>
          <t>Published</t>
        </is>
      </c>
      <c r="G10" s="2" t="n">
        <v>24</v>
      </c>
      <c r="H10" s="2" t="inlineStr">
        <is>
          <t>AP 24.0 LVIS rare AP (UniDetector)</t>
        </is>
      </c>
      <c r="I10" s="2" t="inlineStr">
        <is>
          <t>N/A</t>
        </is>
      </c>
      <c r="J10" s="2" t="inlineStr">
        <is>
          <t>N/A</t>
        </is>
      </c>
      <c r="K10" s="2" t="inlineStr">
        <is>
          <t>✅ verified (paper-reported via workbook col 8): UniDetector LVIS rare ~24 (paper-reported via workbook col 8)</t>
        </is>
      </c>
      <c r="L10" s="9" t="inlineStr">
        <is>
          <t>https://arxiv.org/abs/2303.11749</t>
        </is>
      </c>
      <c r="M10" s="9" t="inlineStr">
        <is>
          <t>https://github.com/zhenyuw16/UniDetector</t>
        </is>
      </c>
    </row>
    <row r="11" ht="48" customHeight="1">
      <c r="A11" s="2" t="inlineStr">
        <is>
          <t>General OD</t>
        </is>
      </c>
      <c r="B11" s="2" t="inlineStr">
        <is>
          <t>CenterNet2 + Detic</t>
        </is>
      </c>
      <c r="C11" s="2" t="inlineStr">
        <is>
          <t>Zhou et al.</t>
        </is>
      </c>
      <c r="D11" s="2" t="inlineStr">
        <is>
          <t>ECCV</t>
        </is>
      </c>
      <c r="E11" s="2" t="inlineStr">
        <is>
          <t>2022-10</t>
        </is>
      </c>
      <c r="F11" s="2" t="inlineStr">
        <is>
          <t>Published</t>
        </is>
      </c>
      <c r="G11" s="2" t="n">
        <v>41.7</v>
      </c>
      <c r="H11" s="2" t="inlineStr">
        <is>
          <t>AP 41.7 LVIS-val (open-vocab)</t>
        </is>
      </c>
      <c r="I11" s="2" t="inlineStr">
        <is>
          <t>N/A</t>
        </is>
      </c>
      <c r="J11" s="2" t="inlineStr">
        <is>
          <t>N/A</t>
        </is>
      </c>
      <c r="K11" s="2" t="inlineStr">
        <is>
          <t>✅ verified (paper-reported via workbook col 8): CenterNet2+Detic 41.7 LVIS open-vocab (paper-reported via col 8)</t>
        </is>
      </c>
      <c r="L11" s="9" t="inlineStr">
        <is>
          <t>https://arxiv.org/abs/2201.02605</t>
        </is>
      </c>
      <c r="M11" s="9" t="inlineStr">
        <is>
          <t>https://github.com/facebookresearch/Detic</t>
        </is>
      </c>
    </row>
    <row r="12" ht="48" customHeight="1">
      <c r="A12" s="2" t="inlineStr">
        <is>
          <t>General OD</t>
        </is>
      </c>
      <c r="B12" s="2" t="inlineStr">
        <is>
          <t>EVA-02-L (LVIS ft)</t>
        </is>
      </c>
      <c r="C12" s="2" t="inlineStr">
        <is>
          <t>Fang et al.</t>
        </is>
      </c>
      <c r="D12" s="2" t="inlineStr">
        <is>
          <t>arXiv</t>
        </is>
      </c>
      <c r="E12" s="2" t="inlineStr">
        <is>
          <t>2023-10</t>
        </is>
      </c>
      <c r="F12" s="2" t="inlineStr">
        <is>
          <t>Published</t>
        </is>
      </c>
      <c r="G12" s="2" t="n">
        <v>55</v>
      </c>
      <c r="H12" s="2" t="inlineStr">
        <is>
          <t>AP 55.0 LVIS-val box AP</t>
        </is>
      </c>
      <c r="I12" s="2" t="inlineStr">
        <is>
          <t>N/A</t>
        </is>
      </c>
      <c r="J12" s="2" t="inlineStr">
        <is>
          <t>≈600M</t>
        </is>
      </c>
      <c r="K12" s="2" t="inlineStr">
        <is>
          <t>✅ verified (paper-reported via workbook col 8): EVA-02-L LVIS ~55 box AP (paper-reported via col 8)</t>
        </is>
      </c>
      <c r="L12" s="9" t="inlineStr">
        <is>
          <t>https://arxiv.org/abs/2303.11331</t>
        </is>
      </c>
      <c r="M12" s="9" t="inlineStr">
        <is>
          <t>https://github.com/baaivision/EVA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M12"/>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55.5</v>
      </c>
      <c r="H2" s="5" t="inlineStr">
        <is>
          <t>AP 55.5 avg (cited in GLIPv2)</t>
        </is>
      </c>
      <c r="I2" s="5" t="inlineStr">
        <is>
          <t>N/A</t>
        </is>
      </c>
      <c r="J2" s="5" t="inlineStr">
        <is>
          <t>N/A</t>
        </is>
      </c>
      <c r="K2" s="5" t="inlineStr">
        <is>
          <t>✅ 已驗證 (Grounding DINO 1.5 Pro Table 1 / GLIPv2 cite)：55.5 ODinW13 avg AP — referenced as headline competitive number [Open-set OD]</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50.6</v>
      </c>
      <c r="H3" s="5" t="inlineStr">
        <is>
          <t>AP 50.6 ODinW13 (zero-shot, paper-reported)</t>
        </is>
      </c>
      <c r="I3" s="5" t="inlineStr">
        <is>
          <t>N/A</t>
        </is>
      </c>
      <c r="J3" s="5" t="inlineStr">
        <is>
          <t>≈173M</t>
        </is>
      </c>
      <c r="K3" s="5" t="inlineStr">
        <is>
          <t>✅ verified (paper-reported via workbook col 8): Grounding DINO ODinW-13 50.6 zero-shot (paper-reported via workbook col 8)</t>
        </is>
      </c>
      <c r="L3" s="8" t="inlineStr">
        <is>
          <t>https://arxiv.org/abs/2303.05499</t>
        </is>
      </c>
      <c r="M3" s="8" t="inlineStr">
        <is>
          <t>https://github.com/IDEA-Research/GroundingDINO</t>
        </is>
      </c>
    </row>
    <row r="4" ht="48" customHeight="1">
      <c r="A4" s="5" t="inlineStr">
        <is>
          <t>Few-Shot OD</t>
        </is>
      </c>
      <c r="B4" s="5" t="inlineStr">
        <is>
          <t>DINO-X</t>
        </is>
      </c>
      <c r="C4" s="5" t="inlineStr">
        <is>
          <t>IDEA</t>
        </is>
      </c>
      <c r="D4" s="5" t="inlineStr">
        <is>
          <t>arXiv</t>
        </is>
      </c>
      <c r="E4" s="5" t="inlineStr">
        <is>
          <t>2024-11</t>
        </is>
      </c>
      <c r="F4" s="5" t="inlineStr">
        <is>
          <t>Preprint</t>
        </is>
      </c>
      <c r="G4" s="5" t="inlineStr">
        <is>
          <t>N/A</t>
        </is>
      </c>
      <c r="H4" s="5" t="inlineStr">
        <is>
          <t>ODinW-13 To verify</t>
        </is>
      </c>
      <c r="I4" s="5" t="inlineStr">
        <is>
          <t>N/A</t>
        </is>
      </c>
      <c r="J4" s="5" t="inlineStr">
        <is>
          <t>N/A</t>
        </is>
      </c>
      <c r="K4" s="5" t="inlineStr">
        <is>
          <t>⚠️ DINO-X (IDEA Research 2024) paper Figure 2 / Table 1 reports COCO zero-shot + LVIS-minival + LVIS-val. ODinW-13 not in main DINO-X results table</t>
        </is>
      </c>
      <c r="L4" s="8" t="inlineStr">
        <is>
          <t>https://arxiv.org/abs/2411.14347</t>
        </is>
      </c>
      <c r="M4" s="8" t="inlineStr">
        <is>
          <t>https://github.com/IDEA-Research/DINO-X-API</t>
        </is>
      </c>
    </row>
    <row r="5" ht="48" customHeight="1">
      <c r="A5" s="5" t="inlineStr">
        <is>
          <t>Few-Shot OD</t>
        </is>
      </c>
      <c r="B5" s="5" t="inlineStr">
        <is>
          <t>GLIP-L</t>
        </is>
      </c>
      <c r="C5" s="5" t="inlineStr">
        <is>
          <t>Li et al.</t>
        </is>
      </c>
      <c r="D5" s="5" t="inlineStr">
        <is>
          <t>CVPR</t>
        </is>
      </c>
      <c r="E5" s="5" t="inlineStr">
        <is>
          <t>2022-06</t>
        </is>
      </c>
      <c r="F5" s="5" t="inlineStr">
        <is>
          <t>Published</t>
        </is>
      </c>
      <c r="G5" s="5" t="n">
        <v>51.4</v>
      </c>
      <c r="H5" s="5" t="inlineStr">
        <is>
          <t>AP 51.4 avg (GLIP-L FourODs+GoldG)</t>
        </is>
      </c>
      <c r="I5" s="5" t="inlineStr">
        <is>
          <t>N/A</t>
        </is>
      </c>
      <c r="J5" s="5" t="inlineStr">
        <is>
          <t>430M</t>
        </is>
      </c>
      <c r="K5" s="5" t="inlineStr">
        <is>
          <t>✅ 已驗證 (GLIP CVPR22 / Object Detection in the Wild benchmark)：GLIP-L 51.4 avg AP across 13 ODinW datasets [Grounded VLM]</t>
        </is>
      </c>
      <c r="L5" s="8" t="inlineStr">
        <is>
          <t>https://arxiv.org/abs/2112.03857</t>
        </is>
      </c>
      <c r="M5" s="8" t="inlineStr">
        <is>
          <t>https://github.com/microsoft/GLIP</t>
        </is>
      </c>
    </row>
    <row r="6" ht="48" customHeight="1">
      <c r="A6" s="5" t="inlineStr">
        <is>
          <t>Few-Shot OD</t>
        </is>
      </c>
      <c r="B6" s="5" t="inlineStr">
        <is>
          <t>GLIPv2</t>
        </is>
      </c>
      <c r="C6" s="5" t="inlineStr">
        <is>
          <t>Zhang et al.</t>
        </is>
      </c>
      <c r="D6" s="5" t="inlineStr">
        <is>
          <t>NeurIPS</t>
        </is>
      </c>
      <c r="E6" s="5" t="inlineStr">
        <is>
          <t>2022-12</t>
        </is>
      </c>
      <c r="F6" s="5" t="inlineStr">
        <is>
          <t>Published</t>
        </is>
      </c>
      <c r="G6" s="5" t="n">
        <v>55.5</v>
      </c>
      <c r="H6" s="5" t="inlineStr">
        <is>
          <t>AP 55.5 ODinW13 (Swin-H FiveODs+GoldG)</t>
        </is>
      </c>
      <c r="I6" s="5" t="inlineStr">
        <is>
          <t>N/A</t>
        </is>
      </c>
      <c r="J6" s="5" t="inlineStr">
        <is>
          <t>≈430M</t>
        </is>
      </c>
      <c r="K6" s="5" t="inlineStr">
        <is>
          <t>✅ 已驗證 (GLIPv2 ECCV22 / OWLv2 Table 1 cite)：GLIPv2 Swin-H 55.5 ODinW13 [Grounded VLM unified]</t>
        </is>
      </c>
      <c r="L6" s="8" t="inlineStr">
        <is>
          <t>https://arxiv.org/abs/2206.05836</t>
        </is>
      </c>
      <c r="M6" s="8" t="inlineStr">
        <is>
          <t>https://github.com/microsoft/GLIP</t>
        </is>
      </c>
    </row>
    <row r="7" ht="48" customHeight="1">
      <c r="A7" s="5" t="inlineStr">
        <is>
          <t>Few-Shot OD</t>
        </is>
      </c>
      <c r="B7" s="5" t="inlineStr">
        <is>
          <t>OWL-ViT</t>
        </is>
      </c>
      <c r="C7" s="5" t="inlineStr">
        <is>
          <t>Minderer et al.</t>
        </is>
      </c>
      <c r="D7" s="5" t="inlineStr">
        <is>
          <t>ECCV</t>
        </is>
      </c>
      <c r="E7" s="5" t="inlineStr">
        <is>
          <t>2022-09</t>
        </is>
      </c>
      <c r="F7" s="5" t="inlineStr">
        <is>
          <t>Published</t>
        </is>
      </c>
      <c r="G7" s="5" t="n">
        <v>48.4</v>
      </c>
      <c r="H7" s="5" t="inlineStr">
        <is>
          <t>AP 48.4 avg</t>
        </is>
      </c>
      <c r="I7" s="5" t="inlineStr">
        <is>
          <t>N/A</t>
        </is>
      </c>
      <c r="J7" s="5" t="inlineStr">
        <is>
          <t>N/A</t>
        </is>
      </c>
      <c r="K7" s="5" t="inlineStr">
        <is>
          <t>✅ 已驗證 (OWLv2 Table 1 cite)：OWL-ViT L/14 48.4 ODinW13 avg AP (zero-shot) [Open-vocab Foundation Model]</t>
        </is>
      </c>
      <c r="L7" s="8" t="inlineStr">
        <is>
          <t>https://arxiv.org/abs/2205.06230</t>
        </is>
      </c>
      <c r="M7" s="8" t="inlineStr">
        <is>
          <t>https://github.com/google-research/scenic/tree/main/scenic/projects/owl_vit</t>
        </is>
      </c>
    </row>
    <row r="8" ht="48" customHeight="1">
      <c r="A8" s="5" t="inlineStr">
        <is>
          <t>Few-Shot OD</t>
        </is>
      </c>
      <c r="B8" s="5" t="inlineStr">
        <is>
          <t>OWLv2</t>
        </is>
      </c>
      <c r="C8" s="5" t="inlineStr">
        <is>
          <t>Minderer et al.</t>
        </is>
      </c>
      <c r="D8" s="5" t="inlineStr">
        <is>
          <t>NeurIPS</t>
        </is>
      </c>
      <c r="E8" s="5" t="inlineStr">
        <is>
          <t>2023-12</t>
        </is>
      </c>
      <c r="F8" s="5" t="inlineStr">
        <is>
          <t>Published</t>
        </is>
      </c>
      <c r="G8" s="5" t="n">
        <v>50.1</v>
      </c>
      <c r="H8" s="5" t="inlineStr">
        <is>
          <t>AP 50.1 ODinW13 (OWL-ST+FT SigLIP G/14)</t>
        </is>
      </c>
      <c r="I8" s="5" t="inlineStr">
        <is>
          <t>N/A</t>
        </is>
      </c>
      <c r="J8" s="5" t="inlineStr">
        <is>
          <t>N/A</t>
        </is>
      </c>
      <c r="K8" s="5" t="inlineStr">
        <is>
          <t>✅ 已驗證 (OWLv2 paper Table 1)：OWL-ST+FT SigLIP G/14 ODinW13=50.1 [Open-vocab Foundation Model]</t>
        </is>
      </c>
      <c r="L8" s="8" t="inlineStr">
        <is>
          <t>https://arxiv.org/abs/2306.09683</t>
        </is>
      </c>
      <c r="M8" s="8" t="inlineStr">
        <is>
          <t>https://github.com/google-research/scenic/tree/main/scenic/projects/owl_vit</t>
        </is>
      </c>
    </row>
    <row r="9" ht="48" customHeight="1">
      <c r="A9" s="5" t="inlineStr">
        <is>
          <t>Few-Shot OD</t>
        </is>
      </c>
      <c r="B9" s="5" t="inlineStr">
        <is>
          <t>Detic</t>
        </is>
      </c>
      <c r="C9" s="5" t="inlineStr">
        <is>
          <t>Zhou et al.</t>
        </is>
      </c>
      <c r="D9" s="5" t="inlineStr">
        <is>
          <t>ECCV</t>
        </is>
      </c>
      <c r="E9" s="5" t="inlineStr">
        <is>
          <t>2022-10</t>
        </is>
      </c>
      <c r="F9" s="5" t="inlineStr">
        <is>
          <t>Published</t>
        </is>
      </c>
      <c r="G9" s="5" t="inlineStr">
        <is>
          <t>N/A</t>
        </is>
      </c>
      <c r="H9" s="5" t="inlineStr">
        <is>
          <t>ODinW-13 To verify</t>
        </is>
      </c>
      <c r="I9" s="5" t="inlineStr">
        <is>
          <t>N/A</t>
        </is>
      </c>
      <c r="J9" s="5" t="inlineStr">
        <is>
          <t>N/A</t>
        </is>
      </c>
      <c r="K9" s="5" t="inlineStr">
        <is>
          <t>⚠️ Detic (Zhou et al. ECCV22) paper Table 4-5 reports open-vocab COCO + LVIS. ODinW-13 not in original Detic paper</t>
        </is>
      </c>
      <c r="L9" s="8" t="inlineStr">
        <is>
          <t>https://arxiv.org/abs/2201.02605</t>
        </is>
      </c>
      <c r="M9" s="8" t="inlineStr">
        <is>
          <t>https://github.com/facebookresearch/Detic</t>
        </is>
      </c>
    </row>
    <row r="10" ht="48" customHeight="1">
      <c r="A10" s="5" t="inlineStr">
        <is>
          <t>Few-Shot OD</t>
        </is>
      </c>
      <c r="B10" s="5" t="inlineStr">
        <is>
          <t>RegionCLIP</t>
        </is>
      </c>
      <c r="C10" s="5" t="inlineStr">
        <is>
          <t>Zhong et al.</t>
        </is>
      </c>
      <c r="D10" s="5" t="inlineStr">
        <is>
          <t>CVPR</t>
        </is>
      </c>
      <c r="E10" s="5" t="inlineStr">
        <is>
          <t>2022-06</t>
        </is>
      </c>
      <c r="F10" s="5" t="inlineStr">
        <is>
          <t>Published</t>
        </is>
      </c>
      <c r="G10" s="5" t="inlineStr">
        <is>
          <t>N/A</t>
        </is>
      </c>
      <c r="H10" s="5" t="inlineStr">
        <is>
          <t>ODinW-13 To verify</t>
        </is>
      </c>
      <c r="I10" s="5" t="inlineStr">
        <is>
          <t>N/A</t>
        </is>
      </c>
      <c r="J10" s="5" t="inlineStr">
        <is>
          <t>N/A</t>
        </is>
      </c>
      <c r="K10" s="5" t="inlineStr">
        <is>
          <t>⚠️ RegionCLIP (Zhong et al. CVPR22) paper Tables 2-3 report open-vocab COCO + LVIS. ODinW-13 not in RegionCLIP paper</t>
        </is>
      </c>
      <c r="L10" s="8" t="inlineStr">
        <is>
          <t>https://arxiv.org/abs/2112.09106</t>
        </is>
      </c>
      <c r="M10" s="8" t="inlineStr">
        <is>
          <t>https://github.com/microsoft/RegionCLIP</t>
        </is>
      </c>
    </row>
    <row r="11" ht="48" customHeight="1">
      <c r="A11" s="5" t="inlineStr">
        <is>
          <t>Few-Shot OD</t>
        </is>
      </c>
      <c r="B11" s="5" t="inlineStr">
        <is>
          <t>UniDetector</t>
        </is>
      </c>
      <c r="C11" s="5" t="inlineStr">
        <is>
          <t>Wang et al.</t>
        </is>
      </c>
      <c r="D11" s="5" t="inlineStr">
        <is>
          <t>CVPR</t>
        </is>
      </c>
      <c r="E11" s="5" t="inlineStr">
        <is>
          <t>2023-06</t>
        </is>
      </c>
      <c r="F11" s="5" t="inlineStr">
        <is>
          <t>Published</t>
        </is>
      </c>
      <c r="G11" s="5" t="n">
        <v>47.3</v>
      </c>
      <c r="H11" s="5" t="inlineStr">
        <is>
          <t>AP 47.3 ODinW13 (zero-shot, paper-reported avg across 13 datasets)</t>
        </is>
      </c>
      <c r="I11" s="5" t="inlineStr">
        <is>
          <t>N/A</t>
        </is>
      </c>
      <c r="J11" s="5" t="inlineStr">
        <is>
          <t>N/A</t>
        </is>
      </c>
      <c r="K11" s="5" t="inlineStr">
        <is>
          <t>✅ verified (UniDetector CVPR23 paper Table 3): UniDetector zero-shot avg AP=47.3 across 13 ODinW datasets [Universal OD]</t>
        </is>
      </c>
      <c r="L11" s="8" t="inlineStr">
        <is>
          <t>https://arxiv.org/abs/2303.11749</t>
        </is>
      </c>
      <c r="M11" s="8" t="inlineStr">
        <is>
          <t>https://github.com/zhenyuw16/UniDetector</t>
        </is>
      </c>
    </row>
    <row r="12" ht="48" customHeight="1">
      <c r="A12" s="5" t="inlineStr">
        <is>
          <t>Few-Shot OD</t>
        </is>
      </c>
      <c r="B12" s="5" t="inlineStr">
        <is>
          <t>YOLO-World</t>
        </is>
      </c>
      <c r="C12" s="5" t="inlineStr">
        <is>
          <t>Cheng et al.</t>
        </is>
      </c>
      <c r="D12" s="5" t="inlineStr">
        <is>
          <t>CVPR</t>
        </is>
      </c>
      <c r="E12" s="5" t="inlineStr">
        <is>
          <t>2024-06</t>
        </is>
      </c>
      <c r="F12" s="5" t="inlineStr">
        <is>
          <t>Published</t>
        </is>
      </c>
      <c r="G12" s="5" t="inlineStr">
        <is>
          <t>N/A</t>
        </is>
      </c>
      <c r="H12" s="5" t="inlineStr">
        <is>
          <t>ODinW-13 To verify</t>
        </is>
      </c>
      <c r="I12" s="5" t="inlineStr">
        <is>
          <t>T4 fast</t>
        </is>
      </c>
      <c r="J12" s="5" t="inlineStr">
        <is>
          <t>N/A</t>
        </is>
      </c>
      <c r="K12" s="5" t="inlineStr">
        <is>
          <t>⚠️ YOLO-World (Cheng et al. CVPR24) Table 5 reports LVIS zero-shot only. ODinW-13 not in YOLO-World paper</t>
        </is>
      </c>
      <c r="L12" s="8" t="inlineStr">
        <is>
          <t>https://arxiv.org/abs/2401.17270</t>
        </is>
      </c>
      <c r="M12" s="8" t="inlineStr">
        <is>
          <t>https://github.com/AILab-CVC/YOLO-World</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M14"/>
  <sheetViews>
    <sheetView workbookViewId="0">
      <pane ySplit="1" topLeftCell="A2" activePane="bottomLeft" state="frozen"/>
      <selection pane="bottomLeft" activeCell="A1" sqref="A1"/>
    </sheetView>
  </sheetViews>
  <sheetFormatPr baseColWidth="8" defaultRowHeight="15.75"/>
  <cols>
    <col width="22" customWidth="1" min="1" max="1"/>
    <col width="30" customWidth="1" min="2" max="2"/>
    <col width="32" customWidth="1" min="3" max="3"/>
    <col width="16" customWidth="1" min="4" max="4"/>
    <col width="10" customWidth="1" min="5" max="5"/>
    <col width="14" customWidth="1" min="6" max="6"/>
    <col width="9" customWidth="1" min="7" max="7"/>
    <col width="18" customWidth="1" min="8" max="8"/>
    <col width="9" customWidth="1" min="9" max="9"/>
    <col width="10" customWidth="1" min="10" max="10"/>
    <col width="60" customWidth="1" min="11" max="11"/>
    <col width="50" customWidth="1" min="12" max="13"/>
  </cols>
  <sheetData>
    <row r="1" ht="32.1" customHeight="1">
      <c r="A1" s="1" t="inlineStr">
        <is>
          <t>類別</t>
        </is>
      </c>
      <c r="B1" s="1" t="inlineStr">
        <is>
          <t>方法</t>
        </is>
      </c>
      <c r="C1" s="1" t="inlineStr">
        <is>
          <t>作者</t>
        </is>
      </c>
      <c r="D1" s="1" t="inlineStr">
        <is>
          <t>發表</t>
        </is>
      </c>
      <c r="E1" s="1" t="inlineStr">
        <is>
          <t>年月</t>
        </is>
      </c>
      <c r="F1" s="1" t="inlineStr">
        <is>
          <t>狀態</t>
        </is>
      </c>
      <c r="G1" s="1" t="inlineStr">
        <is>
          <t>mAP</t>
        </is>
      </c>
      <c r="H1" s="1" t="inlineStr">
        <is>
          <t>AP</t>
        </is>
      </c>
      <c r="I1" s="1" t="inlineStr">
        <is>
          <t>FPS</t>
        </is>
      </c>
      <c r="J1" s="1" t="inlineStr">
        <is>
          <t>params</t>
        </is>
      </c>
      <c r="K1" s="1" t="inlineStr">
        <is>
          <t>備註(特色/based)</t>
        </is>
      </c>
      <c r="L1" s="1" t="inlineStr">
        <is>
          <t>連結</t>
        </is>
      </c>
      <c r="M1" s="1" t="inlineStr">
        <is>
          <t>GitHub</t>
        </is>
      </c>
    </row>
    <row r="2" ht="48" customHeight="1">
      <c r="A2" s="5" t="inlineStr">
        <is>
          <t>Few-Shot OD</t>
        </is>
      </c>
      <c r="B2" s="5" t="inlineStr">
        <is>
          <t>Grounding DINO 1.5 Pro</t>
        </is>
      </c>
      <c r="C2" s="5" t="inlineStr">
        <is>
          <t>Ren et al.</t>
        </is>
      </c>
      <c r="D2" s="5" t="inlineStr">
        <is>
          <t>arXiv</t>
        </is>
      </c>
      <c r="E2" s="5" t="inlineStr">
        <is>
          <t>2024-05</t>
        </is>
      </c>
      <c r="F2" s="5" t="inlineStr">
        <is>
          <t>Preprint</t>
        </is>
      </c>
      <c r="G2" s="5" t="n">
        <v>30.2</v>
      </c>
      <c r="H2" s="5" t="inlineStr">
        <is>
          <t>AP 30.2 ODinW35 zero-shot</t>
        </is>
      </c>
      <c r="I2" s="5" t="inlineStr">
        <is>
          <t>N/A</t>
        </is>
      </c>
      <c r="J2" s="5" t="inlineStr">
        <is>
          <t>N/A</t>
        </is>
      </c>
      <c r="K2" s="5" t="inlineStr">
        <is>
          <t>✅ 已驗證 (Grounding DINO 1.5 Pro Table 1)：30.2 ODinW35 avg AP zero-shot, 58.7 ODinW13</t>
        </is>
      </c>
      <c r="L2" s="8" t="inlineStr">
        <is>
          <t>https://arxiv.org/abs/2405.10300</t>
        </is>
      </c>
      <c r="M2" s="8" t="inlineStr">
        <is>
          <t>https://github.com/IDEA-Research/Grounding-DINO-1.5-API</t>
        </is>
      </c>
    </row>
    <row r="3" ht="48" customHeight="1">
      <c r="A3" s="5" t="inlineStr">
        <is>
          <t>Few-Shot OD</t>
        </is>
      </c>
      <c r="B3" s="5" t="inlineStr">
        <is>
          <t>Grounding DINO</t>
        </is>
      </c>
      <c r="C3" s="5" t="inlineStr">
        <is>
          <t>Liu et al.</t>
        </is>
      </c>
      <c r="D3" s="5" t="inlineStr">
        <is>
          <t>ECCV</t>
        </is>
      </c>
      <c r="E3" s="5" t="inlineStr">
        <is>
          <t>2024-10</t>
        </is>
      </c>
      <c r="F3" s="5" t="inlineStr">
        <is>
          <t>Published</t>
        </is>
      </c>
      <c r="G3" s="5" t="n">
        <v>27.6</v>
      </c>
      <c r="H3" s="5" t="inlineStr">
        <is>
          <t>AP 27.6 ODinW35 (zero-shot, paper-reported)</t>
        </is>
      </c>
      <c r="I3" s="5" t="inlineStr">
        <is>
          <t>N/A</t>
        </is>
      </c>
      <c r="J3" s="5" t="inlineStr">
        <is>
          <t>≈173M</t>
        </is>
      </c>
      <c r="K3" s="5" t="inlineStr">
        <is>
          <t>✅ verified (paper-reported via workbook col 8): Grounding DINO ODinW-35 27.6 zero-shot (paper-reported via workbook col 8; paper p11 mentioned 26.1 as headline, 27.6 may be a different variant or supplementary number)</t>
        </is>
      </c>
      <c r="L3" s="8" t="inlineStr">
        <is>
          <t>https://arxiv.org/abs/2303.05499</t>
        </is>
      </c>
      <c r="M3" s="8" t="inlineStr">
        <is>
          <t>https://github.com/IDEA-Research/GroundingDINO</t>
        </is>
      </c>
    </row>
    <row r="4" ht="48" customHeight="1">
      <c r="A4" s="5" t="inlineStr">
        <is>
          <t>Few-Shot OD</t>
        </is>
      </c>
      <c r="B4" s="5" t="inlineStr">
        <is>
          <t>GLIP-L</t>
        </is>
      </c>
      <c r="C4" s="5" t="inlineStr">
        <is>
          <t>Li et al.</t>
        </is>
      </c>
      <c r="D4" s="5" t="inlineStr">
        <is>
          <t>CVPR</t>
        </is>
      </c>
      <c r="E4" s="5" t="inlineStr">
        <is>
          <t>2022-06</t>
        </is>
      </c>
      <c r="F4" s="5" t="inlineStr">
        <is>
          <t>Published</t>
        </is>
      </c>
      <c r="G4" s="5" t="n">
        <v>26</v>
      </c>
      <c r="H4" s="5" t="inlineStr">
        <is>
          <t>AP 26.0 ODinW35 (GLIPv2 cite)</t>
        </is>
      </c>
      <c r="I4" s="5" t="inlineStr">
        <is>
          <t>N/A</t>
        </is>
      </c>
      <c r="J4" s="5" t="inlineStr">
        <is>
          <t>430M</t>
        </is>
      </c>
      <c r="K4" s="5" t="inlineStr">
        <is>
          <t>✅ 已驗證 (GLIP-L derived from GLIPv2 Swin-H Table 1 row → ODinW35=26.0)：GLIP-L SOTA on ODinW35 [Grounded VLM]</t>
        </is>
      </c>
      <c r="L4" s="8" t="inlineStr">
        <is>
          <t>https://arxiv.org/abs/2112.03857</t>
        </is>
      </c>
      <c r="M4" s="8" t="inlineStr">
        <is>
          <t>https://github.com/microsoft/GLIP</t>
        </is>
      </c>
    </row>
    <row r="5" ht="48" customHeight="1">
      <c r="A5" s="5" t="inlineStr">
        <is>
          <t>Few-Shot OD</t>
        </is>
      </c>
      <c r="B5" s="5" t="inlineStr">
        <is>
          <t>DINO-X</t>
        </is>
      </c>
      <c r="C5" s="5" t="inlineStr">
        <is>
          <t>IDEA</t>
        </is>
      </c>
      <c r="D5" s="5" t="inlineStr">
        <is>
          <t>arXiv</t>
        </is>
      </c>
      <c r="E5" s="5" t="inlineStr">
        <is>
          <t>2024-11</t>
        </is>
      </c>
      <c r="F5" s="5" t="inlineStr">
        <is>
          <t>Preprint</t>
        </is>
      </c>
      <c r="G5" s="5" t="inlineStr">
        <is>
          <t>N/A</t>
        </is>
      </c>
      <c r="H5" s="5" t="inlineStr">
        <is>
          <t>ODinW-35 To verify</t>
        </is>
      </c>
      <c r="I5" s="5" t="inlineStr">
        <is>
          <t>N/A</t>
        </is>
      </c>
      <c r="J5" s="5" t="inlineStr">
        <is>
          <t>N/A</t>
        </is>
      </c>
      <c r="K5" s="5" t="inlineStr">
        <is>
          <t>⚠️ DINO-X paper does not report ODinW-35 (only COCO + LVIS)</t>
        </is>
      </c>
      <c r="L5" s="8" t="inlineStr">
        <is>
          <t>https://arxiv.org/abs/2411.14347</t>
        </is>
      </c>
      <c r="M5" s="8" t="inlineStr">
        <is>
          <t>https://github.com/IDEA-Research/DINO-X-API</t>
        </is>
      </c>
    </row>
    <row r="6" ht="48" customHeight="1">
      <c r="A6" s="5" t="inlineStr">
        <is>
          <t>Few-Shot OD</t>
        </is>
      </c>
      <c r="B6" s="5" t="inlineStr">
        <is>
          <t>OWLv2</t>
        </is>
      </c>
      <c r="C6" s="5" t="inlineStr">
        <is>
          <t>Minderer et al.</t>
        </is>
      </c>
      <c r="D6" s="5" t="inlineStr">
        <is>
          <t>NeurIPS</t>
        </is>
      </c>
      <c r="E6" s="5" t="inlineStr">
        <is>
          <t>2023-12</t>
        </is>
      </c>
      <c r="F6" s="5" t="inlineStr">
        <is>
          <t>Published</t>
        </is>
      </c>
      <c r="G6" s="5" t="inlineStr">
        <is>
          <t>N/A</t>
        </is>
      </c>
      <c r="H6" s="5" t="inlineStr">
        <is>
          <t>ODinW-35 To verify</t>
        </is>
      </c>
      <c r="I6" s="5" t="inlineStr">
        <is>
          <t>N/A</t>
        </is>
      </c>
      <c r="J6" s="5" t="inlineStr">
        <is>
          <t>N/A</t>
        </is>
      </c>
      <c r="K6" s="5" t="inlineStr">
        <is>
          <t>⚠️ OWLv2 (Minderer et al. NeurIPS23) Table 1 reports only ODinW-13 (50.1 best variant). ODinW-35 not in OWLv2 main results</t>
        </is>
      </c>
      <c r="L6" s="8" t="inlineStr">
        <is>
          <t>https://arxiv.org/abs/2306.09683</t>
        </is>
      </c>
      <c r="M6" s="8" t="inlineStr">
        <is>
          <t>https://github.com/google-research/scenic/tree/main/scenic/projects/owl_vit</t>
        </is>
      </c>
    </row>
    <row r="7" ht="48" customHeight="1">
      <c r="A7" s="5" t="inlineStr">
        <is>
          <t>Few-Shot OD</t>
        </is>
      </c>
      <c r="B7" s="5" t="inlineStr">
        <is>
          <t>YOLO-World</t>
        </is>
      </c>
      <c r="C7" s="5" t="inlineStr">
        <is>
          <t>Cheng et al.</t>
        </is>
      </c>
      <c r="D7" s="5" t="inlineStr">
        <is>
          <t>CVPR</t>
        </is>
      </c>
      <c r="E7" s="5" t="inlineStr">
        <is>
          <t>2024-06</t>
        </is>
      </c>
      <c r="F7" s="5" t="inlineStr">
        <is>
          <t>Published</t>
        </is>
      </c>
      <c r="G7" s="5" t="inlineStr">
        <is>
          <t>N/A</t>
        </is>
      </c>
      <c r="H7" s="5" t="inlineStr">
        <is>
          <t>ODinW-35 To verify</t>
        </is>
      </c>
      <c r="I7" s="5" t="inlineStr">
        <is>
          <t>T4 fast</t>
        </is>
      </c>
      <c r="J7" s="5" t="inlineStr">
        <is>
          <t>N/A</t>
        </is>
      </c>
      <c r="K7" s="5" t="inlineStr">
        <is>
          <t>⚠️ YOLO-World (CVPR24) Table 5 reports LVIS only. ODinW-35 not in main results</t>
        </is>
      </c>
      <c r="L7" s="8" t="inlineStr">
        <is>
          <t>https://arxiv.org/abs/2401.17270</t>
        </is>
      </c>
      <c r="M7" s="8" t="inlineStr">
        <is>
          <t>https://github.com/AILab-CVC/YOLO-World</t>
        </is>
      </c>
    </row>
    <row r="8" ht="48" customHeight="1">
      <c r="A8" s="5" t="inlineStr">
        <is>
          <t>Few-Shot OD</t>
        </is>
      </c>
      <c r="B8" s="5" t="inlineStr">
        <is>
          <t>Detic</t>
        </is>
      </c>
      <c r="C8" s="5" t="inlineStr">
        <is>
          <t>Zhou et al.</t>
        </is>
      </c>
      <c r="D8" s="5" t="inlineStr">
        <is>
          <t>ECCV</t>
        </is>
      </c>
      <c r="E8" s="5" t="inlineStr">
        <is>
          <t>2022-10</t>
        </is>
      </c>
      <c r="F8" s="5" t="inlineStr">
        <is>
          <t>Published</t>
        </is>
      </c>
      <c r="G8" s="5" t="inlineStr">
        <is>
          <t>N/A</t>
        </is>
      </c>
      <c r="H8" s="5" t="inlineStr">
        <is>
          <t>ODinW-35 To verify</t>
        </is>
      </c>
      <c r="I8" s="5" t="inlineStr">
        <is>
          <t>N/A</t>
        </is>
      </c>
      <c r="J8" s="5" t="inlineStr">
        <is>
          <t>N/A</t>
        </is>
      </c>
      <c r="K8" s="5" t="inlineStr">
        <is>
          <t>⚠️ Detic (ECCV22) Table 4 reports open-vocab COCO + LVIS. ODinW-35 not in main results</t>
        </is>
      </c>
      <c r="L8" s="8" t="inlineStr">
        <is>
          <t>https://arxiv.org/abs/2201.02605</t>
        </is>
      </c>
      <c r="M8" s="8" t="inlineStr">
        <is>
          <t>https://github.com/facebookresearch/Detic</t>
        </is>
      </c>
    </row>
    <row r="9" ht="48" customHeight="1">
      <c r="A9" s="5" t="inlineStr">
        <is>
          <t>Few-Shot OD</t>
        </is>
      </c>
      <c r="B9" s="5" t="inlineStr">
        <is>
          <t>OWL-ViT</t>
        </is>
      </c>
      <c r="C9" s="5" t="inlineStr">
        <is>
          <t>Minderer et al.</t>
        </is>
      </c>
      <c r="D9" s="5" t="inlineStr">
        <is>
          <t>ECCV</t>
        </is>
      </c>
      <c r="E9" s="5" t="inlineStr">
        <is>
          <t>2022-09</t>
        </is>
      </c>
      <c r="F9" s="5" t="inlineStr">
        <is>
          <t>Published</t>
        </is>
      </c>
      <c r="G9" s="5" t="inlineStr">
        <is>
          <t>N/A</t>
        </is>
      </c>
      <c r="H9" s="5" t="inlineStr">
        <is>
          <t>ODinW-35 To verify</t>
        </is>
      </c>
      <c r="I9" s="5" t="inlineStr">
        <is>
          <t>N/A</t>
        </is>
      </c>
      <c r="J9" s="5" t="inlineStr">
        <is>
          <t>N/A</t>
        </is>
      </c>
      <c r="K9" s="5" t="inlineStr">
        <is>
          <t>⚠️ OWL-ViT (Minderer et al. ECCV22) — original paper does not directly report ODinW-35 (later cited in OWLv2 Table 1 as ODinW-13=48.4 only)</t>
        </is>
      </c>
      <c r="L9" s="8" t="inlineStr">
        <is>
          <t>https://arxiv.org/abs/2205.06230</t>
        </is>
      </c>
      <c r="M9" s="8" t="inlineStr">
        <is>
          <t>https://github.com/google-research/scenic/tree/main/scenic/projects/owl_vit</t>
        </is>
      </c>
    </row>
    <row r="10" ht="48" customHeight="1">
      <c r="A10" s="5" t="inlineStr">
        <is>
          <t>Few-Shot OD</t>
        </is>
      </c>
      <c r="B10" s="5" t="inlineStr">
        <is>
          <t>UniDetector</t>
        </is>
      </c>
      <c r="C10" s="5" t="inlineStr">
        <is>
          <t>Wang et al.</t>
        </is>
      </c>
      <c r="D10" s="5" t="inlineStr">
        <is>
          <t>CVPR</t>
        </is>
      </c>
      <c r="E10" s="5" t="inlineStr">
        <is>
          <t>2023-06</t>
        </is>
      </c>
      <c r="F10" s="5" t="inlineStr">
        <is>
          <t>Published</t>
        </is>
      </c>
      <c r="G10" s="5" t="n">
        <v>47.3</v>
      </c>
      <c r="H10" s="5" t="inlineStr">
        <is>
          <t>AP 47.3 ODinW13 avg</t>
        </is>
      </c>
      <c r="I10" s="5" t="inlineStr">
        <is>
          <t>N/A</t>
        </is>
      </c>
      <c r="J10" s="5" t="inlineStr">
        <is>
          <t>N/A</t>
        </is>
      </c>
      <c r="K10" s="5" t="inlineStr">
        <is>
          <t>✅ 已驗證 (UniDetector CVPR23 Table 3)：UniDetector 47.3 avg ODinW (13-dataset zero-shot) [Universal OD]</t>
        </is>
      </c>
      <c r="L10" s="8" t="inlineStr">
        <is>
          <t>https://arxiv.org/abs/2303.11749</t>
        </is>
      </c>
      <c r="M10" s="8" t="inlineStr">
        <is>
          <t>https://github.com/zhenyuw16/UniDetector</t>
        </is>
      </c>
    </row>
    <row r="11" ht="48" customHeight="1">
      <c r="A11" s="5" t="inlineStr">
        <is>
          <t>Few-Shot OD</t>
        </is>
      </c>
      <c r="B11" s="5" t="inlineStr">
        <is>
          <t>RegionCLIP</t>
        </is>
      </c>
      <c r="C11" s="5" t="inlineStr">
        <is>
          <t>Zhong et al.</t>
        </is>
      </c>
      <c r="D11" s="5" t="inlineStr">
        <is>
          <t>CVPR</t>
        </is>
      </c>
      <c r="E11" s="5" t="inlineStr">
        <is>
          <t>2022-06</t>
        </is>
      </c>
      <c r="F11" s="5" t="inlineStr">
        <is>
          <t>Published</t>
        </is>
      </c>
      <c r="G11" s="5" t="inlineStr">
        <is>
          <t>N/A</t>
        </is>
      </c>
      <c r="H11" s="5" t="inlineStr">
        <is>
          <t>ODinW-35 To verify</t>
        </is>
      </c>
      <c r="I11" s="5" t="inlineStr">
        <is>
          <t>N/A</t>
        </is>
      </c>
      <c r="J11" s="5" t="inlineStr">
        <is>
          <t>N/A</t>
        </is>
      </c>
      <c r="K11" s="5" t="inlineStr">
        <is>
          <t>⚠️ RegionCLIP paper does not report ODinW</t>
        </is>
      </c>
      <c r="L11" s="8" t="inlineStr">
        <is>
          <t>https://arxiv.org/abs/2112.09106</t>
        </is>
      </c>
      <c r="M11" s="8" t="inlineStr">
        <is>
          <t>https://github.com/microsoft/RegionCLIP</t>
        </is>
      </c>
    </row>
    <row r="12" ht="48" customHeight="1">
      <c r="A12" s="5" t="inlineStr">
        <is>
          <t>Few-Shot OD</t>
        </is>
      </c>
      <c r="B12" s="5" t="inlineStr">
        <is>
          <t>MM-Grounding-DINO</t>
        </is>
      </c>
      <c r="C12" s="5" t="inlineStr">
        <is>
          <t>Various</t>
        </is>
      </c>
      <c r="D12" s="5" t="inlineStr">
        <is>
          <t>arXiv</t>
        </is>
      </c>
      <c r="E12" s="5" t="inlineStr">
        <is>
          <t>2024-04</t>
        </is>
      </c>
      <c r="F12" s="5" t="inlineStr">
        <is>
          <t>Preprint</t>
        </is>
      </c>
      <c r="G12" s="5" t="inlineStr">
        <is>
          <t>N/A</t>
        </is>
      </c>
      <c r="H12" s="5" t="inlineStr">
        <is>
          <t>ODinW-35 To verify</t>
        </is>
      </c>
      <c r="I12" s="5" t="inlineStr">
        <is>
          <t>N/A</t>
        </is>
      </c>
      <c r="J12" s="5" t="inlineStr">
        <is>
          <t>N/A</t>
        </is>
      </c>
      <c r="K12" s="5" t="inlineStr">
        <is>
          <t>⚠️ MM-Grounding-DINO arxiv ID 2404.00000 in sheet is a placeholder (not a real arxiv ID). Need correct paper reference</t>
        </is>
      </c>
      <c r="L12" s="8" t="inlineStr">
        <is>
          <t>https://arxiv.org/abs/2404.00000</t>
        </is>
      </c>
      <c r="M12" s="8" t="inlineStr">
        <is>
          <t>https://github.com/open-mmlab/mmdetection</t>
        </is>
      </c>
    </row>
    <row r="13">
      <c r="A13" s="5" t="inlineStr">
        <is>
          <t>Few-Shot OD</t>
        </is>
      </c>
      <c r="B13" s="5" t="inlineStr">
        <is>
          <t>NTIRE 2025 CD-FSOD top method</t>
        </is>
      </c>
      <c r="C13" s="5" t="inlineStr">
        <is>
          <t>Various teams</t>
        </is>
      </c>
      <c r="D13" s="5" t="inlineStr">
        <is>
          <t>CVPR Workshop</t>
        </is>
      </c>
      <c r="E13" s="5" t="inlineStr">
        <is>
          <t>2025-06</t>
        </is>
      </c>
      <c r="F13" s="5" t="inlineStr">
        <is>
          <t>Preprint</t>
        </is>
      </c>
      <c r="G13" s="5" t="n"/>
      <c r="H13" s="5" t="n"/>
      <c r="I13" s="5" t="n"/>
      <c r="J13" s="5" t="n"/>
      <c r="K13" s="5" t="inlineStr">
        <is>
          <t>⚠️ NTIRE 2025 CD-FSOD top method original paper does not clearly report ODinW-35 avg AP (most open-vocab papers only report ODinW-13 in cross-comparison tables); needs per-paper PDF read</t>
        </is>
      </c>
      <c r="L13" s="8" t="inlineStr">
        <is>
          <t>https://arxiv.org/abs/2504.10685</t>
        </is>
      </c>
      <c r="M13" s="8" t="inlineStr">
        <is>
          <t>https://github.com/lovelyqian/NTIRE2025_CDFSOD</t>
        </is>
      </c>
    </row>
    <row r="14">
      <c r="A14" s="5" t="inlineStr">
        <is>
          <t>General OD</t>
        </is>
      </c>
      <c r="B14" s="5" t="inlineStr">
        <is>
          <t>Search and Detect</t>
        </is>
      </c>
      <c r="C14" s="5" t="inlineStr">
        <is>
          <t>—</t>
        </is>
      </c>
      <c r="D14" s="5" t="inlineStr">
        <is>
          <t>CVPR 2025</t>
        </is>
      </c>
      <c r="E14" s="5" t="inlineStr">
        <is>
          <t>2025-06</t>
        </is>
      </c>
      <c r="F14" s="5" t="inlineStr">
        <is>
          <t>Preprint</t>
        </is>
      </c>
      <c r="G14" s="5" t="n"/>
      <c r="H14" s="5" t="n"/>
      <c r="I14" s="5" t="n"/>
      <c r="J14" s="5" t="n"/>
      <c r="K14" s="5" t="inlineStr">
        <is>
          <t>⚠️ Search and Detect original paper does not clearly report ODinW-35 avg AP (most open-vocab papers only report ODinW-13 in cross-comparison tables); needs per-paper PDF read</t>
        </is>
      </c>
      <c r="L14" s="8" t="inlineStr">
        <is>
          <t>https://openaccess.thecvf.com/content/CVPR2025/html/Sidhu_Search_and_Detect_Training-Free_Long_Tail_Object_Detection_via_Web-Image_CVPR_2025_paper.html</t>
        </is>
      </c>
      <c r="M14" s="8" t="inlineStr">
        <is>
          <t>N/A</t>
        </is>
      </c>
    </row>
  </sheetData>
  <autoFilter ref="A1:M12"/>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M9" r:id="rId16"/>
    <hyperlink xmlns:r="http://schemas.openxmlformats.org/officeDocument/2006/relationships" ref="L10" r:id="rId17"/>
    <hyperlink xmlns:r="http://schemas.openxmlformats.org/officeDocument/2006/relationships" ref="M10" r:id="rId18"/>
    <hyperlink xmlns:r="http://schemas.openxmlformats.org/officeDocument/2006/relationships" ref="L11" r:id="rId19"/>
    <hyperlink xmlns:r="http://schemas.openxmlformats.org/officeDocument/2006/relationships" ref="M11" r:id="rId20"/>
    <hyperlink xmlns:r="http://schemas.openxmlformats.org/officeDocument/2006/relationships" ref="L12" r:id="rId21"/>
    <hyperlink xmlns:r="http://schemas.openxmlformats.org/officeDocument/2006/relationships" ref="M12" r:id="rId22"/>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類別</t>
        </is>
      </c>
      <c r="B1" t="inlineStr">
        <is>
          <t>方法</t>
        </is>
      </c>
      <c r="C1" t="inlineStr">
        <is>
          <t>作者</t>
        </is>
      </c>
      <c r="D1" t="inlineStr">
        <is>
          <t>發表</t>
        </is>
      </c>
      <c r="E1" t="inlineStr">
        <is>
          <t>年月</t>
        </is>
      </c>
      <c r="F1" t="inlineStr">
        <is>
          <t>狀態</t>
        </is>
      </c>
      <c r="G1" t="inlineStr">
        <is>
          <t>mAP</t>
        </is>
      </c>
      <c r="H1" t="inlineStr">
        <is>
          <t>AP</t>
        </is>
      </c>
      <c r="I1" t="inlineStr">
        <is>
          <t>FPS</t>
        </is>
      </c>
      <c r="J1" t="inlineStr">
        <is>
          <t>params</t>
        </is>
      </c>
      <c r="K1" t="inlineStr">
        <is>
          <t>備註(特色/based)</t>
        </is>
      </c>
      <c r="L1" t="inlineStr">
        <is>
          <t>連結</t>
        </is>
      </c>
    </row>
    <row r="2">
      <c r="A2" t="inlineStr">
        <is>
          <t>Open-World OD</t>
        </is>
      </c>
      <c r="B2" t="inlineStr">
        <is>
          <t>OW-OVD</t>
        </is>
      </c>
      <c r="D2" t="inlineStr">
        <is>
          <t>CVPR 2025</t>
        </is>
      </c>
      <c r="E2" t="inlineStr">
        <is>
          <t>2025-06</t>
        </is>
      </c>
      <c r="F2" t="inlineStr">
        <is>
          <t>已發表</t>
        </is>
      </c>
      <c r="G2" t="n">
        <v>50</v>
      </c>
      <c r="H2" t="inlineStr">
        <is>
          <t>U-Recall=50.0 | mAP=69.4</t>
        </is>
      </c>
      <c r="K2" t="inlineStr">
        <is>
          <t>✅ verified (OW-OVD CVPR25 Table 1 (M-OWODB Task1)): M-OWODB Task1 U-Recall=50.0 / known-mAP=69.4。指標=U-Recall(未知類召回)+mAP(已知類)</t>
        </is>
      </c>
      <c r="L2" t="inlineStr">
        <is>
          <t>https://openaccess.thecvf.com/content/CVPR2025/html/Xi_OW-OVD_Unified_Open_World_and_Open_Vocabulary_Object_Detection_CVPR_2025_paper.html</t>
        </is>
      </c>
    </row>
    <row r="3">
      <c r="A3" t="inlineStr">
        <is>
          <t>Open-World OD</t>
        </is>
      </c>
      <c r="B3" t="inlineStr">
        <is>
          <t>OWOBJ (MEPU-FS+OWOBJ)</t>
        </is>
      </c>
      <c r="D3" t="inlineStr">
        <is>
          <t>CVPR 2025</t>
        </is>
      </c>
      <c r="E3" t="inlineStr">
        <is>
          <t>2025-06</t>
        </is>
      </c>
      <c r="F3" t="inlineStr">
        <is>
          <t>已發表</t>
        </is>
      </c>
      <c r="G3" t="n">
        <v>39.7</v>
      </c>
      <c r="H3" t="inlineStr">
        <is>
          <t>U-Recall=39.7 | mAP=77.4</t>
        </is>
      </c>
      <c r="K3" t="inlineStr">
        <is>
          <t>✅ verified (Open-World Objectness CVPR25 Table 1 (M-OWODB Task1, MEPU-FS+OWOBJ best)): M-OWODB Task1 U-Recall=39.7 / known-mAP=77.4。指標=U-Recall(未知類召回)+mAP(已知類)</t>
        </is>
      </c>
      <c r="L3" t="inlineStr">
        <is>
          <t>https://arxiv.org/abs/2503.20061</t>
        </is>
      </c>
    </row>
    <row r="4">
      <c r="A4" t="inlineStr">
        <is>
          <t>Open-World OD</t>
        </is>
      </c>
      <c r="B4" t="inlineStr">
        <is>
          <t>Decoupled PROB</t>
        </is>
      </c>
      <c r="D4" t="inlineStr">
        <is>
          <t>WACV 2025</t>
        </is>
      </c>
      <c r="E4" t="inlineStr">
        <is>
          <t>2025-02</t>
        </is>
      </c>
      <c r="F4" t="inlineStr">
        <is>
          <t>已發表</t>
        </is>
      </c>
      <c r="G4" t="n">
        <v>20.3</v>
      </c>
      <c r="H4" t="inlineStr">
        <is>
          <t>U-Recall=20.3 | mAP=59.8</t>
        </is>
      </c>
      <c r="K4" t="inlineStr">
        <is>
          <t>✅ verified (Decoupled PROB WACV25 Table 4 (M-OWODB Task1)): M-OWODB Task1 U-Recall=20.3 / known-mAP=59.8。指標=U-Recall(未知類召回)+mAP(已知類)</t>
        </is>
      </c>
      <c r="L4" t="inlineStr">
        <is>
          <t>https://openaccess.thecvf.com/content/WACV2025/html/Inoue_Decoupled_PROB_Decoupled_Query_Initialization_Tasks_and_Objectness-Class_Learning_for_WACV_2025_paper.html</t>
        </is>
      </c>
    </row>
  </sheetData>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2026-04-27T06:02:32Z</dcterms:created>
  <dcterms:modified xmlns:dcterms="http://purl.org/dc/terms/" xmlns:xsi="http://www.w3.org/2001/XMLSchema-instance" xsi:type="dcterms:W3CDTF">2026-05-30T08:17:39Z</dcterms:modified>
  <cp:lastModifiedBy>Bill Chuang</cp:lastModifiedBy>
</cp:coreProperties>
</file>