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Relationship Type="http://schemas.openxmlformats.org/officeDocument/2006/relationships/hyperlink" Target="https://arxiv.org/abs/2212.01424" TargetMode="External" Id="rId5"/><Relationship Type="http://schemas.openxmlformats.org/officeDocument/2006/relationships/hyperlink" Target="https://arxiv.org/abs/2212.01424" TargetMode="External" Id="rId6"/><Relationship Type="http://schemas.openxmlformats.org/officeDocument/2006/relationships/hyperlink" Target="https://arxiv.org/abs/2212.01424" TargetMode="External" Id="rId7"/><Relationship Type="http://schemas.openxmlformats.org/officeDocument/2006/relationships/hyperlink" Target="https://arxiv.org/abs/2212.01424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arxiv.org/abs/2212.01424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4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5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6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7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8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9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0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1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Relationship Type="http://schemas.openxmlformats.org/officeDocument/2006/relationships/hyperlink" Target="https://arxiv.org/abs/2303.06674" TargetMode="External" Id="rId4"/><Relationship Type="http://schemas.openxmlformats.org/officeDocument/2006/relationships/hyperlink" Target="https://arxiv.org/abs/2303.06674" TargetMode="External" Id="rId5"/><Relationship Type="http://schemas.openxmlformats.org/officeDocument/2006/relationships/hyperlink" Target="https://arxiv.org/abs/2303.06674" TargetMode="External" Id="rId6"/><Relationship Type="http://schemas.openxmlformats.org/officeDocument/2006/relationships/hyperlink" Target="https://arxiv.org/abs/2303.06674" TargetMode="External" Id="rId7"/><Relationship Type="http://schemas.openxmlformats.org/officeDocument/2006/relationships/hyperlink" Target="https://arxiv.org/abs/2303.06674" TargetMode="External" Id="rId8"/><Relationship Type="http://schemas.openxmlformats.org/officeDocument/2006/relationships/hyperlink" Target="https://arxiv.org/abs/2303.06674" TargetMode="External" Id="rId9"/><Relationship Type="http://schemas.openxmlformats.org/officeDocument/2006/relationships/hyperlink" Target="https://arxiv.org/abs/2303.06674" TargetMode="External" Id="rId10"/><Relationship Type="http://schemas.openxmlformats.org/officeDocument/2006/relationships/hyperlink" Target="https://arxiv.org/abs/2303.06674" TargetMode="External" Id="rId11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Relationship Type="http://schemas.openxmlformats.org/officeDocument/2006/relationships/hyperlink" Target="https://arxiv.org/abs/2103.08860" TargetMode="External" Id="rId6"/><Relationship Type="http://schemas.openxmlformats.org/officeDocument/2006/relationships/hyperlink" Target="https://arxiv.org/abs/2202.01811" TargetMode="External" Id="rId7"/><Relationship Type="http://schemas.openxmlformats.org/officeDocument/2006/relationships/hyperlink" Target="https://arxiv.org/abs/2112.04532" TargetMode="External" Id="rId8"/><Relationship Type="http://schemas.openxmlformats.org/officeDocument/2006/relationships/hyperlink" Target="https://arxiv.org/abs/2207.01795" TargetMode="External" Id="rId9"/><Relationship Type="http://schemas.openxmlformats.org/officeDocument/2006/relationships/hyperlink" Target="https://arxiv.org/abs/2102.02956" TargetMode="External" Id="rId10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Relationship Type="http://schemas.openxmlformats.org/officeDocument/2006/relationships/hyperlink" Target="https://arxiv.org/abs/2402.03094" TargetMode="External" Id="rId4"/><Relationship Type="http://schemas.openxmlformats.org/officeDocument/2006/relationships/hyperlink" Target="https://arxiv.org/abs/2402.03094" TargetMode="External" Id="rId5"/><Relationship Type="http://schemas.openxmlformats.org/officeDocument/2006/relationships/hyperlink" Target="https://arxiv.org/abs/2402.03094" TargetMode="External" Id="rId6"/><Relationship Type="http://schemas.openxmlformats.org/officeDocument/2006/relationships/hyperlink" Target="https://arxiv.org/abs/2402.03094" TargetMode="External" Id="rId7"/><Relationship Type="http://schemas.openxmlformats.org/officeDocument/2006/relationships/hyperlink" Target="https://arxiv.org/abs/2402.03094" TargetMode="External" Id="rId8"/><Relationship Type="http://schemas.openxmlformats.org/officeDocument/2006/relationships/hyperlink" Target="https://arxiv.org/abs/2402.03094" TargetMode="External" Id="rId9"/><Relationship Type="http://schemas.openxmlformats.org/officeDocument/2006/relationships/hyperlink" Target="https://arxiv.org/abs/2402.03094" TargetMode="External" Id="rId10"/><Relationship Type="http://schemas.openxmlformats.org/officeDocument/2006/relationships/hyperlink" Target="https://arxiv.org/abs/2402.03094" TargetMode="External" Id="rId11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Relationship Type="http://schemas.openxmlformats.org/officeDocument/2006/relationships/hyperlink" Target="https://arxiv.org/abs/2212.05598" TargetMode="External" Id="rId2"/><Relationship Type="http://schemas.openxmlformats.org/officeDocument/2006/relationships/hyperlink" Target="https://arxiv.org/abs/2212.05598" TargetMode="External" Id="rId3"/><Relationship Type="http://schemas.openxmlformats.org/officeDocument/2006/relationships/hyperlink" Target="https://arxiv.org/abs/2212.05598" TargetMode="External" Id="rId4"/><Relationship Type="http://schemas.openxmlformats.org/officeDocument/2006/relationships/hyperlink" Target="https://arxiv.org/abs/2212.05598" TargetMode="External" Id="rId5"/><Relationship Type="http://schemas.openxmlformats.org/officeDocument/2006/relationships/hyperlink" Target="https://arxiv.org/abs/2212.05598" TargetMode="External" Id="rId6"/><Relationship Type="http://schemas.openxmlformats.org/officeDocument/2006/relationships/hyperlink" Target="https://arxiv.org/abs/2212.05598" TargetMode="External" Id="rId7"/><Relationship Type="http://schemas.openxmlformats.org/officeDocument/2006/relationships/hyperlink" Target="https://arxiv.org/abs/2212.05598" TargetMode="External" Id="rId8"/><Relationship Type="http://schemas.openxmlformats.org/officeDocument/2006/relationships/hyperlink" Target="https://arxiv.org/abs/2212.05598" TargetMode="External" Id="rId9"/><Relationship Type="http://schemas.openxmlformats.org/officeDocument/2006/relationships/hyperlink" Target="https://arxiv.org/abs/2212.05598" TargetMode="External" Id="rId10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Relationship Type="http://schemas.openxmlformats.org/officeDocument/2006/relationships/hyperlink" Target="https://arxiv.org/abs/2308.07504" TargetMode="External" Id="rId6"/><Relationship Type="http://schemas.openxmlformats.org/officeDocument/2006/relationships/hyperlink" Target="https://arxiv.org/abs/2308.07504" TargetMode="External" Id="rId7"/><Relationship Type="http://schemas.openxmlformats.org/officeDocument/2006/relationships/hyperlink" Target="https://arxiv.org/abs/2308.07504" TargetMode="External" Id="rId8"/><Relationship Type="http://schemas.openxmlformats.org/officeDocument/2006/relationships/hyperlink" Target="https://arxiv.org/abs/2308.07504" TargetMode="External" Id="rId9"/><Relationship Type="http://schemas.openxmlformats.org/officeDocument/2006/relationships/hyperlink" Target="https://arxiv.org/abs/2308.07504" TargetMode="External" Id="rId10"/><Relationship Type="http://schemas.openxmlformats.org/officeDocument/2006/relationships/hyperlink" Target="https://arxiv.org/abs/2308.07504" TargetMode="External" Id="rId11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5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  <row r="305">
      <c r="A305" s="2" t="inlineStr">
        <is>
          <t>Few-Shot OD</t>
        </is>
      </c>
      <c r="B305" s="2" t="inlineStr">
        <is>
          <t>GiPL: Generative augmented iterative Pseudo-Labeling for Cross-Domain Few-Shot Object Dete</t>
        </is>
      </c>
      <c r="C305" s="2" t="inlineStr">
        <is>
          <t>Jiacong Liu, Shu Luo, Yikai Qin, Yaze Zhao, Yongwei Jiang, Yixiong Zou</t>
        </is>
      </c>
      <c r="D305" s="2" t="inlineStr">
        <is>
          <t>arXiv</t>
        </is>
      </c>
      <c r="E305" s="2" t="inlineStr">
        <is>
          <t>2026-05</t>
        </is>
      </c>
      <c r="F305" s="2" t="inlineStr">
        <is>
          <t>Auto-fetched from arXiv; metrics To verify</t>
        </is>
      </c>
      <c r="G305" s="9" t="inlineStr">
        <is>
          <t>https://arxiv.org/abs/2605.29539</t>
        </is>
      </c>
      <c r="H305" s="9" t="n"/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DO Val'!A1","Argoverse-HD DO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Detection-Only Val split</t>
        </is>
      </c>
    </row>
    <row r="13" ht="32.1" customHeight="1">
      <c r="A13" s="4" t="inlineStr">
        <is>
          <t>RGB Salient OD</t>
        </is>
      </c>
      <c r="B13" s="7">
        <f>HYPERLINK("#'DUTS-TE'!A1","DUTS-TE")</f>
        <v/>
      </c>
      <c r="C13" s="4" t="inlineStr">
        <is>
          <t>S-measure / Fβ / E-measure / MAE</t>
        </is>
      </c>
      <c r="D13" s="4" t="n"/>
      <c r="E13" s="4" t="inlineStr">
        <is>
          <t>S/E/F higher better; MAE lower better</t>
        </is>
      </c>
    </row>
    <row r="14" ht="32.1" customHeight="1">
      <c r="A14" s="4" t="inlineStr">
        <is>
          <t>RGB Salient OD</t>
        </is>
      </c>
      <c r="B14" s="7">
        <f>HYPERLINK("#'DUT-OMRON'!A1","DUT-OMRON")</f>
        <v/>
      </c>
      <c r="C14" s="4" t="inlineStr">
        <is>
          <t>S / Fβ / E / MAE</t>
        </is>
      </c>
      <c r="D14" s="4" t="n"/>
      <c r="E14" s="4" t="inlineStr">
        <is>
          <t>Same metric set as DUTS-TE</t>
        </is>
      </c>
    </row>
    <row r="15" ht="32.1" customHeight="1">
      <c r="A15" s="4" t="inlineStr">
        <is>
          <t>RGB Salient OD</t>
        </is>
      </c>
      <c r="B15" s="7">
        <f>HYPERLINK("#'ECSSD'!A1","ECSSD")</f>
        <v/>
      </c>
      <c r="C15" s="4" t="inlineStr">
        <is>
          <t>S / Fβ / E / MAE</t>
        </is>
      </c>
      <c r="D15" s="4" t="n"/>
      <c r="E15" s="4" t="n"/>
    </row>
    <row r="16" ht="32.1" customHeight="1">
      <c r="A16" s="4" t="inlineStr">
        <is>
          <t>RGB Salient OD</t>
        </is>
      </c>
      <c r="B16" s="7">
        <f>HYPERLINK("#'HKU-IS'!A1","HKU-IS")</f>
        <v/>
      </c>
      <c r="C16" s="4" t="inlineStr">
        <is>
          <t>S / Fβ / E / MAE</t>
        </is>
      </c>
      <c r="D16" s="4" t="n"/>
      <c r="E16" s="4" t="n"/>
    </row>
    <row r="17" ht="32.1" customHeight="1">
      <c r="A17" s="4" t="inlineStr">
        <is>
          <t>RGB Salient OD</t>
        </is>
      </c>
      <c r="B17" s="7">
        <f>HYPERLINK("#'PASCAL-S'!A1","PASCAL-S")</f>
        <v/>
      </c>
      <c r="C17" s="4" t="inlineStr">
        <is>
          <t>S / Fβ / E / MAE</t>
        </is>
      </c>
      <c r="D17" s="4" t="n"/>
      <c r="E17" s="4" t="n"/>
    </row>
    <row r="18" ht="32.1" customHeight="1">
      <c r="A18" s="4" t="inlineStr">
        <is>
          <t>RGB Salient OD</t>
        </is>
      </c>
      <c r="B18" s="7">
        <f>HYPERLINK("#'HRSOD'!A1","HRSOD")</f>
        <v/>
      </c>
      <c r="C18" s="4" t="inlineStr">
        <is>
          <t>S / Fβ / E / MAE</t>
        </is>
      </c>
      <c r="D18" s="4" t="n"/>
      <c r="E18" s="4" t="inlineStr">
        <is>
          <t>High-resolution SOD</t>
        </is>
      </c>
    </row>
    <row r="19" ht="32.1" customHeight="1">
      <c r="A19" s="4" t="inlineStr">
        <is>
          <t>RGB Salient OD</t>
        </is>
      </c>
      <c r="B19" s="7">
        <f>HYPERLINK("#'DAVIS-S'!A1","DAVIS-S")</f>
        <v/>
      </c>
      <c r="C19" s="4" t="inlineStr">
        <is>
          <t>S / Fβ / E / MAE</t>
        </is>
      </c>
      <c r="D19" s="4" t="n"/>
      <c r="E19" s="4" t="inlineStr">
        <is>
          <t>Sequence-derived SOD</t>
        </is>
      </c>
    </row>
    <row r="20" ht="32.1" customHeight="1">
      <c r="A20" s="4" t="inlineStr">
        <is>
          <t>RGB Salient OD</t>
        </is>
      </c>
      <c r="B20" s="7">
        <f>HYPERLINK("#'UHRSD'!A1","UHRSD")</f>
        <v/>
      </c>
      <c r="C20" s="4" t="inlineStr">
        <is>
          <t>S / Fβ / E / MAE</t>
        </is>
      </c>
      <c r="D20" s="4" t="n"/>
      <c r="E20" s="4" t="inlineStr">
        <is>
          <t>Ultra-high-res SOD</t>
        </is>
      </c>
    </row>
    <row r="21" ht="32.1" customHeight="1">
      <c r="A21" s="5" t="inlineStr">
        <is>
          <t>Few-Shot OD</t>
        </is>
      </c>
      <c r="B21" s="8">
        <f>HYPERLINK("#'MS-COCO 1-shot'!A1","MS-COCO 1-shot")</f>
        <v/>
      </c>
      <c r="C21" s="5" t="inlineStr">
        <is>
          <t>novel AP</t>
        </is>
      </c>
      <c r="D21" s="5" t="inlineStr">
        <is>
          <t>AP50</t>
        </is>
      </c>
      <c r="E21" s="5" t="inlineStr">
        <is>
          <t>1-shot setting must not mix with other shots</t>
        </is>
      </c>
    </row>
    <row r="22" ht="32.1" customHeight="1">
      <c r="A22" s="5" t="inlineStr">
        <is>
          <t>Few-Shot OD</t>
        </is>
      </c>
      <c r="B22" s="8">
        <f>HYPERLINK("#'MS-COCO 5-shot'!A1","MS-COCO 5-shot")</f>
        <v/>
      </c>
      <c r="C22" s="5" t="inlineStr">
        <is>
          <t>novel AP</t>
        </is>
      </c>
      <c r="D22" s="5" t="inlineStr">
        <is>
          <t>AP50</t>
        </is>
      </c>
      <c r="E22" s="5" t="inlineStr">
        <is>
          <t>5-shot setting must not mix with other shots</t>
        </is>
      </c>
    </row>
    <row r="23" ht="32.1" customHeight="1">
      <c r="A23" s="5" t="inlineStr">
        <is>
          <t>Few-Shot OD</t>
        </is>
      </c>
      <c r="B23" s="8">
        <f>HYPERLINK("#'MS-COCO 10-shot'!A1","MS-COCO 10-shot")</f>
        <v/>
      </c>
      <c r="C23" s="5" t="inlineStr">
        <is>
          <t>novel AP</t>
        </is>
      </c>
      <c r="D23" s="5" t="inlineStr">
        <is>
          <t>AP50</t>
        </is>
      </c>
      <c r="E23" s="5" t="inlineStr">
        <is>
          <t>10-shot setting must not mix with other shots</t>
        </is>
      </c>
    </row>
    <row r="24" ht="32.1" customHeight="1">
      <c r="A24" s="5" t="inlineStr">
        <is>
          <t>Few-Shot OD</t>
        </is>
      </c>
      <c r="B24" s="8">
        <f>HYPERLINK("#'MS-COCO 30-shot'!A1","MS-COCO 30-shot")</f>
        <v/>
      </c>
      <c r="C24" s="5" t="inlineStr">
        <is>
          <t>novel AP</t>
        </is>
      </c>
      <c r="D24" s="5" t="inlineStr">
        <is>
          <t>AP50</t>
        </is>
      </c>
      <c r="E24" s="5" t="inlineStr">
        <is>
          <t>30-shot setting must not mix with other shots</t>
        </is>
      </c>
    </row>
    <row r="25" ht="32.1" customHeight="1">
      <c r="A25" s="5" t="inlineStr">
        <is>
          <t>Few-Shot OD</t>
        </is>
      </c>
      <c r="B25" s="8">
        <f>HYPERLINK("#'COCO 2017 FSOD'!A1","COCO 2017 FSOD")</f>
        <v/>
      </c>
      <c r="C25" s="5" t="inlineStr">
        <is>
          <t>novel AP</t>
        </is>
      </c>
      <c r="D25" s="5" t="inlineStr">
        <is>
          <t>AP</t>
        </is>
      </c>
      <c r="E25" s="5" t="inlineStr">
        <is>
          <t>Generic COCO 2017 FSOD setting; verify shot setting per paper</t>
        </is>
      </c>
    </row>
    <row r="26" ht="32.1" customHeight="1">
      <c r="A26" s="5" t="inlineStr">
        <is>
          <t>Few-Shot OD</t>
        </is>
      </c>
      <c r="B26" s="8">
        <f>HYPERLINK("#'LVIS v1.0 val'!A1","LVIS v1.0 val")</f>
        <v/>
      </c>
      <c r="C26" s="5" t="inlineStr">
        <is>
          <t>AP / AP_rare</t>
        </is>
      </c>
      <c r="D26" s="5" t="n"/>
      <c r="E26" s="5" t="inlineStr">
        <is>
          <t>Long-tail; AP_rare is the FSOD-relevant slice</t>
        </is>
      </c>
    </row>
    <row r="27" ht="32.1" customHeight="1">
      <c r="A27" s="5" t="inlineStr">
        <is>
          <t>Few-Shot OD</t>
        </is>
      </c>
      <c r="B27" s="8">
        <f>HYPERLINK("#'ODinW-13'!A1","ODinW-13")</f>
        <v/>
      </c>
      <c r="C27" s="5" t="inlineStr">
        <is>
          <t>AP (avg of 13 datasets)</t>
        </is>
      </c>
      <c r="D27" s="5" t="inlineStr">
        <is>
          <t>Zero-shot vs fine-tuned — flag separately</t>
        </is>
      </c>
      <c r="E27" s="5" t="inlineStr">
        <is>
          <t>Object Detection in the Wild — 13 dataset suite</t>
        </is>
      </c>
    </row>
    <row r="28" ht="32.1" customHeight="1">
      <c r="A28" s="5" t="inlineStr">
        <is>
          <t>Few-Shot OD</t>
        </is>
      </c>
      <c r="B28" s="8">
        <f>HYPERLINK("#'ODinW-35'!A1","ODinW-35")</f>
        <v/>
      </c>
      <c r="C28" s="5" t="inlineStr">
        <is>
          <t>AP (avg of 35 datasets)</t>
        </is>
      </c>
      <c r="D28" s="5" t="inlineStr">
        <is>
          <t>Zero-shot vs fine-tuned — flag separately</t>
        </is>
      </c>
      <c r="E28" s="5" t="inlineStr">
        <is>
          <t>Object Detection in the Wild — 35 dataset suite</t>
        </is>
      </c>
    </row>
    <row r="29" ht="32.1" customHeight="1">
      <c r="A29" t="inlineStr">
        <is>
          <t>Open-World OD</t>
        </is>
      </c>
      <c r="B29">
        <f>HYPERLINK("#'Open-World OD'!A1","Open-World OD")</f>
        <v/>
      </c>
      <c r="C29" t="inlineStr">
        <is>
          <t>U-Recall (unknown) / mAP (known) — M-OWODB</t>
        </is>
      </c>
    </row>
    <row r="30" ht="32.1" customHeight="1">
      <c r="A30" t="inlineStr">
        <is>
          <t>3D-BEV OD</t>
        </is>
      </c>
      <c r="B30">
        <f>HYPERLINK("#'3D-BEV OD'!A1","3D-BEV OD")</f>
        <v/>
      </c>
      <c r="C30" t="inlineStr">
        <is>
          <t>3D AP (dataset-specific: CA-1M/KITTI/ScanNet)</t>
        </is>
      </c>
    </row>
    <row r="31" ht="32.1" customHeight="1">
      <c r="A31" t="inlineStr">
        <is>
          <t>Tiny-Object OD</t>
        </is>
      </c>
      <c r="B31">
        <f>HYPERLINK("#'Tiny-Object OD'!A1","Tiny-Object OD")</f>
        <v/>
      </c>
      <c r="C31" t="inlineStr">
        <is>
          <t>AP (tiny: AI-TOD / DOTA / remote-sensing)</t>
        </is>
      </c>
    </row>
    <row r="32" ht="32.1" customHeight="1">
      <c r="A32" t="inlineStr">
        <is>
          <t>Domain-Robust OD</t>
        </is>
      </c>
      <c r="B32">
        <f>HYPERLINK("#'Domain-Robust OD'!A1","Domain-Robust OD")</f>
        <v/>
      </c>
      <c r="C32" t="inlineStr">
        <is>
          <t>mAP / mAP50 / S-measure (dataset-specific; NOT a unified ranking)</t>
        </is>
      </c>
    </row>
    <row r="33" ht="32.1" customHeight="1">
      <c r="A33" t="inlineStr">
        <is>
          <t>Incremental OD</t>
        </is>
      </c>
      <c r="B33">
        <f>HYPERLINK("#'Incremental OD'!A1","Incremental OD")</f>
        <v/>
      </c>
      <c r="C33" t="inlineStr">
        <is>
          <t>VOC mAP@0.5 / COCO AP (dataset-specific; NOT a unified ranking)</t>
        </is>
      </c>
    </row>
    <row r="34" ht="32.1" customHeight="1">
      <c r="A34" t="inlineStr">
        <is>
          <t>Open-Vocabulary OD</t>
        </is>
      </c>
      <c r="B34">
        <f>HYPERLINK("#'Open-Vocabulary OD'!A1","Open-Vocabulary OD")</f>
        <v/>
      </c>
      <c r="C34" t="inlineStr">
        <is>
          <t>Novel AP / APr</t>
        </is>
      </c>
    </row>
    <row r="35" ht="32.1" customHeight="1">
      <c r="A35" t="inlineStr">
        <is>
          <t>Oriented-RS OD</t>
        </is>
      </c>
      <c r="B35">
        <f>HYPERLINK("#'Oriented-RS OD'!A1","Oriented-RS OD")</f>
        <v/>
      </c>
      <c r="C35" t="inlineStr">
        <is>
          <t>Oriented mAP</t>
        </is>
      </c>
    </row>
    <row r="36" ht="32.1" customHeight="1">
      <c r="A36" t="inlineStr">
        <is>
          <t>Referring OD</t>
        </is>
      </c>
      <c r="B36">
        <f>HYPERLINK("#'Referring OD'!A1","Referring OD")</f>
        <v/>
      </c>
      <c r="C36" t="inlineStr">
        <is>
          <t>Acc@0.5</t>
        </is>
      </c>
    </row>
    <row r="37">
      <c r="A37" t="inlineStr">
        <is>
          <t>Security-Robustness OD</t>
        </is>
      </c>
      <c r="B37">
        <f>HYPERLINK("#'Security-Robustness OD'!A1","Security-Robustness OD")</f>
        <v/>
      </c>
      <c r="C37" t="inlineStr">
        <is>
          <t>robust AP / F1·AUROC</t>
        </is>
      </c>
    </row>
    <row r="38">
      <c r="A38" t="inlineStr">
        <is>
          <t>Co-SOD &amp; Ranking</t>
        </is>
      </c>
      <c r="B38">
        <f>HYPERLINK("#'Co-SOD &amp; Ranking'!A1","Co-SOD &amp; Ranking")</f>
        <v/>
      </c>
      <c r="C38" t="inlineStr">
        <is>
          <t>S-measure / SA-SOR</t>
        </is>
      </c>
    </row>
    <row r="39">
      <c r="A39" t="inlineStr">
        <is>
          <t>CD-FSOD</t>
        </is>
      </c>
      <c r="B39">
        <f>HYPERLINK("#'CD-FSOD'!A1","CD-FSOD")</f>
        <v/>
      </c>
      <c r="C39" t="inlineStr">
        <is>
          <t>CD-FSOD novel AP</t>
        </is>
      </c>
    </row>
    <row r="40">
      <c r="A40" t="inlineStr">
        <is>
          <t>Event-Camera OD</t>
        </is>
      </c>
      <c r="B40">
        <f>HYPERLINK("#'Event-Camera OD'!A1","Event-Camera OD")</f>
        <v/>
      </c>
      <c r="C40" t="inlineStr">
        <is>
          <t>mAP (event Gen1/1Mpx)</t>
        </is>
      </c>
    </row>
    <row r="41">
      <c r="A41" t="inlineStr">
        <is>
          <t>Thermal-Multispectral OD</t>
        </is>
      </c>
      <c r="B41">
        <f>HYPERLINK("#'Thermal-Multispectral OD'!A1","Thermal-Multispectral OD")</f>
        <v/>
      </c>
      <c r="C41" t="inlineStr">
        <is>
          <t>mAP / mAP50 (thermal)</t>
        </is>
      </c>
    </row>
    <row r="42">
      <c r="A42" t="inlineStr">
        <is>
          <t>Camouflaged OD</t>
        </is>
      </c>
      <c r="B42">
        <f>HYPERLINK("#'Camouflaged OD'!A1","Camouflaged OD")</f>
        <v/>
      </c>
      <c r="C42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3" location="'Argoverse-HD DO Val'!A1" display="'Argoverse-HD DO Val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  <row r="15">
      <c r="A15" t="inlineStr">
        <is>
          <t>Few-Shot OD</t>
        </is>
      </c>
      <c r="B15" t="inlineStr">
        <is>
          <t>GiPL: Generative augmented iterative Pseudo-Labeling for Cross-Domain Few-Shot Object Dete</t>
        </is>
      </c>
      <c r="C15" t="inlineStr">
        <is>
          <t>Jiacong Liu, Shu Luo, Yikai Qin, Yaze Zhao, Yongwei Jiang, Yixiong Zou</t>
        </is>
      </c>
      <c r="D15" t="inlineStr">
        <is>
          <t>arXiv</t>
        </is>
      </c>
      <c r="E15" t="inlineStr">
        <is>
          <t>2026-05</t>
        </is>
      </c>
      <c r="F15" t="inlineStr">
        <is>
          <t>Preprint</t>
        </is>
      </c>
      <c r="K15" t="inlineStr">
        <is>
          <t>Auto-fetched from arXiv; metrics To verify</t>
        </is>
      </c>
      <c r="L15" t="inlineStr">
        <is>
          <t>https://arxiv.org/abs/2605.29539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  <row r="6">
      <c r="A6" t="inlineStr">
        <is>
          <t>Open-World OD</t>
        </is>
      </c>
      <c r="B6" t="inlineStr">
        <is>
          <t>PROB</t>
        </is>
      </c>
      <c r="E6" t="inlineStr">
        <is>
          <t>2023</t>
        </is>
      </c>
      <c r="F6" t="inlineStr">
        <is>
          <t>✅ Standard verified</t>
        </is>
      </c>
      <c r="G6" t="n">
        <v>19.4</v>
      </c>
      <c r="H6" t="inlineStr">
        <is>
          <t>M-OWODB_T1_U-Recall=19.4 | known-mAP=59.5</t>
        </is>
      </c>
      <c r="K6" t="inlineStr">
        <is>
          <t>✅ Standard verified — OWOD M-OWODB Task-1 U-Recall=19.4, known-mAP=59.5; PROB CVPR23 (arXiv 2212.01424) Table 1.</t>
        </is>
      </c>
      <c r="L6" t="inlineStr">
        <is>
          <t>https://arxiv.org/abs/2212.01424</t>
        </is>
      </c>
    </row>
    <row r="7">
      <c r="A7" t="inlineStr">
        <is>
          <t>Open-World OD</t>
        </is>
      </c>
      <c r="B7" t="inlineStr">
        <is>
          <t>2B-OCD</t>
        </is>
      </c>
      <c r="E7" t="inlineStr">
        <is>
          <t>2022</t>
        </is>
      </c>
      <c r="F7" t="inlineStr">
        <is>
          <t>✅ Cross-paper verified</t>
        </is>
      </c>
      <c r="G7" t="n">
        <v>12.1</v>
      </c>
      <c r="H7" t="inlineStr">
        <is>
          <t>M-OWODB_T1_U-Recall=12.1 | known-mAP=56.4</t>
        </is>
      </c>
      <c r="K7" t="inlineStr">
        <is>
          <t>✅ Cross-paper verified — M-OWODB Task-1 U-Recall=12.1/known-mAP=56.4 reported in PROB CVPR23 Table 1; original method 2B-OCD (2022).</t>
        </is>
      </c>
      <c r="L7" t="inlineStr">
        <is>
          <t>https://arxiv.org/abs/2212.01424</t>
        </is>
      </c>
    </row>
    <row r="8">
      <c r="A8" t="inlineStr">
        <is>
          <t>Open-World OD</t>
        </is>
      </c>
      <c r="B8" t="inlineStr">
        <is>
          <t>OCPL</t>
        </is>
      </c>
      <c r="E8" t="inlineStr">
        <is>
          <t>2022</t>
        </is>
      </c>
      <c r="F8" t="inlineStr">
        <is>
          <t>✅ Cross-paper verified</t>
        </is>
      </c>
      <c r="G8" t="n">
        <v>8.26</v>
      </c>
      <c r="H8" t="inlineStr">
        <is>
          <t>M-OWODB_T1_U-Recall=8.26 | known-mAP=56.6</t>
        </is>
      </c>
      <c r="K8" t="inlineStr">
        <is>
          <t>✅ Cross-paper verified — M-OWODB Task-1 U-Recall=8.26/known-mAP=56.6 reported in PROB CVPR23 Table 1; original method OCPL (2022).</t>
        </is>
      </c>
      <c r="L8" t="inlineStr">
        <is>
          <t>https://arxiv.org/abs/2212.01424</t>
        </is>
      </c>
    </row>
    <row r="9">
      <c r="A9" t="inlineStr">
        <is>
          <t>Open-World OD</t>
        </is>
      </c>
      <c r="B9" t="inlineStr">
        <is>
          <t>OW-DETR</t>
        </is>
      </c>
      <c r="E9" t="inlineStr">
        <is>
          <t>2022</t>
        </is>
      </c>
      <c r="F9" t="inlineStr">
        <is>
          <t>✅ Cross-paper verified</t>
        </is>
      </c>
      <c r="G9" t="n">
        <v>7.5</v>
      </c>
      <c r="H9" t="inlineStr">
        <is>
          <t>M-OWODB_T1_U-Recall=7.5 | known-mAP=59.2</t>
        </is>
      </c>
      <c r="K9" t="inlineStr">
        <is>
          <t>✅ Cross-paper verified — M-OWODB Task-1 U-Recall=7.5/known-mAP=59.2 reported in PROB CVPR23 Table 1; original method OW-DETR (2022).</t>
        </is>
      </c>
      <c r="L9" t="inlineStr">
        <is>
          <t>https://arxiv.org/abs/2212.01424</t>
        </is>
      </c>
    </row>
    <row r="10">
      <c r="A10" t="inlineStr">
        <is>
          <t>Open-World OD</t>
        </is>
      </c>
      <c r="B10" t="inlineStr">
        <is>
          <t>ORE</t>
        </is>
      </c>
      <c r="E10" t="inlineStr">
        <is>
          <t>2021</t>
        </is>
      </c>
      <c r="F10" t="inlineStr">
        <is>
          <t>✅ Cross-paper verified</t>
        </is>
      </c>
      <c r="G10" t="n">
        <v>4.9</v>
      </c>
      <c r="H10" t="inlineStr">
        <is>
          <t>M-OWODB_T1_U-Recall=4.9 | known-mAP=56.0</t>
        </is>
      </c>
      <c r="K10" t="inlineStr">
        <is>
          <t>✅ Cross-paper verified — M-OWODB Task-1 U-Recall=4.9/known-mAP=56.0 reported in PROB CVPR23 Table 1; original method ORE (2021).</t>
        </is>
      </c>
      <c r="L10" t="inlineStr">
        <is>
          <t>https://arxiv.org/abs/2212.01424</t>
        </is>
      </c>
    </row>
    <row r="11">
      <c r="A11" t="inlineStr">
        <is>
          <t>Open-World OD</t>
        </is>
      </c>
      <c r="B11" t="inlineStr">
        <is>
          <t>UC-OWOD</t>
        </is>
      </c>
      <c r="E11" t="inlineStr">
        <is>
          <t>2022</t>
        </is>
      </c>
      <c r="F11" t="inlineStr">
        <is>
          <t>✅ Cross-paper verified</t>
        </is>
      </c>
      <c r="G11" t="n">
        <v>2.4</v>
      </c>
      <c r="H11" t="inlineStr">
        <is>
          <t>M-OWODB_T1_U-Recall=2.4 | known-mAP=50.7</t>
        </is>
      </c>
      <c r="K11" t="inlineStr">
        <is>
          <t>✅ Cross-paper verified — M-OWODB Task-1 U-Recall=2.4/known-mAP=50.7 reported in PROB CVPR23 Table 1; original method UC-OWOD (2022).</t>
        </is>
      </c>
      <c r="L11" t="inlineStr">
        <is>
          <t>https://arxiv.org/abs/2212.01424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  <row r="5">
      <c r="A5" t="inlineStr">
        <is>
          <t>Incremental OD</t>
        </is>
      </c>
      <c r="B5" t="inlineStr">
        <is>
          <t>BPF</t>
        </is>
      </c>
      <c r="E5" t="inlineStr">
        <is>
          <t>2023</t>
        </is>
      </c>
      <c r="F5" t="inlineStr">
        <is>
          <t>✅ Cross-paper verified</t>
        </is>
      </c>
      <c r="G5" t="n">
        <v>74.09999999999999</v>
      </c>
      <c r="H5" t="inlineStr">
        <is>
          <t>VOC 19+1 All mAP=74.1</t>
        </is>
      </c>
      <c r="K5" t="inlineStr">
        <is>
          <t>✅ Cross-paper verified — PASCAL VOC 2007 incremental 19+1 All mAP=74.1 reported in RGR CVPR25 Table 1; original method BPF (2023).</t>
        </is>
      </c>
      <c r="L5" t="inlineStr">
        <is>
          <t>https://openaccess.thecvf.com/content/CVPR2025/html/Zhang_Revisiting_Generative_Replay_for_Class_Incremental_Object_Detection_CVPR_2025_paper.html</t>
        </is>
      </c>
    </row>
    <row r="6">
      <c r="A6" t="inlineStr">
        <is>
          <t>Incremental OD</t>
        </is>
      </c>
      <c r="B6" t="inlineStr">
        <is>
          <t>PseudoRM</t>
        </is>
      </c>
      <c r="E6" t="inlineStr">
        <is>
          <t>2022</t>
        </is>
      </c>
      <c r="F6" t="inlineStr">
        <is>
          <t>✅ Cross-paper verified</t>
        </is>
      </c>
      <c r="G6" t="n">
        <v>72.59999999999999</v>
      </c>
      <c r="H6" t="inlineStr">
        <is>
          <t>VOC 19+1 All mAP=72.6</t>
        </is>
      </c>
      <c r="K6" t="inlineStr">
        <is>
          <t>✅ Cross-paper verified — PASCAL VOC 2007 incremental 19+1 All mAP=72.6 reported in RGR CVPR25 Table 1; original method PseudoRM (2022).</t>
        </is>
      </c>
      <c r="L6" t="inlineStr">
        <is>
          <t>https://openaccess.thecvf.com/content/CVPR2025/html/Zhang_Revisiting_Generative_Replay_for_Class_Incremental_Object_Detection_CVPR_2025_paper.html</t>
        </is>
      </c>
    </row>
    <row r="7">
      <c r="A7" t="inlineStr">
        <is>
          <t>Incremental OD</t>
        </is>
      </c>
      <c r="B7" t="inlineStr">
        <is>
          <t>PROB (incremental)</t>
        </is>
      </c>
      <c r="E7" t="inlineStr">
        <is>
          <t>2023</t>
        </is>
      </c>
      <c r="F7" t="inlineStr">
        <is>
          <t>✅ Cross-paper verified</t>
        </is>
      </c>
      <c r="G7" t="n">
        <v>72.59999999999999</v>
      </c>
      <c r="H7" t="inlineStr">
        <is>
          <t>VOC 19+1 All mAP=72.6</t>
        </is>
      </c>
      <c r="K7" t="inlineStr">
        <is>
          <t>✅ Cross-paper verified — PASCAL VOC 2007 incremental 19+1 All mAP=72.6 reported in RGR CVPR25 Table 1; original method PROB (incremental) (2023).</t>
        </is>
      </c>
      <c r="L7" t="inlineStr">
        <is>
          <t>https://openaccess.thecvf.com/content/CVPR2025/html/Zhang_Revisiting_Generative_Replay_for_Class_Incremental_Object_Detection_CVPR_2025_paper.html</t>
        </is>
      </c>
    </row>
    <row r="8">
      <c r="A8" t="inlineStr">
        <is>
          <t>Incremental OD</t>
        </is>
      </c>
      <c r="B8" t="inlineStr">
        <is>
          <t>ABR</t>
        </is>
      </c>
      <c r="E8" t="inlineStr">
        <is>
          <t>2023</t>
        </is>
      </c>
      <c r="F8" t="inlineStr">
        <is>
          <t>✅ Cross-paper verified</t>
        </is>
      </c>
      <c r="G8" t="n">
        <v>70.90000000000001</v>
      </c>
      <c r="H8" t="inlineStr">
        <is>
          <t>VOC 19+1 All mAP=70.9</t>
        </is>
      </c>
      <c r="K8" t="inlineStr">
        <is>
          <t>✅ Cross-paper verified — PASCAL VOC 2007 incremental 19+1 All mAP=70.9 reported in RGR CVPR25 Table 1; original method ABR (2023).</t>
        </is>
      </c>
      <c r="L8" t="inlineStr">
        <is>
          <t>https://openaccess.thecvf.com/content/CVPR2025/html/Zhang_Revisiting_Generative_Replay_for_Class_Incremental_Object_Detection_CVPR_2025_paper.html</t>
        </is>
      </c>
    </row>
    <row r="9">
      <c r="A9" t="inlineStr">
        <is>
          <t>Incremental OD</t>
        </is>
      </c>
      <c r="B9" t="inlineStr">
        <is>
          <t>MMA</t>
        </is>
      </c>
      <c r="E9" t="inlineStr">
        <is>
          <t>2023</t>
        </is>
      </c>
      <c r="F9" t="inlineStr">
        <is>
          <t>✅ Cross-paper verified</t>
        </is>
      </c>
      <c r="G9" t="n">
        <v>70.7</v>
      </c>
      <c r="H9" t="inlineStr">
        <is>
          <t>VOC 19+1 All mAP=70.7</t>
        </is>
      </c>
      <c r="K9" t="inlineStr">
        <is>
          <t>✅ Cross-paper verified — PASCAL VOC 2007 incremental 19+1 All mAP=70.7 reported in RGR CVPR25 Table 1; original method MMA (2023).</t>
        </is>
      </c>
      <c r="L9" t="inlineStr">
        <is>
          <t>https://openaccess.thecvf.com/content/CVPR2025/html/Zhang_Revisiting_Generative_Replay_for_Class_Incremental_Object_Detection_CVPR_2025_paper.html</t>
        </is>
      </c>
    </row>
    <row r="10">
      <c r="A10" t="inlineStr">
        <is>
          <t>Incremental OD</t>
        </is>
      </c>
      <c r="B10" t="inlineStr">
        <is>
          <t>ILOD-Meta</t>
        </is>
      </c>
      <c r="E10" t="inlineStr">
        <is>
          <t>2021</t>
        </is>
      </c>
      <c r="F10" t="inlineStr">
        <is>
          <t>✅ Cross-paper verified</t>
        </is>
      </c>
      <c r="G10" t="n">
        <v>70.2</v>
      </c>
      <c r="H10" t="inlineStr">
        <is>
          <t>VOC 19+1 All mAP=70.2</t>
        </is>
      </c>
      <c r="K10" t="inlineStr">
        <is>
          <t>✅ Cross-paper verified — PASCAL VOC 2007 incremental 19+1 All mAP=70.2 reported in RGR CVPR25 Table 1; original method ILOD-Meta (2021).</t>
        </is>
      </c>
      <c r="L10" t="inlineStr">
        <is>
          <t>https://openaccess.thecvf.com/content/CVPR2025/html/Zhang_Revisiting_Generative_Replay_for_Class_Incremental_Object_Detection_CVPR_2025_paper.html</t>
        </is>
      </c>
    </row>
    <row r="11">
      <c r="A11" t="inlineStr">
        <is>
          <t>Incremental OD</t>
        </is>
      </c>
      <c r="B11" t="inlineStr">
        <is>
          <t>OW-DETR (incremental)</t>
        </is>
      </c>
      <c r="E11" t="inlineStr">
        <is>
          <t>2022</t>
        </is>
      </c>
      <c r="F11" t="inlineStr">
        <is>
          <t>✅ Cross-paper verified</t>
        </is>
      </c>
      <c r="G11" t="n">
        <v>69.8</v>
      </c>
      <c r="H11" t="inlineStr">
        <is>
          <t>VOC 19+1 All mAP=69.8</t>
        </is>
      </c>
      <c r="K11" t="inlineStr">
        <is>
          <t>✅ Cross-paper verified — PASCAL VOC 2007 incremental 19+1 All mAP=69.8 reported in RGR CVPR25 Table 1; original method OW-DETR (incremental) (2022).</t>
        </is>
      </c>
      <c r="L11" t="inlineStr">
        <is>
          <t>https://openaccess.thecvf.com/content/CVPR2025/html/Zhang_Revisiting_Generative_Replay_for_Class_Incremental_Object_Detection_CVPR_2025_paper.html</t>
        </is>
      </c>
    </row>
    <row r="12">
      <c r="A12" t="inlineStr">
        <is>
          <t>Incremental OD</t>
        </is>
      </c>
      <c r="B12" t="inlineStr">
        <is>
          <t>MVC</t>
        </is>
      </c>
      <c r="E12" t="inlineStr">
        <is>
          <t>2022</t>
        </is>
      </c>
      <c r="F12" t="inlineStr">
        <is>
          <t>✅ Cross-paper verified</t>
        </is>
      </c>
      <c r="G12" t="n">
        <v>69.7</v>
      </c>
      <c r="H12" t="inlineStr">
        <is>
          <t>VOC 19+1 All mAP=69.7</t>
        </is>
      </c>
      <c r="K12" t="inlineStr">
        <is>
          <t>✅ Cross-paper verified — PASCAL VOC 2007 incremental 19+1 All mAP=69.7 reported in RGR CVPR25 Table 1; original method MVC (2022).</t>
        </is>
      </c>
      <c r="L12" t="inlineStr">
        <is>
          <t>https://openaccess.thecvf.com/content/CVPR2025/html/Zhang_Revisiting_Generative_Replay_for_Class_Incremental_Object_Detection_CVPR_2025_paper.html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  <row r="5">
      <c r="A5" t="inlineStr">
        <is>
          <t>Referring OD</t>
        </is>
      </c>
      <c r="B5" t="inlineStr">
        <is>
          <t>UNINEXT-H</t>
        </is>
      </c>
      <c r="E5" t="inlineStr">
        <is>
          <t>2023</t>
        </is>
      </c>
      <c r="F5" t="inlineStr">
        <is>
          <t>✅ Standard verified</t>
        </is>
      </c>
      <c r="G5" t="n">
        <v>92.64</v>
      </c>
      <c r="H5" t="inlineStr">
        <is>
          <t>RefCOCO_val=92.64 | testA=94.33 | testB=91.46</t>
        </is>
      </c>
      <c r="K5" t="inlineStr">
        <is>
          <t>✅ Standard verified — RefCOCO REC val Acc@0.5=92.64 (testA=94.33/testB=91.46); UNINEXT CVPR23 (arXiv 2303.06674) Table 3.</t>
        </is>
      </c>
      <c r="L5" t="inlineStr">
        <is>
          <t>https://arxiv.org/abs/2303.06674</t>
        </is>
      </c>
    </row>
    <row r="6">
      <c r="A6" t="inlineStr">
        <is>
          <t>Referring OD</t>
        </is>
      </c>
      <c r="B6" t="inlineStr">
        <is>
          <t>UNINEXT-L</t>
        </is>
      </c>
      <c r="E6" t="inlineStr">
        <is>
          <t>2023</t>
        </is>
      </c>
      <c r="F6" t="inlineStr">
        <is>
          <t>✅ Standard verified</t>
        </is>
      </c>
      <c r="G6" t="n">
        <v>91.43000000000001</v>
      </c>
      <c r="H6" t="inlineStr">
        <is>
          <t>RefCOCO_val=91.43 | testA=93.73 | testB=88.93</t>
        </is>
      </c>
      <c r="K6" t="inlineStr">
        <is>
          <t>✅ Standard verified — RefCOCO REC val Acc@0.5=91.43 (testA=93.73/testB=88.93); UNINEXT CVPR23 (arXiv 2303.06674) Table 3.</t>
        </is>
      </c>
      <c r="L6" t="inlineStr">
        <is>
          <t>https://arxiv.org/abs/2303.06674</t>
        </is>
      </c>
    </row>
    <row r="7">
      <c r="A7" t="inlineStr">
        <is>
          <t>Referring OD</t>
        </is>
      </c>
      <c r="B7" t="inlineStr">
        <is>
          <t>UNINEXT-R50</t>
        </is>
      </c>
      <c r="E7" t="inlineStr">
        <is>
          <t>2023</t>
        </is>
      </c>
      <c r="F7" t="inlineStr">
        <is>
          <t>✅ Standard verified</t>
        </is>
      </c>
      <c r="G7" t="n">
        <v>89.72</v>
      </c>
      <c r="H7" t="inlineStr">
        <is>
          <t>RefCOCO_val=89.72 | testA=91.52 | testB=86.93</t>
        </is>
      </c>
      <c r="K7" t="inlineStr">
        <is>
          <t>✅ Standard verified — RefCOCO REC val Acc@0.5=89.72 (testA=91.52/testB=86.93); UNINEXT CVPR23 (arXiv 2303.06674) Table 3.</t>
        </is>
      </c>
      <c r="L7" t="inlineStr">
        <is>
          <t>https://arxiv.org/abs/2303.06674</t>
        </is>
      </c>
    </row>
    <row r="8">
      <c r="A8" t="inlineStr">
        <is>
          <t>Referring OD</t>
        </is>
      </c>
      <c r="B8" t="inlineStr">
        <is>
          <t>SeqTR</t>
        </is>
      </c>
      <c r="E8" t="inlineStr">
        <is>
          <t>2022</t>
        </is>
      </c>
      <c r="F8" t="inlineStr">
        <is>
          <t>✅ Cross-paper verified</t>
        </is>
      </c>
      <c r="G8" t="n">
        <v>87</v>
      </c>
      <c r="H8" t="inlineStr">
        <is>
          <t>RefCOCO_val=87.0 | testA=90.15 | testB=83.59</t>
        </is>
      </c>
      <c r="K8" t="inlineStr">
        <is>
          <t>✅ Cross-paper verified — RefCOCO REC val Acc@0.5=87.0 reported in UNINEXT CVPR23 Table 3; original method SeqTR (2022).</t>
        </is>
      </c>
      <c r="L8" t="inlineStr">
        <is>
          <t>https://arxiv.org/abs/2303.06674</t>
        </is>
      </c>
    </row>
    <row r="9">
      <c r="A9" t="inlineStr">
        <is>
          <t>Referring OD</t>
        </is>
      </c>
      <c r="B9" t="inlineStr">
        <is>
          <t>MDETR</t>
        </is>
      </c>
      <c r="E9" t="inlineStr">
        <is>
          <t>2021</t>
        </is>
      </c>
      <c r="F9" t="inlineStr">
        <is>
          <t>✅ Cross-paper verified</t>
        </is>
      </c>
      <c r="G9" t="n">
        <v>86.75</v>
      </c>
      <c r="H9" t="inlineStr">
        <is>
          <t>RefCOCO_val=86.75 | testA=89.58 | testB=81.41</t>
        </is>
      </c>
      <c r="K9" t="inlineStr">
        <is>
          <t>✅ Cross-paper verified — RefCOCO REC val Acc@0.5=86.75 reported in UNINEXT CVPR23 Table 3; original method MDETR (2021).</t>
        </is>
      </c>
      <c r="L9" t="inlineStr">
        <is>
          <t>https://arxiv.org/abs/2303.06674</t>
        </is>
      </c>
    </row>
    <row r="10">
      <c r="A10" t="inlineStr">
        <is>
          <t>Referring OD</t>
        </is>
      </c>
      <c r="B10" t="inlineStr">
        <is>
          <t>VILLA</t>
        </is>
      </c>
      <c r="E10" t="inlineStr">
        <is>
          <t>2020</t>
        </is>
      </c>
      <c r="F10" t="inlineStr">
        <is>
          <t>✅ Cross-paper verified</t>
        </is>
      </c>
      <c r="G10" t="n">
        <v>82.39</v>
      </c>
      <c r="H10" t="inlineStr">
        <is>
          <t>RefCOCO_val=82.39 | testA=87.48 | testB=76.17</t>
        </is>
      </c>
      <c r="K10" t="inlineStr">
        <is>
          <t>✅ Cross-paper verified — RefCOCO REC val Acc@0.5=82.39 reported in UNINEXT CVPR23 Table 3; original method VILLA (2020).</t>
        </is>
      </c>
      <c r="L10" t="inlineStr">
        <is>
          <t>https://arxiv.org/abs/2303.06674</t>
        </is>
      </c>
    </row>
    <row r="11">
      <c r="A11" t="inlineStr">
        <is>
          <t>Referring OD</t>
        </is>
      </c>
      <c r="B11" t="inlineStr">
        <is>
          <t>RefTR</t>
        </is>
      </c>
      <c r="E11" t="inlineStr">
        <is>
          <t>2021</t>
        </is>
      </c>
      <c r="F11" t="inlineStr">
        <is>
          <t>✅ Cross-paper verified</t>
        </is>
      </c>
      <c r="G11" t="n">
        <v>82.23</v>
      </c>
      <c r="H11" t="inlineStr">
        <is>
          <t>RefCOCO_val=82.23 | testA=85.59 | testB=76.57</t>
        </is>
      </c>
      <c r="K11" t="inlineStr">
        <is>
          <t>✅ Cross-paper verified — RefCOCO REC val Acc@0.5=82.23 reported in UNINEXT CVPR23 Table 3; original method RefTR (2021).</t>
        </is>
      </c>
      <c r="L11" t="inlineStr">
        <is>
          <t>https://arxiv.org/abs/2303.06674</t>
        </is>
      </c>
    </row>
    <row r="12">
      <c r="A12" t="inlineStr">
        <is>
          <t>Referring OD</t>
        </is>
      </c>
      <c r="B12" t="inlineStr">
        <is>
          <t>UNITER</t>
        </is>
      </c>
      <c r="E12" t="inlineStr">
        <is>
          <t>2020</t>
        </is>
      </c>
      <c r="F12" t="inlineStr">
        <is>
          <t>✅ Cross-paper verified</t>
        </is>
      </c>
      <c r="G12" t="n">
        <v>81.41</v>
      </c>
      <c r="H12" t="inlineStr">
        <is>
          <t>RefCOCO_val=81.41 | testA=87.04 | testB=74.17</t>
        </is>
      </c>
      <c r="K12" t="inlineStr">
        <is>
          <t>✅ Cross-paper verified — RefCOCO REC val Acc@0.5=81.41 reported in UNINEXT CVPR23 Table 3; original method UNITER (2020).</t>
        </is>
      </c>
      <c r="L12" t="inlineStr">
        <is>
          <t>https://arxiv.org/abs/2303.06674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  <row r="7">
      <c r="A7" t="inlineStr">
        <is>
          <t>Security-Robustness OD</t>
        </is>
      </c>
      <c r="B7" t="inlineStr">
        <is>
          <t>Ad-YOLO</t>
        </is>
      </c>
      <c r="E7" t="inlineStr">
        <is>
          <t>2021</t>
        </is>
      </c>
      <c r="F7" t="inlineStr">
        <is>
          <t>✅ Standard verified</t>
        </is>
      </c>
      <c r="G7" t="n">
        <v>86.91</v>
      </c>
      <c r="H7" t="inlineStr">
        <is>
          <t>AP=86.91 under patch attack (INRIA)</t>
        </is>
      </c>
      <c r="K7" t="inlineStr">
        <is>
          <t>✅ Standard verified — adversarial-OD defense, AP=86.91 under patch attack (INRIA); original paper Ad-YOLO (2021). Heterogeneous metric — NOT cross-comparable with other rows.</t>
        </is>
      </c>
      <c r="L7" t="inlineStr">
        <is>
          <t>https://arxiv.org/abs/2103.08860</t>
        </is>
      </c>
    </row>
    <row r="8">
      <c r="A8" t="inlineStr">
        <is>
          <t>Security-Robustness OD</t>
        </is>
      </c>
      <c r="B8" t="inlineStr">
        <is>
          <t>ObjectSeeker</t>
        </is>
      </c>
      <c r="E8" t="inlineStr">
        <is>
          <t>2022</t>
        </is>
      </c>
      <c r="F8" t="inlineStr">
        <is>
          <t>✅ Standard verified</t>
        </is>
      </c>
      <c r="G8" t="n">
        <v>58.8</v>
      </c>
      <c r="H8" t="inlineStr">
        <is>
          <t>certified robust AP=58.8 (far-patch, PASCAL VOC)</t>
        </is>
      </c>
      <c r="K8" t="inlineStr">
        <is>
          <t>✅ Standard verified — adversarial-OD defense, certified robust AP=58.8 (far-patch, PASCAL VOC); original paper ObjectSeeker (2022). Heterogeneous metric — NOT cross-comparable with other rows.</t>
        </is>
      </c>
      <c r="L8" t="inlineStr">
        <is>
          <t>https://arxiv.org/abs/2202.01811</t>
        </is>
      </c>
    </row>
    <row r="9">
      <c r="A9" t="inlineStr">
        <is>
          <t>Security-Robustness OD</t>
        </is>
      </c>
      <c r="B9" t="inlineStr">
        <is>
          <t>SAC</t>
        </is>
      </c>
      <c r="E9" t="inlineStr">
        <is>
          <t>2021</t>
        </is>
      </c>
      <c r="F9" t="inlineStr">
        <is>
          <t>✅ Standard verified</t>
        </is>
      </c>
      <c r="G9" t="n">
        <v>44.5</v>
      </c>
      <c r="H9" t="inlineStr">
        <is>
          <t>patch-defense clean mAP=44.5 (+30.6 mAP under 100x100 patch attack)</t>
        </is>
      </c>
      <c r="K9" t="inlineStr">
        <is>
          <t>✅ Standard verified — adversarial-OD defense, patch-defense clean mAP=44.5 (+30.6 mAP under 100x100 patch attack); original paper SAC (2021). Heterogeneous metric — NOT cross-comparable with other rows.</t>
        </is>
      </c>
      <c r="L9" t="inlineStr">
        <is>
          <t>https://arxiv.org/abs/2112.04532</t>
        </is>
      </c>
    </row>
    <row r="10">
      <c r="A10" t="inlineStr">
        <is>
          <t>Security-Robustness OD</t>
        </is>
      </c>
      <c r="B10" t="inlineStr">
        <is>
          <t>PatchZero</t>
        </is>
      </c>
      <c r="E10" t="inlineStr">
        <is>
          <t>2022</t>
        </is>
      </c>
      <c r="F10" t="inlineStr">
        <is>
          <t>✅ Standard verified</t>
        </is>
      </c>
      <c r="G10" t="n">
        <v>41.5</v>
      </c>
      <c r="H10" t="inlineStr">
        <is>
          <t>robust AP=41.5 under adversarial patch attack</t>
        </is>
      </c>
      <c r="K10" t="inlineStr">
        <is>
          <t>✅ Standard verified — adversarial-OD defense, robust AP=41.5 under adversarial patch attack; original paper PatchZero (2022). Heterogeneous metric — NOT cross-comparable with other rows.</t>
        </is>
      </c>
      <c r="L10" t="inlineStr">
        <is>
          <t>https://arxiv.org/abs/2207.01795</t>
        </is>
      </c>
    </row>
    <row r="11">
      <c r="A11" t="inlineStr">
        <is>
          <t>Security-Robustness OD</t>
        </is>
      </c>
      <c r="B11" t="inlineStr">
        <is>
          <t>DetectorGuard</t>
        </is>
      </c>
      <c r="E11" t="inlineStr">
        <is>
          <t>2021</t>
        </is>
      </c>
      <c r="F11" t="inlineStr">
        <is>
          <t>✅ Standard verified</t>
        </is>
      </c>
      <c r="G11" t="n">
        <v>28.6</v>
      </c>
      <c r="H11" t="inlineStr">
        <is>
          <t>provable/certified robustness=28.6% (PASCAL VOC)</t>
        </is>
      </c>
      <c r="K11" t="inlineStr">
        <is>
          <t>✅ Standard verified — adversarial-OD defense, provable/certified robustness=28.6% (PASCAL VOC); original paper DetectorGuard (2021). Heterogeneous metric — NOT cross-comparable with other rows.</t>
        </is>
      </c>
      <c r="L11" t="inlineStr">
        <is>
          <t>https://arxiv.org/abs/2102.02956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  <row r="5">
      <c r="A5" t="inlineStr">
        <is>
          <t>CD-FSOD</t>
        </is>
      </c>
      <c r="B5" t="inlineStr">
        <is>
          <t>DE-ViT-FT</t>
        </is>
      </c>
      <c r="E5" t="inlineStr">
        <is>
          <t>2023</t>
        </is>
      </c>
      <c r="F5" t="inlineStr">
        <is>
          <t>✅ Cross-paper verified</t>
        </is>
      </c>
      <c r="G5" t="n">
        <v>49.2</v>
      </c>
      <c r="H5" t="inlineStr">
        <is>
          <t>ArTaxOr_10shot=49.2 | Avg=25.2</t>
        </is>
      </c>
      <c r="K5" t="inlineStr">
        <is>
          <t>✅ Cross-paper verified — CD-FSOD 10-shot ArTaxOr mAP=49.2 (Avg=25.2) reported in CD-ViTO (arXiv 2402.03094) Table 1; original method DE-ViT-FT (2023).</t>
        </is>
      </c>
      <c r="L5" t="inlineStr">
        <is>
          <t>https://arxiv.org/abs/2402.03094</t>
        </is>
      </c>
    </row>
    <row r="6">
      <c r="A6" t="inlineStr">
        <is>
          <t>CD-FSOD</t>
        </is>
      </c>
      <c r="B6" t="inlineStr">
        <is>
          <t>ViTDeT-FT</t>
        </is>
      </c>
      <c r="E6" t="inlineStr">
        <is>
          <t>2023</t>
        </is>
      </c>
      <c r="F6" t="inlineStr">
        <is>
          <t>✅ Cross-paper verified</t>
        </is>
      </c>
      <c r="G6" t="n">
        <v>23.4</v>
      </c>
      <c r="H6" t="inlineStr">
        <is>
          <t>ArTaxOr_10shot=23.4 | Avg=19.4</t>
        </is>
      </c>
      <c r="K6" t="inlineStr">
        <is>
          <t>✅ Cross-paper verified — CD-FSOD 10-shot ArTaxOr mAP=23.4 (Avg=19.4) reported in CD-ViTO (arXiv 2402.03094) Table 1; original method ViTDeT-FT (2023).</t>
        </is>
      </c>
      <c r="L6" t="inlineStr">
        <is>
          <t>https://arxiv.org/abs/2402.03094</t>
        </is>
      </c>
    </row>
    <row r="7">
      <c r="A7" t="inlineStr">
        <is>
          <t>CD-FSOD</t>
        </is>
      </c>
      <c r="B7" t="inlineStr">
        <is>
          <t>Distill-CDFSOD</t>
        </is>
      </c>
      <c r="E7" t="inlineStr">
        <is>
          <t>2024</t>
        </is>
      </c>
      <c r="F7" t="inlineStr">
        <is>
          <t>✅ Cross-paper verified</t>
        </is>
      </c>
      <c r="G7" t="n">
        <v>18.1</v>
      </c>
      <c r="H7" t="inlineStr">
        <is>
          <t>ArTaxOr_10shot=18.1 | Avg=20.5</t>
        </is>
      </c>
      <c r="K7" t="inlineStr">
        <is>
          <t>✅ Cross-paper verified — CD-FSOD 10-shot ArTaxOr mAP=18.1 (Avg=20.5) reported in CD-ViTO (arXiv 2402.03094) Table 1; original method Distill-CDFSOD (2024).</t>
        </is>
      </c>
      <c r="L7" t="inlineStr">
        <is>
          <t>https://arxiv.org/abs/2402.03094</t>
        </is>
      </c>
    </row>
    <row r="8">
      <c r="A8" t="inlineStr">
        <is>
          <t>CD-FSOD</t>
        </is>
      </c>
      <c r="B8" t="inlineStr">
        <is>
          <t>FSCE (CD)</t>
        </is>
      </c>
      <c r="E8" t="inlineStr">
        <is>
          <t>2021</t>
        </is>
      </c>
      <c r="F8" t="inlineStr">
        <is>
          <t>✅ Cross-paper verified</t>
        </is>
      </c>
      <c r="G8" t="n">
        <v>15.9</v>
      </c>
      <c r="H8" t="inlineStr">
        <is>
          <t>ArTaxOr_10shot=15.9 | Avg=12.0</t>
        </is>
      </c>
      <c r="K8" t="inlineStr">
        <is>
          <t>✅ Cross-paper verified — CD-FSOD 10-shot ArTaxOr mAP=15.9 (Avg=12.0) reported in CD-ViTO (arXiv 2402.03094) Table 1; original method FSCE (CD) (2021).</t>
        </is>
      </c>
      <c r="L8" t="inlineStr">
        <is>
          <t>https://arxiv.org/abs/2402.03094</t>
        </is>
      </c>
    </row>
    <row r="9">
      <c r="A9" t="inlineStr">
        <is>
          <t>CD-FSOD</t>
        </is>
      </c>
      <c r="B9" t="inlineStr">
        <is>
          <t>TFA w/cos (CD)</t>
        </is>
      </c>
      <c r="E9" t="inlineStr">
        <is>
          <t>2020</t>
        </is>
      </c>
      <c r="F9" t="inlineStr">
        <is>
          <t>✅ Cross-paper verified</t>
        </is>
      </c>
      <c r="G9" t="n">
        <v>14.8</v>
      </c>
      <c r="H9" t="inlineStr">
        <is>
          <t>ArTaxOr_10shot=14.8 | Avg=11.8</t>
        </is>
      </c>
      <c r="K9" t="inlineStr">
        <is>
          <t>✅ Cross-paper verified — CD-FSOD 10-shot ArTaxOr mAP=14.8 (Avg=11.8) reported in CD-ViTO (arXiv 2402.03094) Table 1; original method TFA w/cos (CD) (2020).</t>
        </is>
      </c>
      <c r="L9" t="inlineStr">
        <is>
          <t>https://arxiv.org/abs/2402.03094</t>
        </is>
      </c>
    </row>
    <row r="10">
      <c r="A10" t="inlineStr">
        <is>
          <t>CD-FSOD</t>
        </is>
      </c>
      <c r="B10" t="inlineStr">
        <is>
          <t>Detic-FT</t>
        </is>
      </c>
      <c r="E10" t="inlineStr">
        <is>
          <t>2022</t>
        </is>
      </c>
      <c r="F10" t="inlineStr">
        <is>
          <t>✅ Cross-paper verified</t>
        </is>
      </c>
      <c r="G10" t="n">
        <v>12</v>
      </c>
      <c r="H10" t="inlineStr">
        <is>
          <t>ArTaxOr_10shot=12.0 | Avg=16.5</t>
        </is>
      </c>
      <c r="K10" t="inlineStr">
        <is>
          <t>✅ Cross-paper verified — CD-FSOD 10-shot ArTaxOr mAP=12.0 (Avg=16.5) reported in CD-ViTO (arXiv 2402.03094) Table 1; original method Detic-FT (2022).</t>
        </is>
      </c>
      <c r="L10" t="inlineStr">
        <is>
          <t>https://arxiv.org/abs/2402.03094</t>
        </is>
      </c>
    </row>
    <row r="11">
      <c r="A11" t="inlineStr">
        <is>
          <t>CD-FSOD</t>
        </is>
      </c>
      <c r="B11" t="inlineStr">
        <is>
          <t>DE-ViT</t>
        </is>
      </c>
      <c r="E11" t="inlineStr">
        <is>
          <t>2023</t>
        </is>
      </c>
      <c r="F11" t="inlineStr">
        <is>
          <t>✅ Cross-paper verified</t>
        </is>
      </c>
      <c r="G11" t="n">
        <v>9.199999999999999</v>
      </c>
      <c r="H11" t="inlineStr">
        <is>
          <t>ArTaxOr_10shot=9.2 | Avg=5.9</t>
        </is>
      </c>
      <c r="K11" t="inlineStr">
        <is>
          <t>✅ Cross-paper verified — CD-FSOD 10-shot ArTaxOr mAP=9.2 (Avg=5.9) reported in CD-ViTO (arXiv 2402.03094) Table 1; original method DE-ViT (2023).</t>
        </is>
      </c>
      <c r="L11" t="inlineStr">
        <is>
          <t>https://arxiv.org/abs/2402.03094</t>
        </is>
      </c>
    </row>
    <row r="12">
      <c r="A12" t="inlineStr">
        <is>
          <t>CD-FSOD</t>
        </is>
      </c>
      <c r="B12" t="inlineStr">
        <is>
          <t>Detic</t>
        </is>
      </c>
      <c r="E12" t="inlineStr">
        <is>
          <t>2022</t>
        </is>
      </c>
      <c r="F12" t="inlineStr">
        <is>
          <t>✅ Cross-paper verified</t>
        </is>
      </c>
      <c r="G12" t="n">
        <v>0.6</v>
      </c>
      <c r="H12" t="inlineStr">
        <is>
          <t>ArTaxOr_10shot=0.6 | Avg=2.2</t>
        </is>
      </c>
      <c r="K12" t="inlineStr">
        <is>
          <t>✅ Cross-paper verified — CD-FSOD 10-shot ArTaxOr mAP=0.6 (Avg=2.2) reported in CD-ViTO (arXiv 2402.03094) Table 1; original method Detic (2022).</t>
        </is>
      </c>
      <c r="L12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  <row r="7">
      <c r="A7" t="inlineStr">
        <is>
          <t>Thermal-Multispectral OD</t>
        </is>
      </c>
      <c r="B7" t="inlineStr">
        <is>
          <t>ICAFusion</t>
        </is>
      </c>
      <c r="E7" t="inlineStr">
        <is>
          <t>2023</t>
        </is>
      </c>
      <c r="F7" t="inlineStr">
        <is>
          <t>✅ Standard verified</t>
        </is>
      </c>
      <c r="G7" t="n">
        <v>79.2</v>
      </c>
      <c r="H7" t="inlineStr">
        <is>
          <t>FLIR_mAP50=79.2 | mAP=41.4</t>
        </is>
      </c>
      <c r="K7" t="inlineStr">
        <is>
          <t>✅ Standard verified — FLIR mAP50=79.2; ICAFusion (arXiv 2308.07504) Table 10.</t>
        </is>
      </c>
      <c r="L7" t="inlineStr">
        <is>
          <t>https://arxiv.org/abs/2308.07504</t>
        </is>
      </c>
    </row>
    <row r="8">
      <c r="A8" t="inlineStr">
        <is>
          <t>Thermal-Multispectral OD</t>
        </is>
      </c>
      <c r="B8" t="inlineStr">
        <is>
          <t>CFT</t>
        </is>
      </c>
      <c r="E8" t="inlineStr">
        <is>
          <t>2021</t>
        </is>
      </c>
      <c r="F8" t="inlineStr">
        <is>
          <t>✅ Cross-paper verified</t>
        </is>
      </c>
      <c r="G8" t="n">
        <v>78.3</v>
      </c>
      <c r="H8" t="inlineStr">
        <is>
          <t>FLIR_mAP50=78.3 | mAP=40.2</t>
        </is>
      </c>
      <c r="K8" t="inlineStr">
        <is>
          <t>✅ Cross-paper verified — FLIR mAP50=78.3 reported in ICAFusion Table 10; original method CFT (2021).</t>
        </is>
      </c>
      <c r="L8" t="inlineStr">
        <is>
          <t>https://arxiv.org/abs/2308.07504</t>
        </is>
      </c>
    </row>
    <row r="9">
      <c r="A9" t="inlineStr">
        <is>
          <t>Thermal-Multispectral OD</t>
        </is>
      </c>
      <c r="B9" t="inlineStr">
        <is>
          <t>BU-LTT</t>
        </is>
      </c>
      <c r="E9" t="inlineStr">
        <is>
          <t>2021</t>
        </is>
      </c>
      <c r="F9" t="inlineStr">
        <is>
          <t>✅ Cross-paper verified</t>
        </is>
      </c>
      <c r="G9" t="n">
        <v>73.2</v>
      </c>
      <c r="H9" t="inlineStr">
        <is>
          <t>FLIR_mAP50=73.2</t>
        </is>
      </c>
      <c r="K9" t="inlineStr">
        <is>
          <t>✅ Cross-paper verified — FLIR mAP50=73.2 reported in ICAFusion Table 10; original method BU-LTT (2021).</t>
        </is>
      </c>
      <c r="L9" t="inlineStr">
        <is>
          <t>https://arxiv.org/abs/2308.07504</t>
        </is>
      </c>
    </row>
    <row r="10">
      <c r="A10" t="inlineStr">
        <is>
          <t>Thermal-Multispectral OD</t>
        </is>
      </c>
      <c r="B10" t="inlineStr">
        <is>
          <t>BU-ATT</t>
        </is>
      </c>
      <c r="E10" t="inlineStr">
        <is>
          <t>2021</t>
        </is>
      </c>
      <c r="F10" t="inlineStr">
        <is>
          <t>✅ Cross-paper verified</t>
        </is>
      </c>
      <c r="G10" t="n">
        <v>73.09999999999999</v>
      </c>
      <c r="H10" t="inlineStr">
        <is>
          <t>FLIR_mAP50=73.1</t>
        </is>
      </c>
      <c r="K10" t="inlineStr">
        <is>
          <t>✅ Cross-paper verified — FLIR mAP50=73.1 reported in ICAFusion Table 10; original method BU-ATT (2021).</t>
        </is>
      </c>
      <c r="L10" t="inlineStr">
        <is>
          <t>https://arxiv.org/abs/2308.07504</t>
        </is>
      </c>
    </row>
    <row r="11">
      <c r="A11" t="inlineStr">
        <is>
          <t>Thermal-Multispectral OD</t>
        </is>
      </c>
      <c r="B11" t="inlineStr">
        <is>
          <t>GAFF</t>
        </is>
      </c>
      <c r="E11" t="inlineStr">
        <is>
          <t>2021</t>
        </is>
      </c>
      <c r="F11" t="inlineStr">
        <is>
          <t>✅ Cross-paper verified</t>
        </is>
      </c>
      <c r="G11" t="n">
        <v>72.90000000000001</v>
      </c>
      <c r="H11" t="inlineStr">
        <is>
          <t>FLIR_mAP50=72.9 | mAP=37.3</t>
        </is>
      </c>
      <c r="K11" t="inlineStr">
        <is>
          <t>✅ Cross-paper verified — FLIR mAP50=72.9 reported in ICAFusion Table 10; original method GAFF (2021).</t>
        </is>
      </c>
      <c r="L11" t="inlineStr">
        <is>
          <t>https://arxiv.org/abs/2308.07504</t>
        </is>
      </c>
    </row>
    <row r="12">
      <c r="A12" t="inlineStr">
        <is>
          <t>Thermal-Multispectral OD</t>
        </is>
      </c>
      <c r="B12" t="inlineStr">
        <is>
          <t>CFR</t>
        </is>
      </c>
      <c r="E12" t="inlineStr">
        <is>
          <t>2020</t>
        </is>
      </c>
      <c r="F12" t="inlineStr">
        <is>
          <t>✅ Cross-paper verified</t>
        </is>
      </c>
      <c r="G12" t="n">
        <v>72.40000000000001</v>
      </c>
      <c r="H12" t="inlineStr">
        <is>
          <t>FLIR_mAP50=72.4</t>
        </is>
      </c>
      <c r="K12" t="inlineStr">
        <is>
          <t>✅ Cross-paper verified — FLIR mAP50=72.4 reported in ICAFusion Table 10; original method CFR (2020).</t>
        </is>
      </c>
      <c r="L12" t="inlineStr">
        <is>
          <t>https://arxiv.org/abs/2308.07504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2026-05-31T15:20:50Z</dcterms:modified>
  <cp:lastModifiedBy>Bill Chuang</cp:lastModifiedBy>
</cp:coreProperties>
</file>