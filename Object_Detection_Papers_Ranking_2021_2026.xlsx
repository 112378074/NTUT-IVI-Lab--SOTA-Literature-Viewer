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name="OD all papers" sheetId="1" state="visible" r:id="rId1"/>
    <sheet name="Index" sheetId="2" state="visible" r:id="rId2"/>
    <sheet name="COCO test-dev" sheetId="3" state="visible" r:id="rId3"/>
    <sheet name="COCO minival" sheetId="4" state="visible" r:id="rId4"/>
    <sheet name="COCO 2017 val" sheetId="5" state="visible" r:id="rId5"/>
    <sheet name="COCO 2017" sheetId="6" state="visible" r:id="rId6"/>
    <sheet name="PASCAL VOC 2007" sheetId="7" state="visible" r:id="rId7"/>
    <sheet name="CrowdHuman" sheetId="8" state="visible" r:id="rId8"/>
    <sheet name="GraZPEDWRI-DX" sheetId="9" state="visible" r:id="rId9"/>
    <sheet name="CPPE-5" sheetId="10" state="visible" r:id="rId10"/>
    <sheet name="Waymo 2D" sheetId="11" state="visible" r:id="rId11"/>
    <sheet name="Argoverse-HD DO Val" sheetId="12" state="visible" r:id="rId12"/>
    <sheet name="DUTS-TE" sheetId="13" state="visible" r:id="rId13"/>
    <sheet name="DUT-OMRON" sheetId="14" state="visible" r:id="rId14"/>
    <sheet name="ECSSD" sheetId="15" state="visible" r:id="rId15"/>
    <sheet name="HKU-IS" sheetId="16" state="visible" r:id="rId16"/>
    <sheet name="PASCAL-S" sheetId="17" state="visible" r:id="rId17"/>
    <sheet name="HRSOD" sheetId="18" state="visible" r:id="rId18"/>
    <sheet name="DAVIS-S" sheetId="19" state="visible" r:id="rId19"/>
    <sheet name="UHRSD" sheetId="20" state="visible" r:id="rId20"/>
    <sheet name="MS-COCO 1-shot" sheetId="21" state="visible" r:id="rId21"/>
    <sheet name="MS-COCO 5-shot" sheetId="22" state="visible" r:id="rId22"/>
    <sheet name="MS-COCO 10-shot" sheetId="23" state="visible" r:id="rId23"/>
    <sheet name="MS-COCO 30-shot" sheetId="24" state="visible" r:id="rId24"/>
    <sheet name="COCO 2017 FSOD" sheetId="25" state="visible" r:id="rId25"/>
    <sheet name="LVIS v1.0 val" sheetId="26" state="visible" r:id="rId26"/>
    <sheet name="ODinW-13" sheetId="27" state="visible" r:id="rId27"/>
    <sheet name="ODinW-35" sheetId="28" state="visible" r:id="rId28"/>
    <sheet name="Open-World OD" sheetId="29" state="visible" r:id="rId29"/>
    <sheet name="3D-BEV OD" sheetId="30" state="visible" r:id="rId30"/>
    <sheet name="Tiny-Object OD" sheetId="31" state="visible" r:id="rId31"/>
    <sheet name="Domain-Robust OD" sheetId="32" state="visible" r:id="rId32"/>
    <sheet name="Incremental OD" sheetId="33" state="visible" r:id="rId33"/>
    <sheet name="Open-Vocabulary OD" sheetId="34" state="visible" r:id="rId34"/>
    <sheet name="Oriented-RS OD" sheetId="35" state="visible" r:id="rId35"/>
    <sheet name="Referring OD" sheetId="36" state="visible" r:id="rId36"/>
    <sheet name="Security-Robustness OD" sheetId="37" state="visible" r:id="rId37"/>
    <sheet name="Co-SOD &amp; Ranking" sheetId="38" state="visible" r:id="rId38"/>
    <sheet name="CD-FSOD" sheetId="39" state="visible" r:id="rId39"/>
    <sheet name="Event-Camera OD" sheetId="40" state="visible" r:id="rId40"/>
    <sheet name="Thermal-Multispectral OD" sheetId="41" state="visible" r:id="rId41"/>
    <sheet name="Camouflaged OD" sheetId="42" state="visible" r:id="rId42"/>
    <sheet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 /><Relationship Type="http://schemas.openxmlformats.org/officeDocument/2006/relationships/hyperlink" Target="https://github.com/roboflow/rf-detr" TargetMode="External" Id="rId2" /><Relationship Type="http://schemas.openxmlformats.org/officeDocument/2006/relationships/hyperlink" Target="https://arxiv.org/abs/2511.09554" TargetMode="External" Id="rId3" /><Relationship Type="http://schemas.openxmlformats.org/officeDocument/2006/relationships/hyperlink" Target="https://github.com/roboflow/rf-detr" TargetMode="External" Id="rId4" /><Relationship Type="http://schemas.openxmlformats.org/officeDocument/2006/relationships/hyperlink" Target="https://docs.ultralytics.com/models/yolo26/" TargetMode="External" Id="rId5" /><Relationship Type="http://schemas.openxmlformats.org/officeDocument/2006/relationships/hyperlink" Target="https://github.com/ultralytics/ultralytics" TargetMode="External" Id="rId6" /><Relationship Type="http://schemas.openxmlformats.org/officeDocument/2006/relationships/hyperlink" Target="https://docs.ultralytics.com/models/yolo26/" TargetMode="External" Id="rId7" /><Relationship Type="http://schemas.openxmlformats.org/officeDocument/2006/relationships/hyperlink" Target="https://github.com/ultralytics/ultralytics" TargetMode="External" Id="rId8" /><Relationship Type="http://schemas.openxmlformats.org/officeDocument/2006/relationships/hyperlink" Target="https://arxiv.org/abs/2510.25257" TargetMode="External" Id="rId9" /><Relationship Type="http://schemas.openxmlformats.org/officeDocument/2006/relationships/hyperlink" Target="https://github.com/RT-DETRs/RT-DETRv4" TargetMode="External" Id="rId10" /><Relationship Type="http://schemas.openxmlformats.org/officeDocument/2006/relationships/hyperlink" Target="https://arxiv.org/abs/2510.21605" TargetMode="External" Id="rId11" /><Relationship Type="http://schemas.openxmlformats.org/officeDocument/2006/relationships/hyperlink" Target="https://github.com/" TargetMode="External" Id="rId12" /><Relationship Type="http://schemas.openxmlformats.org/officeDocument/2006/relationships/hyperlink" Target="https://arxiv.org/abs/2509.20787" TargetMode="External" Id="rId13" /><Relationship Type="http://schemas.openxmlformats.org/officeDocument/2006/relationships/hyperlink" Target="https://github.com/Intellindust-AI-Lab/DEIMv2" TargetMode="External" Id="rId14" /><Relationship Type="http://schemas.openxmlformats.org/officeDocument/2006/relationships/hyperlink" Target="https://github.com/topics/yolo-master" TargetMode="External" Id="rId15" /><Relationship Type="http://schemas.openxmlformats.org/officeDocument/2006/relationships/hyperlink" Target="https://github.com/topics/yolo-master" TargetMode="External" Id="rId16" /><Relationship Type="http://schemas.openxmlformats.org/officeDocument/2006/relationships/hyperlink" Target="https://arxiv.org/abs/2412.04234" TargetMode="External" Id="rId17" /><Relationship Type="http://schemas.openxmlformats.org/officeDocument/2006/relationships/hyperlink" Target="https://github.com/Intellindust-AI-Lab/DEIM" TargetMode="External" Id="rId18" /><Relationship Type="http://schemas.openxmlformats.org/officeDocument/2006/relationships/hyperlink" Target="https://arxiv.org/abs/2506.17733" TargetMode="External" Id="rId19" /><Relationship Type="http://schemas.openxmlformats.org/officeDocument/2006/relationships/hyperlink" Target="https://github.com/iMoonLab/yolov13" TargetMode="External" Id="rId20" /><Relationship Type="http://schemas.openxmlformats.org/officeDocument/2006/relationships/hyperlink" Target="https://arxiv.org/abs/2412.04234" TargetMode="External" Id="rId21" /><Relationship Type="http://schemas.openxmlformats.org/officeDocument/2006/relationships/hyperlink" Target="https://github.com/Intellindust-AI-Lab/DEIM" TargetMode="External" Id="rId22" /><Relationship Type="http://schemas.openxmlformats.org/officeDocument/2006/relationships/hyperlink" Target="https://arxiv.org/abs/2504.10685" TargetMode="External" Id="rId23" /><Relationship Type="http://schemas.openxmlformats.org/officeDocument/2006/relationships/hyperlink" Target="https://github.com/lovelyqian/NTIRE2025_CDFSOD" TargetMode="External" Id="rId24" /><Relationship Type="http://schemas.openxmlformats.org/officeDocument/2006/relationships/hyperlink" Target="https://arxiv.org/abs/2410.13842" TargetMode="External" Id="rId25" /><Relationship Type="http://schemas.openxmlformats.org/officeDocument/2006/relationships/hyperlink" Target="https://github.com/Peterande/D-FINE" TargetMode="External" Id="rId26" /><Relationship Type="http://schemas.openxmlformats.org/officeDocument/2006/relationships/hyperlink" Target="https://arxiv.org/abs/2410.13842" TargetMode="External" Id="rId27" /><Relationship Type="http://schemas.openxmlformats.org/officeDocument/2006/relationships/hyperlink" Target="https://github.com/Peterande/D-FINE" TargetMode="External" Id="rId28" /><Relationship Type="http://schemas.openxmlformats.org/officeDocument/2006/relationships/hyperlink" Target="https://arxiv.org/abs/2502.12524" TargetMode="External" Id="rId29" /><Relationship Type="http://schemas.openxmlformats.org/officeDocument/2006/relationships/hyperlink" Target="https://github.com/sunsmarterjie/yolov12" TargetMode="External" Id="rId30" /><Relationship Type="http://schemas.openxmlformats.org/officeDocument/2006/relationships/hyperlink" Target="https://arxiv.org/abs/2409.08475" TargetMode="External" Id="rId31" /><Relationship Type="http://schemas.openxmlformats.org/officeDocument/2006/relationships/hyperlink" Target="https://github.com/clxia12/RT-DETRv3" TargetMode="External" Id="rId32" /><Relationship Type="http://schemas.openxmlformats.org/officeDocument/2006/relationships/hyperlink" Target="https://github.com/I2-Multimedia-Lab/UGRAN" TargetMode="External" Id="rId33" /><Relationship Type="http://schemas.openxmlformats.org/officeDocument/2006/relationships/hyperlink" Target="https://github.com/I2-Multimedia-Lab/UGRAN" TargetMode="External" Id="rId34" /><Relationship Type="http://schemas.openxmlformats.org/officeDocument/2006/relationships/hyperlink" Target="https://www.sciencedirect.com/science/article/abs/pii/S1566253525007900" TargetMode="External" Id="rId35" /><Relationship Type="http://schemas.openxmlformats.org/officeDocument/2006/relationships/hyperlink" Target="https://github.com/" TargetMode="External" Id="rId36" /><Relationship Type="http://schemas.openxmlformats.org/officeDocument/2006/relationships/hyperlink" Target="https://arxiv.org/abs/2405.14458" TargetMode="External" Id="rId37" /><Relationship Type="http://schemas.openxmlformats.org/officeDocument/2006/relationships/hyperlink" Target="https://github.com/THU-MIG/yolov10" TargetMode="External" Id="rId38" /><Relationship Type="http://schemas.openxmlformats.org/officeDocument/2006/relationships/hyperlink" Target="https://arxiv.org/abs/2411.14347" TargetMode="External" Id="rId39" /><Relationship Type="http://schemas.openxmlformats.org/officeDocument/2006/relationships/hyperlink" Target="https://github.com/IDEA-Research/DINO-X-API" TargetMode="External" Id="rId40" /><Relationship Type="http://schemas.openxmlformats.org/officeDocument/2006/relationships/hyperlink" Target="https://arxiv.org/abs/2303.05499" TargetMode="External" Id="rId41" /><Relationship Type="http://schemas.openxmlformats.org/officeDocument/2006/relationships/hyperlink" Target="https://github.com/IDEA-Research/GroundingDINO" TargetMode="External" Id="rId42" /><Relationship Type="http://schemas.openxmlformats.org/officeDocument/2006/relationships/hyperlink" Target="https://arxiv.org/abs/2402.03094" TargetMode="External" Id="rId43" /><Relationship Type="http://schemas.openxmlformats.org/officeDocument/2006/relationships/hyperlink" Target="https://github.com/lovelyqian/CDFSOD-benchmark" TargetMode="External" Id="rId44" /><Relationship Type="http://schemas.openxmlformats.org/officeDocument/2006/relationships/hyperlink" Target="https://arxiv.org/abs/2407.11699" TargetMode="External" Id="rId45" /><Relationship Type="http://schemas.openxmlformats.org/officeDocument/2006/relationships/hyperlink" Target="https://github.com/xiuqhou/Relation-DETR" TargetMode="External" Id="rId46" /><Relationship Type="http://schemas.openxmlformats.org/officeDocument/2006/relationships/hyperlink" Target="https://arxiv.org/abs/2402.13616" TargetMode="External" Id="rId47" /><Relationship Type="http://schemas.openxmlformats.org/officeDocument/2006/relationships/hyperlink" Target="https://github.com/WongKinYiu/yolov9" TargetMode="External" Id="rId48" /><Relationship Type="http://schemas.openxmlformats.org/officeDocument/2006/relationships/hyperlink" Target="https://docs.ultralytics.com/models/yolo11/" TargetMode="External" Id="rId49" /><Relationship Type="http://schemas.openxmlformats.org/officeDocument/2006/relationships/hyperlink" Target="https://github.com/ultralytics/ultralytics" TargetMode="External" Id="rId50" /><Relationship Type="http://schemas.openxmlformats.org/officeDocument/2006/relationships/hyperlink" Target="https://arxiv.org/abs/2407.17140" TargetMode="External" Id="rId51" /><Relationship Type="http://schemas.openxmlformats.org/officeDocument/2006/relationships/hyperlink" Target="https://github.com/lyuwenyu/RT-DETR" TargetMode="External" Id="rId52" /><Relationship Type="http://schemas.openxmlformats.org/officeDocument/2006/relationships/hyperlink" Target="https://arxiv.org/abs/2304.08069" TargetMode="External" Id="rId53" /><Relationship Type="http://schemas.openxmlformats.org/officeDocument/2006/relationships/hyperlink" Target="https://github.com/lyuwenyu/RT-DETR" TargetMode="External" Id="rId54" /><Relationship Type="http://schemas.openxmlformats.org/officeDocument/2006/relationships/hyperlink" Target="https://arxiv.org/abs/2404.07445" TargetMode="External" Id="rId55" /><Relationship Type="http://schemas.openxmlformats.org/officeDocument/2006/relationships/hyperlink" Target="https://github.com/qianyu-dlut/MVANet" TargetMode="External" Id="rId56" /><Relationship Type="http://schemas.openxmlformats.org/officeDocument/2006/relationships/hyperlink" Target="https://arxiv.org/abs/2311.15011" TargetMode="External" Id="rId57" /><Relationship Type="http://schemas.openxmlformats.org/officeDocument/2006/relationships/hyperlink" Target="https://github.com/Sssssuperior/VSCode" TargetMode="External" Id="rId58" /><Relationship Type="http://schemas.openxmlformats.org/officeDocument/2006/relationships/hyperlink" Target="https://arxiv.org/abs/2402.10433" TargetMode="External" Id="rId59" /><Relationship Type="http://schemas.openxmlformats.org/officeDocument/2006/relationships/hyperlink" Target="https://github.com/han-tianyu/FM-FSOD" TargetMode="External" Id="rId60" /><Relationship Type="http://schemas.openxmlformats.org/officeDocument/2006/relationships/hyperlink" Target="https://arxiv.org/abs/2405.10300" TargetMode="External" Id="rId61" /><Relationship Type="http://schemas.openxmlformats.org/officeDocument/2006/relationships/hyperlink" Target="https://github.com/IDEA-Research/Grounding-DINO-1.5-API" TargetMode="External" Id="rId62" /><Relationship Type="http://schemas.openxmlformats.org/officeDocument/2006/relationships/hyperlink" Target="https://arxiv.org/abs/2405.10300" TargetMode="External" Id="rId63" /><Relationship Type="http://schemas.openxmlformats.org/officeDocument/2006/relationships/hyperlink" Target="https://github.com/IDEA-Research/Grounding-DINO-1.5-API" TargetMode="External" Id="rId64" /><Relationship Type="http://schemas.openxmlformats.org/officeDocument/2006/relationships/hyperlink" Target="https://arxiv.org/abs/2401.03407" TargetMode="External" Id="rId65" /><Relationship Type="http://schemas.openxmlformats.org/officeDocument/2006/relationships/hyperlink" Target="https://github.com/ZhengPeng7/BiRefNet" TargetMode="External" Id="rId66" /><Relationship Type="http://schemas.openxmlformats.org/officeDocument/2006/relationships/hyperlink" Target="https://arxiv.org/abs/2404.00700" TargetMode="External" Id="rId67" /><Relationship Type="http://schemas.openxmlformats.org/officeDocument/2006/relationships/hyperlink" Target="https://github.com/" TargetMode="External" Id="rId68" /><Relationship Type="http://schemas.openxmlformats.org/officeDocument/2006/relationships/hyperlink" Target="https://arxiv.org/abs/2211.12860" TargetMode="External" Id="rId69" /><Relationship Type="http://schemas.openxmlformats.org/officeDocument/2006/relationships/hyperlink" Target="https://github.com/Sense-X/Co-DETR" TargetMode="External" Id="rId70" /><Relationship Type="http://schemas.openxmlformats.org/officeDocument/2006/relationships/hyperlink" Target="https://arxiv.org/abs/2303.11331" TargetMode="External" Id="rId71" /><Relationship Type="http://schemas.openxmlformats.org/officeDocument/2006/relationships/hyperlink" Target="https://github.com/baaivision/EVA" TargetMode="External" Id="rId72" /><Relationship Type="http://schemas.openxmlformats.org/officeDocument/2006/relationships/hyperlink" Target="https://arxiv.org/abs/2309.08365" TargetMode="External" Id="rId73" /><Relationship Type="http://schemas.openxmlformats.org/officeDocument/2006/relationships/hyperlink" Target="https://github.com/I2-Multimedia-Lab/M3Net" TargetMode="External" Id="rId74" /><Relationship Type="http://schemas.openxmlformats.org/officeDocument/2006/relationships/hyperlink" Target="https://arxiv.org/abs/2211.05778" TargetMode="External" Id="rId75" /><Relationship Type="http://schemas.openxmlformats.org/officeDocument/2006/relationships/hyperlink" Target="https://github.com/OpenGVLab/InternImage" TargetMode="External" Id="rId76" /><Relationship Type="http://schemas.openxmlformats.org/officeDocument/2006/relationships/hyperlink" Target="https://arxiv.org/abs/2207.02696" TargetMode="External" Id="rId77" /><Relationship Type="http://schemas.openxmlformats.org/officeDocument/2006/relationships/hyperlink" Target="https://github.com/WongKinYiu/yolov7" TargetMode="External" Id="rId78" /><Relationship Type="http://schemas.openxmlformats.org/officeDocument/2006/relationships/hyperlink" Target="https://arxiv.org/abs/2303.11749" TargetMode="External" Id="rId79" /><Relationship Type="http://schemas.openxmlformats.org/officeDocument/2006/relationships/hyperlink" Target="https://github.com/zhenyuw16/UniDetector" TargetMode="External" Id="rId80" /><Relationship Type="http://schemas.openxmlformats.org/officeDocument/2006/relationships/hyperlink" Target="https://github.com/Deci-AI/super-gradients" TargetMode="External" Id="rId81" /><Relationship Type="http://schemas.openxmlformats.org/officeDocument/2006/relationships/hyperlink" Target="https://github.com/Deci-AI/super-gradients" TargetMode="External" Id="rId82" /><Relationship Type="http://schemas.openxmlformats.org/officeDocument/2006/relationships/hyperlink" Target="https://arxiv.org/abs/2203.03605" TargetMode="External" Id="rId83" /><Relationship Type="http://schemas.openxmlformats.org/officeDocument/2006/relationships/hyperlink" Target="https://github.com/IDEA-Research/DINO" TargetMode="External" Id="rId84" /><Relationship Type="http://schemas.openxmlformats.org/officeDocument/2006/relationships/hyperlink" Target="https://arxiv.org/abs/2111.13409" TargetMode="External" Id="rId85" /><Relationship Type="http://schemas.openxmlformats.org/officeDocument/2006/relationships/hyperlink" Target="https://github.com/mczhuge/ICON" TargetMode="External" Id="rId86" /><Relationship Type="http://schemas.openxmlformats.org/officeDocument/2006/relationships/hyperlink" Target="https://docs.ultralytics.com/models/yolov8/" TargetMode="External" Id="rId87" /><Relationship Type="http://schemas.openxmlformats.org/officeDocument/2006/relationships/hyperlink" Target="https://github.com/ultralytics/ultralytics" TargetMode="External" Id="rId88" /><Relationship Type="http://schemas.openxmlformats.org/officeDocument/2006/relationships/hyperlink" Target="https://arxiv.org/abs/2212.07784" TargetMode="External" Id="rId89" /><Relationship Type="http://schemas.openxmlformats.org/officeDocument/2006/relationships/hyperlink" Target="https://github.com/open-mmlab/mmdetection" TargetMode="External" Id="rId90" /><Relationship Type="http://schemas.openxmlformats.org/officeDocument/2006/relationships/hyperlink" Target="https://arxiv.org/abs/2211.15444" TargetMode="External" Id="rId91" /><Relationship Type="http://schemas.openxmlformats.org/officeDocument/2006/relationships/hyperlink" Target="https://github.com/tinyvision/damo-yolo" TargetMode="External" Id="rId92" /><Relationship Type="http://schemas.openxmlformats.org/officeDocument/2006/relationships/hyperlink" Target="https://arxiv.org/abs/2209.09475" TargetMode="External" Id="rId93" /><Relationship Type="http://schemas.openxmlformats.org/officeDocument/2006/relationships/hyperlink" Target="https://github.com/plemeri/InSPyReNet" TargetMode="External" Id="rId94" /><Relationship Type="http://schemas.openxmlformats.org/officeDocument/2006/relationships/hyperlink" Target="https://arxiv.org/abs/2203.16527" TargetMode="External" Id="rId95" /><Relationship Type="http://schemas.openxmlformats.org/officeDocument/2006/relationships/hyperlink" Target="https://github.com/facebookresearch/detectron2" TargetMode="External" Id="rId96" /><Relationship Type="http://schemas.openxmlformats.org/officeDocument/2006/relationships/hyperlink" Target="https://arxiv.org/abs/2204.01697" TargetMode="External" Id="rId97" /><Relationship Type="http://schemas.openxmlformats.org/officeDocument/2006/relationships/hyperlink" Target="https://github.com/google-research/maxvit" TargetMode="External" Id="rId98" /><Relationship Type="http://schemas.openxmlformats.org/officeDocument/2006/relationships/hyperlink" Target="https://arxiv.org/abs/2209.02976" TargetMode="External" Id="rId99" /><Relationship Type="http://schemas.openxmlformats.org/officeDocument/2006/relationships/hyperlink" Target="https://github.com/meituan/YOLOv6" TargetMode="External" Id="rId100" /><Relationship Type="http://schemas.openxmlformats.org/officeDocument/2006/relationships/hyperlink" Target="https://arxiv.org/abs/2012.13093" TargetMode="External" Id="rId101" /><Relationship Type="http://schemas.openxmlformats.org/officeDocument/2006/relationships/hyperlink" Target="https://github.com/yuhuan-wu/EDN" TargetMode="External" Id="rId102" /><Relationship Type="http://schemas.openxmlformats.org/officeDocument/2006/relationships/hyperlink" Target="https://arxiv.org/abs/2208.00219" TargetMode="External" Id="rId103" /><Relationship Type="http://schemas.openxmlformats.org/officeDocument/2006/relationships/hyperlink" Target="https://github.com/ZhangGongjie/Meta-DETR" TargetMode="External" Id="rId104" /><Relationship Type="http://schemas.openxmlformats.org/officeDocument/2006/relationships/hyperlink" Target="https://arxiv.org/abs/2203.16250" TargetMode="External" Id="rId105" /><Relationship Type="http://schemas.openxmlformats.org/officeDocument/2006/relationships/hyperlink" Target="https://github.com/PaddlePaddle/PaddleDetection" TargetMode="External" Id="rId106" /><Relationship Type="http://schemas.openxmlformats.org/officeDocument/2006/relationships/hyperlink" Target="https://arxiv.org/abs/2106.04550" TargetMode="External" Id="rId107" /><Relationship Type="http://schemas.openxmlformats.org/officeDocument/2006/relationships/hyperlink" Target="https://github.com/amirbar/DETReg" TargetMode="External" Id="rId108" /><Relationship Type="http://schemas.openxmlformats.org/officeDocument/2006/relationships/hyperlink" Target="https://arxiv.org/abs/2201.03545" TargetMode="External" Id="rId109" /><Relationship Type="http://schemas.openxmlformats.org/officeDocument/2006/relationships/hyperlink" Target="https://github.com/facebookresearch/ConvNeXt" TargetMode="External" Id="rId110" /><Relationship Type="http://schemas.openxmlformats.org/officeDocument/2006/relationships/hyperlink" Target="https://arxiv.org/abs/2203.01305" TargetMode="External" Id="rId111" /><Relationship Type="http://schemas.openxmlformats.org/officeDocument/2006/relationships/hyperlink" Target="https://github.com/IDEA-Research/DN-DETR" TargetMode="External" Id="rId112" /><Relationship Type="http://schemas.openxmlformats.org/officeDocument/2006/relationships/hyperlink" Target="https://arxiv.org/abs/2201.12329" TargetMode="External" Id="rId113" /><Relationship Type="http://schemas.openxmlformats.org/officeDocument/2006/relationships/hyperlink" Target="https://github.com/IDEA-Research/DAB-DETR" TargetMode="External" Id="rId114" /><Relationship Type="http://schemas.openxmlformats.org/officeDocument/2006/relationships/hyperlink" Target="https://github.com/RangiLyu/nanodet" TargetMode="External" Id="rId115" /><Relationship Type="http://schemas.openxmlformats.org/officeDocument/2006/relationships/hyperlink" Target="https://github.com/RangiLyu/nanodet" TargetMode="External" Id="rId116" /><Relationship Type="http://schemas.openxmlformats.org/officeDocument/2006/relationships/hyperlink" Target="https://arxiv.org/abs/2104.12099" TargetMode="External" Id="rId117" /><Relationship Type="http://schemas.openxmlformats.org/officeDocument/2006/relationships/hyperlink" Target="https://github.com/nnizhang/VST" TargetMode="External" Id="rId118" /><Relationship Type="http://schemas.openxmlformats.org/officeDocument/2006/relationships/hyperlink" Target="https://arxiv.org/abs/2108.09017" TargetMode="External" Id="rId119" /><Relationship Type="http://schemas.openxmlformats.org/officeDocument/2006/relationships/hyperlink" Target="https://github.com/er-muyue/DeFRCN" TargetMode="External" Id="rId120" /><Relationship Type="http://schemas.openxmlformats.org/officeDocument/2006/relationships/hyperlink" Target="https://arxiv.org/abs/2103.14030" TargetMode="External" Id="rId121" /><Relationship Type="http://schemas.openxmlformats.org/officeDocument/2006/relationships/hyperlink" Target="https://github.com/microsoft/Swin-Transformer" TargetMode="External" Id="rId122" /><Relationship Type="http://schemas.openxmlformats.org/officeDocument/2006/relationships/hyperlink" Target="https://arxiv.org/abs/2107.08430" TargetMode="External" Id="rId123" /><Relationship Type="http://schemas.openxmlformats.org/officeDocument/2006/relationships/hyperlink" Target="https://github.com/Megvii-BaseDetection/YOLOX" TargetMode="External" Id="rId124" /><Relationship Type="http://schemas.openxmlformats.org/officeDocument/2006/relationships/hyperlink" Target="https://arxiv.org/abs/2103.05950" TargetMode="External" Id="rId125" /><Relationship Type="http://schemas.openxmlformats.org/officeDocument/2006/relationships/hyperlink" Target="https://github.com/megvii-research/FSCE" TargetMode="External" Id="rId126" /><Relationship Type="http://schemas.openxmlformats.org/officeDocument/2006/relationships/hyperlink" Target="https://arxiv.org/abs/2010.04159" TargetMode="External" Id="rId127" /><Relationship Type="http://schemas.openxmlformats.org/officeDocument/2006/relationships/hyperlink" Target="https://github.com/fundamentalvision/Deformable-DETR" TargetMode="External" Id="rId128" /><Relationship Type="http://schemas.openxmlformats.org/officeDocument/2006/relationships/hyperlink" Target="https://arxiv.org/abs/1904.09569" TargetMode="External" Id="rId129" /><Relationship Type="http://schemas.openxmlformats.org/officeDocument/2006/relationships/hyperlink" Target="https://github.com/backseason/PoolNet" TargetMode="External" Id="rId130" /><Relationship Type="http://schemas.openxmlformats.org/officeDocument/2006/relationships/hyperlink" Target="https://arxiv.org/abs/2011.12450" TargetMode="External" Id="rId131" /><Relationship Type="http://schemas.openxmlformats.org/officeDocument/2006/relationships/hyperlink" Target="https://github.com/PeizeSun/SparseR-CNN" TargetMode="External" Id="rId132" /><Relationship Type="http://schemas.openxmlformats.org/officeDocument/2006/relationships/hyperlink" Target="https://arxiv.org/abs/2005.12872" TargetMode="External" Id="rId133" /><Relationship Type="http://schemas.openxmlformats.org/officeDocument/2006/relationships/hyperlink" Target="https://github.com/facebookresearch/detr" TargetMode="External" Id="rId134" /><Relationship Type="http://schemas.openxmlformats.org/officeDocument/2006/relationships/hyperlink" Target="https://arxiv.org/abs/2007.09384" TargetMode="External" Id="rId135" /><Relationship Type="http://schemas.openxmlformats.org/officeDocument/2006/relationships/hyperlink" Target="https://github.com/jiaxi-wu/MPSR" TargetMode="External" Id="rId136" /><Relationship Type="http://schemas.openxmlformats.org/officeDocument/2006/relationships/hyperlink" Target="https://arxiv.org/abs/2003.06957" TargetMode="External" Id="rId137" /><Relationship Type="http://schemas.openxmlformats.org/officeDocument/2006/relationships/hyperlink" Target="https://github.com/ucbdrive/few-shot-object-detection" TargetMode="External" Id="rId138" /><Relationship Type="http://schemas.openxmlformats.org/officeDocument/2006/relationships/hyperlink" Target="https://arxiv.org/abs/1911.09070" TargetMode="External" Id="rId139" /><Relationship Type="http://schemas.openxmlformats.org/officeDocument/2006/relationships/hyperlink" Target="https://github.com/google/automl/tree/master/efficientdet" TargetMode="External" Id="rId140" /><Relationship Type="http://schemas.openxmlformats.org/officeDocument/2006/relationships/hyperlink" Target="https://github.com/ultralytics/yolov5" TargetMode="External" Id="rId141" /><Relationship Type="http://schemas.openxmlformats.org/officeDocument/2006/relationships/hyperlink" Target="https://github.com/ultralytics/yolov5" TargetMode="External" Id="rId142" /><Relationship Type="http://schemas.openxmlformats.org/officeDocument/2006/relationships/hyperlink" Target="https://arxiv.org/abs/2007.09062" TargetMode="External" Id="rId143" /><Relationship Type="http://schemas.openxmlformats.org/officeDocument/2006/relationships/hyperlink" Target="https://github.com/lartpang/MINet" TargetMode="External" Id="rId144" /><Relationship Type="http://schemas.openxmlformats.org/officeDocument/2006/relationships/hyperlink" Target="https://arxiv.org/abs/2005.09007" TargetMode="External" Id="rId145" /><Relationship Type="http://schemas.openxmlformats.org/officeDocument/2006/relationships/hyperlink" Target="https://github.com/xuebinqin/U-2-Net" TargetMode="External" Id="rId146" /><Relationship Type="http://schemas.openxmlformats.org/officeDocument/2006/relationships/hyperlink" Target="https://arxiv.org/abs/1909.13032" TargetMode="External" Id="rId147" /><Relationship Type="http://schemas.openxmlformats.org/officeDocument/2006/relationships/hyperlink" Target="https://github.com/yanxp/MetaR-CNN" TargetMode="External" Id="rId148" /><Relationship Type="http://schemas.openxmlformats.org/officeDocument/2006/relationships/hyperlink" Target="https://arxiv.org/abs/1812.01866" TargetMode="External" Id="rId149" /><Relationship Type="http://schemas.openxmlformats.org/officeDocument/2006/relationships/hyperlink" Target="https://github.com/bingykang/Fewshot_Detection" TargetMode="External" Id="rId150" /><Relationship Type="http://schemas.openxmlformats.org/officeDocument/2006/relationships/hyperlink" Target="https://arxiv.org/abs/1904.07857" TargetMode="External" Id="rId151" /><Relationship Type="http://schemas.openxmlformats.org/officeDocument/2006/relationships/hyperlink" Target="https://github.com/xuebinqin/BASNet" TargetMode="External" Id="rId152" /><Relationship Type="http://schemas.openxmlformats.org/officeDocument/2006/relationships/hyperlink" Target="https://arxiv.org/abs/1904.08739" TargetMode="External" Id="rId153" /><Relationship Type="http://schemas.openxmlformats.org/officeDocument/2006/relationships/hyperlink" Target="https://github.com/wuzhe71/CPD" TargetMode="External" Id="rId154" /><Relationship Type="http://schemas.openxmlformats.org/officeDocument/2006/relationships/hyperlink" Target="https://arxiv.org/abs/1904.07850" TargetMode="External" Id="rId155" /><Relationship Type="http://schemas.openxmlformats.org/officeDocument/2006/relationships/hyperlink" Target="https://github.com/xingyizhou/CenterNet" TargetMode="External" Id="rId156" /><Relationship Type="http://schemas.openxmlformats.org/officeDocument/2006/relationships/hyperlink" Target="https://arxiv.org/abs/1904.01355" TargetMode="External" Id="rId157" /><Relationship Type="http://schemas.openxmlformats.org/officeDocument/2006/relationships/hyperlink" Target="https://github.com/tianzhi0549/FCOS" TargetMode="External" Id="rId158" /><Relationship Type="http://schemas.openxmlformats.org/officeDocument/2006/relationships/hyperlink" Target="https://arxiv.org/abs/1712.00726" TargetMode="External" Id="rId159" /><Relationship Type="http://schemas.openxmlformats.org/officeDocument/2006/relationships/hyperlink" Target="https://github.com/zhaoweicai/cascade-rcnn" TargetMode="External" Id="rId160" /><Relationship Type="http://schemas.openxmlformats.org/officeDocument/2006/relationships/hyperlink" Target="https://arxiv.org/abs/1708.02002" TargetMode="External" Id="rId161" /><Relationship Type="http://schemas.openxmlformats.org/officeDocument/2006/relationships/hyperlink" Target="https://github.com/facebookresearch/Detectron" TargetMode="External" Id="rId162" /><Relationship Type="http://schemas.openxmlformats.org/officeDocument/2006/relationships/hyperlink" Target="https://arxiv.org/abs/1703.06870" TargetMode="External" Id="rId163" /><Relationship Type="http://schemas.openxmlformats.org/officeDocument/2006/relationships/hyperlink" Target="https://github.com/facebookresearch/maskrcnn-benchmark" TargetMode="External" Id="rId164" /><Relationship Type="http://schemas.openxmlformats.org/officeDocument/2006/relationships/hyperlink" Target="https://arxiv.org/abs/1506.01497" TargetMode="External" Id="rId165" /><Relationship Type="http://schemas.openxmlformats.org/officeDocument/2006/relationships/hyperlink" Target="https://github.com/rbgirshick/py-faster-rcnn" TargetMode="External" Id="rId166" 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 /><Relationship Type="http://schemas.openxmlformats.org/officeDocument/2006/relationships/hyperlink" Target="https://github.com/Sense-X/Co-DETR" TargetMode="External" Id="rId2" /><Relationship Type="http://schemas.openxmlformats.org/officeDocument/2006/relationships/hyperlink" Target="https://arxiv.org/abs/2211.05778" TargetMode="External" Id="rId3" /><Relationship Type="http://schemas.openxmlformats.org/officeDocument/2006/relationships/hyperlink" Target="https://github.com/OpenGVLab/InternImage" TargetMode="External" Id="rId4" /><Relationship Type="http://schemas.openxmlformats.org/officeDocument/2006/relationships/hyperlink" Target="https://arxiv.org/abs/2303.11331" TargetMode="External" Id="rId5" /><Relationship Type="http://schemas.openxmlformats.org/officeDocument/2006/relationships/hyperlink" Target="https://github.com/baaivision/EVA" TargetMode="External" Id="rId6" /><Relationship Type="http://schemas.openxmlformats.org/officeDocument/2006/relationships/hyperlink" Target="https://arxiv.org/abs/2211.05778" TargetMode="External" Id="rId7" /><Relationship Type="http://schemas.openxmlformats.org/officeDocument/2006/relationships/hyperlink" Target="https://github.com/xiuqhou/Relation-DETR" TargetMode="External" Id="rId8" /><Relationship Type="http://schemas.openxmlformats.org/officeDocument/2006/relationships/hyperlink" Target="https://arxiv.org/abs/2211.05778" TargetMode="External" Id="rId9" /><Relationship Type="http://schemas.openxmlformats.org/officeDocument/2006/relationships/hyperlink" Target="https://github.com/IDEA-Research/DINO" TargetMode="External" Id="rId10" /><Relationship Type="http://schemas.openxmlformats.org/officeDocument/2006/relationships/hyperlink" Target="https://arxiv.org/abs/2211.05778" TargetMode="External" Id="rId11" /><Relationship Type="http://schemas.openxmlformats.org/officeDocument/2006/relationships/hyperlink" Target="https://github.com/facebookresearch/detectron2" TargetMode="External" Id="rId12" /><Relationship Type="http://schemas.openxmlformats.org/officeDocument/2006/relationships/hyperlink" Target="https://arxiv.org/abs/2211.05778" TargetMode="External" Id="rId13" /><Relationship Type="http://schemas.openxmlformats.org/officeDocument/2006/relationships/hyperlink" Target="https://github.com/microsoft/Swin-Transformer" TargetMode="External" Id="rId14" /><Relationship Type="http://schemas.openxmlformats.org/officeDocument/2006/relationships/hyperlink" Target="https://arxiv.org/abs/2407.11699" TargetMode="External" Id="rId15" /><Relationship Type="http://schemas.openxmlformats.org/officeDocument/2006/relationships/hyperlink" Target="https://github.com/microsoft/FocalNet" TargetMode="External" Id="rId16" /><Relationship Type="http://schemas.openxmlformats.org/officeDocument/2006/relationships/hyperlink" Target="https://arxiv.org/abs/2203.03605" TargetMode="External" Id="rId17" /><Relationship Type="http://schemas.openxmlformats.org/officeDocument/2006/relationships/hyperlink" Target="https://github.com/facebookresearch/ConvNeXt" TargetMode="External" Id="rId18" /><Relationship Type="http://schemas.openxmlformats.org/officeDocument/2006/relationships/hyperlink" Target="https://arxiv.org/abs/2211.05778" TargetMode="External" Id="rId19" /><Relationship Type="http://schemas.openxmlformats.org/officeDocument/2006/relationships/hyperlink" Target="https://github.com/google-research/maxvit" TargetMode="External" Id="rId20" /><Relationship Type="http://schemas.openxmlformats.org/officeDocument/2006/relationships/hyperlink" Target="https://arxiv.org/abs/2211.05778" TargetMode="External" Id="rId21" /><Relationship Type="http://schemas.openxmlformats.org/officeDocument/2006/relationships/hyperlink" Target="https://github.com/fundamentalvision/Deformable-DETR" TargetMode="External" Id="rId22" /><Relationship Type="http://schemas.openxmlformats.org/officeDocument/2006/relationships/hyperlink" Target="https://arxiv.org/abs/2211.05778" TargetMode="External" Id="rId23" /><Relationship Type="http://schemas.openxmlformats.org/officeDocument/2006/relationships/hyperlink" Target="https://github.com/facebookresearch/detr" TargetMode="External" Id="rId24" /><Relationship Type="http://schemas.openxmlformats.org/officeDocument/2006/relationships/hyperlink" Target="https://arxiv.org/abs/2203.16527" TargetMode="External" Id="rId25" /><Relationship Type="http://schemas.openxmlformats.org/officeDocument/2006/relationships/hyperlink" Target="https://arxiv.org/abs/2211.05778" TargetMode="External" Id="rId26" /><Relationship Type="http://schemas.openxmlformats.org/officeDocument/2006/relationships/hyperlink" Target="https://arxiv.org/abs/2103.14030" TargetMode="External" Id="rId27" /><Relationship Type="http://schemas.openxmlformats.org/officeDocument/2006/relationships/hyperlink" Target="https://arxiv.org/abs/2201.03545" TargetMode="External" Id="rId28" /><Relationship Type="http://schemas.openxmlformats.org/officeDocument/2006/relationships/hyperlink" Target="https://arxiv.org/abs/2204.01697" TargetMode="External" Id="rId29" /><Relationship Type="http://schemas.openxmlformats.org/officeDocument/2006/relationships/hyperlink" Target="https://arxiv.org/abs/2010.04159" TargetMode="External" Id="rId30" /><Relationship Type="http://schemas.openxmlformats.org/officeDocument/2006/relationships/hyperlink" Target="https://arxiv.org/abs/2005.12872" TargetMode="External" Id="rId31" 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 /><Relationship Type="http://schemas.openxmlformats.org/officeDocument/2006/relationships/hyperlink" Target="https://github.com/Sense-X/Co-DETR" TargetMode="External" Id="rId2" /><Relationship Type="http://schemas.openxmlformats.org/officeDocument/2006/relationships/hyperlink" Target="https://arxiv.org/abs/2211.05778" TargetMode="External" Id="rId3" /><Relationship Type="http://schemas.openxmlformats.org/officeDocument/2006/relationships/hyperlink" Target="https://github.com/OpenGVLab/InternImage" TargetMode="External" Id="rId4" /><Relationship Type="http://schemas.openxmlformats.org/officeDocument/2006/relationships/hyperlink" Target="https://arxiv.org/abs/2303.11331" TargetMode="External" Id="rId5" /><Relationship Type="http://schemas.openxmlformats.org/officeDocument/2006/relationships/hyperlink" Target="https://github.com/baaivision/EVA" TargetMode="External" Id="rId6" /><Relationship Type="http://schemas.openxmlformats.org/officeDocument/2006/relationships/hyperlink" Target="https://arxiv.org/abs/2407.11699" TargetMode="External" Id="rId7" /><Relationship Type="http://schemas.openxmlformats.org/officeDocument/2006/relationships/hyperlink" Target="https://github.com/xiuqhou/Relation-DETR" TargetMode="External" Id="rId8" /><Relationship Type="http://schemas.openxmlformats.org/officeDocument/2006/relationships/hyperlink" Target="https://arxiv.org/abs/2203.03605" TargetMode="External" Id="rId9" /><Relationship Type="http://schemas.openxmlformats.org/officeDocument/2006/relationships/hyperlink" Target="https://github.com/IDEA-Research/DINO" TargetMode="External" Id="rId10" /><Relationship Type="http://schemas.openxmlformats.org/officeDocument/2006/relationships/hyperlink" Target="https://arxiv.org/abs/2207.13080" TargetMode="External" Id="rId11" /><Relationship Type="http://schemas.openxmlformats.org/officeDocument/2006/relationships/hyperlink" Target="https://github.com/HDETR/H-Deformable-DETR" TargetMode="External" Id="rId12" /><Relationship Type="http://schemas.openxmlformats.org/officeDocument/2006/relationships/hyperlink" Target="https://arxiv.org/abs/2510.25257" TargetMode="External" Id="rId13" /><Relationship Type="http://schemas.openxmlformats.org/officeDocument/2006/relationships/hyperlink" Target="https://github.com/RT-DETRs/RT-DETRv4" TargetMode="External" Id="rId14" /><Relationship Type="http://schemas.openxmlformats.org/officeDocument/2006/relationships/hyperlink" Target="https://arxiv.org/abs/2412.04234" TargetMode="External" Id="rId15" /><Relationship Type="http://schemas.openxmlformats.org/officeDocument/2006/relationships/hyperlink" Target="https://github.com/Intellindust-AI-Lab/DEIM" TargetMode="External" Id="rId16" /><Relationship Type="http://schemas.openxmlformats.org/officeDocument/2006/relationships/hyperlink" Target="https://arxiv.org/abs/2203.01305" TargetMode="External" Id="rId17" /><Relationship Type="http://schemas.openxmlformats.org/officeDocument/2006/relationships/hyperlink" Target="https://github.com/IDEA-Research/DN-DETR" TargetMode="External" Id="rId18" /><Relationship Type="http://schemas.openxmlformats.org/officeDocument/2006/relationships/hyperlink" Target="https://arxiv.org/abs/2201.12329" TargetMode="External" Id="rId19" /><Relationship Type="http://schemas.openxmlformats.org/officeDocument/2006/relationships/hyperlink" Target="https://github.com/IDEA-Research/DAB-DETR" TargetMode="External" Id="rId20" /><Relationship Type="http://schemas.openxmlformats.org/officeDocument/2006/relationships/hyperlink" Target="https://arxiv.org/abs/2005.12872" TargetMode="External" Id="rId21" /><Relationship Type="http://schemas.openxmlformats.org/officeDocument/2006/relationships/hyperlink" Target="https://github.com/facebookresearch/detr" TargetMode="External" Id="rId22" 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 /><Relationship Type="http://schemas.openxmlformats.org/officeDocument/2006/relationships/hyperlink" Target="https://github.com/Sense-X/Co-DETR" TargetMode="External" Id="rId2" /><Relationship Type="http://schemas.openxmlformats.org/officeDocument/2006/relationships/hyperlink" Target="https://arxiv.org/abs/2211.05778" TargetMode="External" Id="rId3" /><Relationship Type="http://schemas.openxmlformats.org/officeDocument/2006/relationships/hyperlink" Target="https://github.com/OpenGVLab/InternImage" TargetMode="External" Id="rId4" /><Relationship Type="http://schemas.openxmlformats.org/officeDocument/2006/relationships/hyperlink" Target="https://arxiv.org/abs/2303.11331" TargetMode="External" Id="rId5" /><Relationship Type="http://schemas.openxmlformats.org/officeDocument/2006/relationships/hyperlink" Target="https://github.com/baaivision/EVA" TargetMode="External" Id="rId6" /><Relationship Type="http://schemas.openxmlformats.org/officeDocument/2006/relationships/hyperlink" Target="https://arxiv.org/abs/2407.11699" TargetMode="External" Id="rId7" /><Relationship Type="http://schemas.openxmlformats.org/officeDocument/2006/relationships/hyperlink" Target="https://github.com/xiuqhou/Relation-DETR" TargetMode="External" Id="rId8" /><Relationship Type="http://schemas.openxmlformats.org/officeDocument/2006/relationships/hyperlink" Target="https://arxiv.org/abs/2203.03605" TargetMode="External" Id="rId9" /><Relationship Type="http://schemas.openxmlformats.org/officeDocument/2006/relationships/hyperlink" Target="https://github.com/IDEA-Research/DINO" TargetMode="External" Id="rId10" /><Relationship Type="http://schemas.openxmlformats.org/officeDocument/2006/relationships/hyperlink" Target="https://github.com/roboflow/rf-detr" TargetMode="External" Id="rId11" /><Relationship Type="http://schemas.openxmlformats.org/officeDocument/2006/relationships/hyperlink" Target="https://github.com/RT-DETRs/RT-DETRv4" TargetMode="External" Id="rId12" /><Relationship Type="http://schemas.openxmlformats.org/officeDocument/2006/relationships/hyperlink" Target="https://github.com/Intellindust-AI-Lab/DEIM" TargetMode="External" Id="rId13" /><Relationship Type="http://schemas.openxmlformats.org/officeDocument/2006/relationships/hyperlink" Target="https://github.com/Peterande/D-FINE" TargetMode="External" Id="rId14" /><Relationship Type="http://schemas.openxmlformats.org/officeDocument/2006/relationships/hyperlink" Target="https://arxiv.org/abs/2510.25257" TargetMode="External" Id="rId15" /><Relationship Type="http://schemas.openxmlformats.org/officeDocument/2006/relationships/hyperlink" Target="https://github.com/WongKinYiu/yolov9" TargetMode="External" Id="rId16" /><Relationship Type="http://schemas.openxmlformats.org/officeDocument/2006/relationships/hyperlink" Target="https://arxiv.org/abs/2511.09554" TargetMode="External" Id="rId17" /><Relationship Type="http://schemas.openxmlformats.org/officeDocument/2006/relationships/hyperlink" Target="https://github.com/sunsmarterjie/yolov12" TargetMode="External" Id="rId18" /><Relationship Type="http://schemas.openxmlformats.org/officeDocument/2006/relationships/hyperlink" Target="https://arxiv.org/abs/2412.04234" TargetMode="External" Id="rId19" /><Relationship Type="http://schemas.openxmlformats.org/officeDocument/2006/relationships/hyperlink" Target="https://github.com/ultralytics/ultralytics" TargetMode="External" Id="rId20" /><Relationship Type="http://schemas.openxmlformats.org/officeDocument/2006/relationships/hyperlink" Target="https://arxiv.org/abs/2410.13842" TargetMode="External" Id="rId21" /><Relationship Type="http://schemas.openxmlformats.org/officeDocument/2006/relationships/hyperlink" Target="https://arxiv.org/abs/2402.13616" TargetMode="External" Id="rId22" /><Relationship Type="http://schemas.openxmlformats.org/officeDocument/2006/relationships/hyperlink" Target="https://arxiv.org/abs/2502.12524" TargetMode="External" Id="rId23" /><Relationship Type="http://schemas.openxmlformats.org/officeDocument/2006/relationships/hyperlink" Target="https://docs.ultralytics.com/models/yolo11/" TargetMode="External" Id="rId24" 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 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 /><Relationship Type="http://schemas.openxmlformats.org/officeDocument/2006/relationships/hyperlink" Target="https://docs.ultralytics.com/models/yolov8/" TargetMode="External" Id="rId27" /><Relationship Type="http://schemas.openxmlformats.org/officeDocument/2006/relationships/hyperlink" Target="https://github.com/ultralytics/yolov5" TargetMode="External" Id="rId28" /><Relationship Type="http://schemas.openxmlformats.org/officeDocument/2006/relationships/hyperlink" Target="https://github.com/Deci-AI/super-gradients" TargetMode="External" Id="rId29" /><Relationship Type="http://schemas.openxmlformats.org/officeDocument/2006/relationships/hyperlink" Target="https://docs.ultralytics.com/models/yolo26/" TargetMode="External" Id="rId30" /><Relationship Type="http://schemas.openxmlformats.org/officeDocument/2006/relationships/hyperlink" Target="https://docs.ultralytics.com/models/yolo26/" TargetMode="External" Id="rId31" 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 /><Relationship Type="http://schemas.openxmlformats.org/officeDocument/2006/relationships/hyperlink" Target="https://github.com/Sense-X/Co-DETR" TargetMode="External" Id="rId2" /><Relationship Type="http://schemas.openxmlformats.org/officeDocument/2006/relationships/hyperlink" Target="https://arxiv.org/abs/2211.05778" TargetMode="External" Id="rId3" /><Relationship Type="http://schemas.openxmlformats.org/officeDocument/2006/relationships/hyperlink" Target="https://github.com/OpenGVLab/InternImage" TargetMode="External" Id="rId4" /><Relationship Type="http://schemas.openxmlformats.org/officeDocument/2006/relationships/hyperlink" Target="https://arxiv.org/abs/2303.11331" TargetMode="External" Id="rId5" /><Relationship Type="http://schemas.openxmlformats.org/officeDocument/2006/relationships/hyperlink" Target="https://github.com/baaivision/EVA" TargetMode="External" Id="rId6" /><Relationship Type="http://schemas.openxmlformats.org/officeDocument/2006/relationships/hyperlink" Target="https://arxiv.org/abs/2407.11699" TargetMode="External" Id="rId7" /><Relationship Type="http://schemas.openxmlformats.org/officeDocument/2006/relationships/hyperlink" Target="https://github.com/xiuqhou/Relation-DETR" TargetMode="External" Id="rId8" /><Relationship Type="http://schemas.openxmlformats.org/officeDocument/2006/relationships/hyperlink" Target="https://arxiv.org/abs/2203.03605" TargetMode="External" Id="rId9" /><Relationship Type="http://schemas.openxmlformats.org/officeDocument/2006/relationships/hyperlink" Target="https://github.com/IDEA-Research/DINO" TargetMode="External" Id="rId10" /><Relationship Type="http://schemas.openxmlformats.org/officeDocument/2006/relationships/hyperlink" Target="https://github.com/roboflow/rf-detr" TargetMode="External" Id="rId11" /><Relationship Type="http://schemas.openxmlformats.org/officeDocument/2006/relationships/hyperlink" Target="https://github.com/RT-DETRs/RT-DETRv4" TargetMode="External" Id="rId12" /><Relationship Type="http://schemas.openxmlformats.org/officeDocument/2006/relationships/hyperlink" Target="https://github.com/Intellindust-AI-Lab/DEIM" TargetMode="External" Id="rId13" /><Relationship Type="http://schemas.openxmlformats.org/officeDocument/2006/relationships/hyperlink" Target="https://github.com/Peterande/D-FINE" TargetMode="External" Id="rId14" /><Relationship Type="http://schemas.openxmlformats.org/officeDocument/2006/relationships/hyperlink" Target="https://github.com/WongKinYiu/yolov9" TargetMode="External" Id="rId15" /><Relationship Type="http://schemas.openxmlformats.org/officeDocument/2006/relationships/hyperlink" Target="https://arxiv.org/abs/2510.25257" TargetMode="External" Id="rId16" /><Relationship Type="http://schemas.openxmlformats.org/officeDocument/2006/relationships/hyperlink" Target="https://github.com/sunsmarterjie/yolov12" TargetMode="External" Id="rId17" /><Relationship Type="http://schemas.openxmlformats.org/officeDocument/2006/relationships/hyperlink" Target="https://arxiv.org/abs/2511.09554" TargetMode="External" Id="rId18" /><Relationship Type="http://schemas.openxmlformats.org/officeDocument/2006/relationships/hyperlink" Target="https://github.com/ultralytics/ultralytics" TargetMode="External" Id="rId19" /><Relationship Type="http://schemas.openxmlformats.org/officeDocument/2006/relationships/hyperlink" Target="https://arxiv.org/abs/2412.04234" TargetMode="External" Id="rId20" /><Relationship Type="http://schemas.openxmlformats.org/officeDocument/2006/relationships/hyperlink" Target="https://arxiv.org/abs/2410.13842" TargetMode="External" Id="rId21" /><Relationship Type="http://schemas.openxmlformats.org/officeDocument/2006/relationships/hyperlink" Target="https://arxiv.org/abs/2402.13616" TargetMode="External" Id="rId22" /><Relationship Type="http://schemas.openxmlformats.org/officeDocument/2006/relationships/hyperlink" Target="https://arxiv.org/abs/2502.12524" TargetMode="External" Id="rId23" /><Relationship Type="http://schemas.openxmlformats.org/officeDocument/2006/relationships/hyperlink" Target="https://docs.ultralytics.com/models/yolo11/" TargetMode="External" Id="rId24" /><Relationship Type="http://schemas.openxmlformats.org/officeDocument/2006/relationships/hyperlink" Target="https://docs.ultralytics.com/models/yolo26/" TargetMode="External" Id="rId25" /><Relationship Type="http://schemas.openxmlformats.org/officeDocument/2006/relationships/hyperlink" Target="https://docs.ultralytics.com/models/yolo26/" TargetMode="External" Id="rId26" 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 /><Relationship Type="http://schemas.openxmlformats.org/officeDocument/2006/relationships/hyperlink" Target="https://github.com/rbgirshick/py-faster-rcnn" TargetMode="External" Id="rId2" /><Relationship Type="http://schemas.openxmlformats.org/officeDocument/2006/relationships/hyperlink" Target="https://arxiv.org/abs/1506.01497" TargetMode="External" Id="rId3" /><Relationship Type="http://schemas.openxmlformats.org/officeDocument/2006/relationships/hyperlink" Target="https://github.com/Deci-AI/super-gradients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 /><Relationship Type="http://schemas.openxmlformats.org/officeDocument/2006/relationships/hyperlink" Target="https://github.com/anlinzheng/iter-deformable-detr" TargetMode="External" Id="rId2" /><Relationship Type="http://schemas.openxmlformats.org/officeDocument/2006/relationships/hyperlink" Target="https://arxiv.org/abs/2012.06785" TargetMode="External" Id="rId3" /><Relationship Type="http://schemas.openxmlformats.org/officeDocument/2006/relationships/hyperlink" Target="https://github.com/Hatins/DEYOLO" TargetMode="External" Id="rId4" /><Relationship Type="http://schemas.openxmlformats.org/officeDocument/2006/relationships/hyperlink" Target="https://arxiv.org/abs/2011.12450" TargetMode="External" Id="rId5" /><Relationship Type="http://schemas.openxmlformats.org/officeDocument/2006/relationships/hyperlink" Target="https://github.com/PeizeSun/SparseR-CNN" TargetMode="External" Id="rId6" /><Relationship Type="http://schemas.openxmlformats.org/officeDocument/2006/relationships/hyperlink" Target="https://arxiv.org/abs/2003.07847" TargetMode="External" Id="rId7" /><Relationship Type="http://schemas.openxmlformats.org/officeDocument/2006/relationships/hyperlink" Target="https://github.com/Megvii-BaseDetection/CrowdDetection" TargetMode="External" Id="rId8" /><Relationship Type="http://schemas.openxmlformats.org/officeDocument/2006/relationships/hyperlink" Target="https://arxiv.org/abs/2003.07847" TargetMode="External" Id="rId9" /><Relationship Type="http://schemas.openxmlformats.org/officeDocument/2006/relationships/hyperlink" Target="https://github.com/Purkialo/CrowdDet" TargetMode="External" Id="rId10" /><Relationship Type="http://schemas.openxmlformats.org/officeDocument/2006/relationships/hyperlink" Target="https://arxiv.org/abs/2003.07847" TargetMode="External" Id="rId11" /><Relationship Type="http://schemas.openxmlformats.org/officeDocument/2006/relationships/hyperlink" Target="https://github.com/Purkialo/CrowdDet" TargetMode="External" Id="rId12" /><Relationship Type="http://schemas.openxmlformats.org/officeDocument/2006/relationships/hyperlink" Target="https://arxiv.org/abs/1805.00123" TargetMode="External" Id="rId13" /><Relationship Type="http://schemas.openxmlformats.org/officeDocument/2006/relationships/hyperlink" Target="https://github.com/Purkialo/CrowdDet" TargetMode="External" Id="rId14" /><Relationship Type="http://schemas.openxmlformats.org/officeDocument/2006/relationships/hyperlink" Target="https://arxiv.org/abs/2303.12776" TargetMode="External" Id="rId15" /><Relationship Type="http://schemas.openxmlformats.org/officeDocument/2006/relationships/hyperlink" Target="https://arxiv.org/abs/2303.12776" TargetMode="External" Id="rId16" /><Relationship Type="http://schemas.openxmlformats.org/officeDocument/2006/relationships/hyperlink" Target="https://arxiv.org/abs/2303.12776" TargetMode="External" Id="rId17" /><Relationship Type="http://schemas.openxmlformats.org/officeDocument/2006/relationships/hyperlink" Target="https://arxiv.org/abs/2303.12776" TargetMode="External" Id="rId18" 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 /><Relationship Type="http://schemas.openxmlformats.org/officeDocument/2006/relationships/hyperlink" Target="https://arxiv.org/abs/2403.11249" TargetMode="External" Id="rId2" /><Relationship Type="http://schemas.openxmlformats.org/officeDocument/2006/relationships/hyperlink" Target="https://arxiv.org/abs/2403.11249" TargetMode="External" Id="rId3" /><Relationship Type="http://schemas.openxmlformats.org/officeDocument/2006/relationships/hyperlink" Target="https://arxiv.org/abs/2403.11249" TargetMode="External" Id="rId4" /><Relationship Type="http://schemas.openxmlformats.org/officeDocument/2006/relationships/hyperlink" Target="https://arxiv.org/abs/2403.11249" TargetMode="External" Id="rId5" /><Relationship Type="http://schemas.openxmlformats.org/officeDocument/2006/relationships/hyperlink" Target="https://arxiv.org/abs/2403.11249" TargetMode="External" Id="rId6" /><Relationship Type="http://schemas.openxmlformats.org/officeDocument/2006/relationships/hyperlink" Target="https://arxiv.org/abs/2403.11249" TargetMode="External" Id="rId7" /><Relationship Type="http://schemas.openxmlformats.org/officeDocument/2006/relationships/hyperlink" Target="https://arxiv.org/abs/2403.11249" TargetMode="External" Id="rId8" /><Relationship Type="http://schemas.openxmlformats.org/officeDocument/2006/relationships/hyperlink" Target="https://arxiv.org/abs/2407.15689" TargetMode="External" Id="rId9" /><Relationship Type="http://schemas.openxmlformats.org/officeDocument/2006/relationships/hyperlink" Target="https://arxiv.org/abs/2407.15689" TargetMode="External" Id="rId10" /><Relationship Type="http://schemas.openxmlformats.org/officeDocument/2006/relationships/hyperlink" Target="https://arxiv.org/abs/2407.15689" TargetMode="External" Id="rId11" /><Relationship Type="http://schemas.openxmlformats.org/officeDocument/2006/relationships/hyperlink" Target="https://arxiv.org/abs/2407.15689" TargetMode="External" Id="rId12" 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 /><Relationship Type="http://schemas.openxmlformats.org/officeDocument/2006/relationships/hyperlink" Target="https://arxiv.org/abs/2112.09569" TargetMode="External" Id="rId2" /><Relationship Type="http://schemas.openxmlformats.org/officeDocument/2006/relationships/hyperlink" Target="https://arxiv.org/abs/2112.09569" TargetMode="External" Id="rId3" /><Relationship Type="http://schemas.openxmlformats.org/officeDocument/2006/relationships/hyperlink" Target="https://arxiv.org/abs/2112.09569" TargetMode="External" Id="rId4" /><Relationship Type="http://schemas.openxmlformats.org/officeDocument/2006/relationships/hyperlink" Target="https://arxiv.org/abs/2112.09569" TargetMode="External" Id="rId5" /><Relationship Type="http://schemas.openxmlformats.org/officeDocument/2006/relationships/hyperlink" Target="https://arxiv.org/abs/2112.09569" TargetMode="External" Id="rId6" /><Relationship Type="http://schemas.openxmlformats.org/officeDocument/2006/relationships/hyperlink" Target="https://arxiv.org/abs/2112.09569" TargetMode="External" Id="rId7" /><Relationship Type="http://schemas.openxmlformats.org/officeDocument/2006/relationships/hyperlink" Target="https://arxiv.org/abs/2112.09569" TargetMode="External" Id="rId8" /><Relationship Type="http://schemas.openxmlformats.org/officeDocument/2006/relationships/hyperlink" Target="https://arxiv.org/abs/2112.09569" TargetMode="External" Id="rId9" /><Relationship Type="http://schemas.openxmlformats.org/officeDocument/2006/relationships/hyperlink" Target="https://arxiv.org/abs/2112.09569" TargetMode="External" Id="rId10" /><Relationship Type="http://schemas.openxmlformats.org/officeDocument/2006/relationships/hyperlink" Target="https://arxiv.org/abs/2112.09569" TargetMode="External" Id="rId11" /><Relationship Type="http://schemas.openxmlformats.org/officeDocument/2006/relationships/hyperlink" Target="https://arxiv.org/abs/2112.09569" TargetMode="External" Id="rId12" /><Relationship Type="http://schemas.openxmlformats.org/officeDocument/2006/relationships/hyperlink" Target="https://arxiv.org/abs/2112.09569" TargetMode="External" Id="rId13" /><Relationship Type="http://schemas.openxmlformats.org/officeDocument/2006/relationships/hyperlink" Target="https://arxiv.org/abs/2112.09569" TargetMode="External" Id="rId14" /><Relationship Type="http://schemas.openxmlformats.org/officeDocument/2006/relationships/hyperlink" Target="https://arxiv.org/abs/2112.09569" TargetMode="External" Id="rId15" 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 /><Relationship Type="http://schemas.openxmlformats.org/officeDocument/2006/relationships/hyperlink" Target="https://arxiv.org/abs/2008.01365" TargetMode="External" Id="rId2" /><Relationship Type="http://schemas.openxmlformats.org/officeDocument/2006/relationships/hyperlink" Target="https://arxiv.org/abs/2008.01365" TargetMode="External" Id="rId3" /><Relationship Type="http://schemas.openxmlformats.org/officeDocument/2006/relationships/hyperlink" Target="https://arxiv.org/abs/2008.01365" TargetMode="External" Id="rId4" /><Relationship Type="http://schemas.openxmlformats.org/officeDocument/2006/relationships/hyperlink" Target="https://arxiv.org/abs/2008.01365" TargetMode="External" Id="rId5" 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 /><Relationship Type="http://schemas.openxmlformats.org/officeDocument/2006/relationships/hyperlink" Target="https://github.com/zhiqic/DAMO-StreamNet" TargetMode="External" Id="rId2" /><Relationship Type="http://schemas.openxmlformats.org/officeDocument/2006/relationships/hyperlink" Target="https://arxiv.org/abs/2207.10433" TargetMode="External" Id="rId3" /><Relationship Type="http://schemas.openxmlformats.org/officeDocument/2006/relationships/hyperlink" Target="https://github.com/yancie-yjr/StreamYOLO" TargetMode="External" Id="rId4" /><Relationship Type="http://schemas.openxmlformats.org/officeDocument/2006/relationships/hyperlink" Target="https://arxiv.org/abs/2210.15518" TargetMode="External" Id="rId5" /><Relationship Type="http://schemas.openxmlformats.org/officeDocument/2006/relationships/hyperlink" Target="https://github.com/LongShortNet/LongShortNet" TargetMode="External" Id="rId6" /><Relationship Type="http://schemas.openxmlformats.org/officeDocument/2006/relationships/hyperlink" Target="https://arxiv.org/abs/2207.10433" TargetMode="External" Id="rId7" /><Relationship Type="http://schemas.openxmlformats.org/officeDocument/2006/relationships/hyperlink" Target="https://github.com/yancie-yjr/StreamYOLO" TargetMode="External" Id="rId8" /><Relationship Type="http://schemas.openxmlformats.org/officeDocument/2006/relationships/hyperlink" Target="https://arxiv.org/abs/2107.08430" TargetMode="External" Id="rId9" /><Relationship Type="http://schemas.openxmlformats.org/officeDocument/2006/relationships/hyperlink" Target="https://github.com/Megvii-BaseDetection/YOLOX" TargetMode="External" Id="rId10" /><Relationship Type="http://schemas.openxmlformats.org/officeDocument/2006/relationships/hyperlink" Target="https://arxiv.org/abs/2005.10420" TargetMode="External" Id="rId11" /><Relationship Type="http://schemas.openxmlformats.org/officeDocument/2006/relationships/hyperlink" Target="https://github.com/mtli/sAP" TargetMode="External" Id="rId12" 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 /><Relationship Type="http://schemas.openxmlformats.org/officeDocument/2006/relationships/hyperlink" Target="https://github.com/ZhengPeng7/BiRefNet" TargetMode="External" Id="rId2" /><Relationship Type="http://schemas.openxmlformats.org/officeDocument/2006/relationships/hyperlink" Target="https://arxiv.org/abs/2209.09475" TargetMode="External" Id="rId3" /><Relationship Type="http://schemas.openxmlformats.org/officeDocument/2006/relationships/hyperlink" Target="https://github.com/plemeri/InSPyReNet" TargetMode="External" Id="rId4" /><Relationship Type="http://schemas.openxmlformats.org/officeDocument/2006/relationships/hyperlink" Target="https://arxiv.org/abs/2309.08365" TargetMode="External" Id="rId5" /><Relationship Type="http://schemas.openxmlformats.org/officeDocument/2006/relationships/hyperlink" Target="https://github.com/I2-Multimedia-Lab/M3Net" TargetMode="External" Id="rId6" /><Relationship Type="http://schemas.openxmlformats.org/officeDocument/2006/relationships/hyperlink" Target="https://arxiv.org/abs/2111.13409" TargetMode="External" Id="rId7" /><Relationship Type="http://schemas.openxmlformats.org/officeDocument/2006/relationships/hyperlink" Target="https://github.com/mczhuge/ICON" TargetMode="External" Id="rId8" /><Relationship Type="http://schemas.openxmlformats.org/officeDocument/2006/relationships/hyperlink" Target="https://arxiv.org/abs/2104.12099" TargetMode="External" Id="rId9" /><Relationship Type="http://schemas.openxmlformats.org/officeDocument/2006/relationships/hyperlink" Target="https://github.com/nnizhang/VST" TargetMode="External" Id="rId10" /><Relationship Type="http://schemas.openxmlformats.org/officeDocument/2006/relationships/hyperlink" Target="https://arxiv.org/abs/2012.13093" TargetMode="External" Id="rId11" /><Relationship Type="http://schemas.openxmlformats.org/officeDocument/2006/relationships/hyperlink" Target="https://github.com/yuhuan-wu/EDN" TargetMode="External" Id="rId12" /><Relationship Type="http://schemas.openxmlformats.org/officeDocument/2006/relationships/hyperlink" Target="https://arxiv.org/abs/1904.09569" TargetMode="External" Id="rId13" /><Relationship Type="http://schemas.openxmlformats.org/officeDocument/2006/relationships/hyperlink" Target="https://github.com/backseason/PoolNet" TargetMode="External" Id="rId14" /><Relationship Type="http://schemas.openxmlformats.org/officeDocument/2006/relationships/hyperlink" Target="https://arxiv.org/abs/2007.09062" TargetMode="External" Id="rId15" /><Relationship Type="http://schemas.openxmlformats.org/officeDocument/2006/relationships/hyperlink" Target="https://github.com/lartpang/MINet" TargetMode="External" Id="rId16" /><Relationship Type="http://schemas.openxmlformats.org/officeDocument/2006/relationships/hyperlink" Target="https://arxiv.org/abs/2005.09007" TargetMode="External" Id="rId17" /><Relationship Type="http://schemas.openxmlformats.org/officeDocument/2006/relationships/hyperlink" Target="https://github.com/xuebinqin/U-2-Net" TargetMode="External" Id="rId18" /><Relationship Type="http://schemas.openxmlformats.org/officeDocument/2006/relationships/hyperlink" Target="https://arxiv.org/abs/1904.07857" TargetMode="External" Id="rId19" /><Relationship Type="http://schemas.openxmlformats.org/officeDocument/2006/relationships/hyperlink" Target="https://github.com/xuebinqin/BASNet" TargetMode="External" Id="rId20" 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 /><Relationship Type="http://schemas.openxmlformats.org/officeDocument/2006/relationships/hyperlink" Target="https://github.com/ZhengPeng7/BiRefNet" TargetMode="External" Id="rId2" /><Relationship Type="http://schemas.openxmlformats.org/officeDocument/2006/relationships/hyperlink" Target="https://arxiv.org/abs/2209.09475" TargetMode="External" Id="rId3" /><Relationship Type="http://schemas.openxmlformats.org/officeDocument/2006/relationships/hyperlink" Target="https://github.com/plemeri/InSPyReNet" TargetMode="External" Id="rId4" /><Relationship Type="http://schemas.openxmlformats.org/officeDocument/2006/relationships/hyperlink" Target="https://arxiv.org/abs/2309.08365" TargetMode="External" Id="rId5" /><Relationship Type="http://schemas.openxmlformats.org/officeDocument/2006/relationships/hyperlink" Target="https://github.com/I2-Multimedia-Lab/M3Net" TargetMode="External" Id="rId6" /><Relationship Type="http://schemas.openxmlformats.org/officeDocument/2006/relationships/hyperlink" Target="https://arxiv.org/abs/2111.13409" TargetMode="External" Id="rId7" /><Relationship Type="http://schemas.openxmlformats.org/officeDocument/2006/relationships/hyperlink" Target="https://github.com/mczhuge/ICON" TargetMode="External" Id="rId8" /><Relationship Type="http://schemas.openxmlformats.org/officeDocument/2006/relationships/hyperlink" Target="https://arxiv.org/abs/2104.12099" TargetMode="External" Id="rId9" /><Relationship Type="http://schemas.openxmlformats.org/officeDocument/2006/relationships/hyperlink" Target="https://github.com/nnizhang/VST" TargetMode="External" Id="rId10" /><Relationship Type="http://schemas.openxmlformats.org/officeDocument/2006/relationships/hyperlink" Target="https://arxiv.org/abs/2012.13093" TargetMode="External" Id="rId11" /><Relationship Type="http://schemas.openxmlformats.org/officeDocument/2006/relationships/hyperlink" Target="https://github.com/yuhuan-wu/EDN" TargetMode="External" Id="rId12" /><Relationship Type="http://schemas.openxmlformats.org/officeDocument/2006/relationships/hyperlink" Target="https://arxiv.org/abs/1904.09569" TargetMode="External" Id="rId13" /><Relationship Type="http://schemas.openxmlformats.org/officeDocument/2006/relationships/hyperlink" Target="https://github.com/backseason/PoolNet" TargetMode="External" Id="rId14" /><Relationship Type="http://schemas.openxmlformats.org/officeDocument/2006/relationships/hyperlink" Target="https://arxiv.org/abs/2007.09062" TargetMode="External" Id="rId15" /><Relationship Type="http://schemas.openxmlformats.org/officeDocument/2006/relationships/hyperlink" Target="https://github.com/lartpang/MINet" TargetMode="External" Id="rId16" /><Relationship Type="http://schemas.openxmlformats.org/officeDocument/2006/relationships/hyperlink" Target="https://arxiv.org/abs/2005.09007" TargetMode="External" Id="rId17" /><Relationship Type="http://schemas.openxmlformats.org/officeDocument/2006/relationships/hyperlink" Target="https://github.com/xuebinqin/U-2-Net" TargetMode="External" Id="rId18" /><Relationship Type="http://schemas.openxmlformats.org/officeDocument/2006/relationships/hyperlink" Target="https://arxiv.org/abs/1904.07857" TargetMode="External" Id="rId19" /><Relationship Type="http://schemas.openxmlformats.org/officeDocument/2006/relationships/hyperlink" Target="https://github.com/xuebinqin/BASNet" TargetMode="External" Id="rId20" 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 /><Relationship Type="http://schemas.openxmlformats.org/officeDocument/2006/relationships/hyperlink" Target="https://github.com/plemeri/InSPyReNet" TargetMode="External" Id="rId2" /><Relationship Type="http://schemas.openxmlformats.org/officeDocument/2006/relationships/hyperlink" Target="https://arxiv.org/abs/2309.08365" TargetMode="External" Id="rId3" /><Relationship Type="http://schemas.openxmlformats.org/officeDocument/2006/relationships/hyperlink" Target="https://github.com/I2-Multimedia-Lab/M3Net" TargetMode="External" Id="rId4" /><Relationship Type="http://schemas.openxmlformats.org/officeDocument/2006/relationships/hyperlink" Target="https://arxiv.org/abs/2111.13409" TargetMode="External" Id="rId5" /><Relationship Type="http://schemas.openxmlformats.org/officeDocument/2006/relationships/hyperlink" Target="https://github.com/mczhuge/ICON" TargetMode="External" Id="rId6" /><Relationship Type="http://schemas.openxmlformats.org/officeDocument/2006/relationships/hyperlink" Target="https://arxiv.org/abs/2104.12099" TargetMode="External" Id="rId7" /><Relationship Type="http://schemas.openxmlformats.org/officeDocument/2006/relationships/hyperlink" Target="https://github.com/nnizhang/VST" TargetMode="External" Id="rId8" /><Relationship Type="http://schemas.openxmlformats.org/officeDocument/2006/relationships/hyperlink" Target="https://arxiv.org/abs/2012.13093" TargetMode="External" Id="rId9" /><Relationship Type="http://schemas.openxmlformats.org/officeDocument/2006/relationships/hyperlink" Target="https://github.com/yuhuan-wu/EDN" TargetMode="External" Id="rId10" /><Relationship Type="http://schemas.openxmlformats.org/officeDocument/2006/relationships/hyperlink" Target="https://arxiv.org/abs/1904.09569" TargetMode="External" Id="rId11" /><Relationship Type="http://schemas.openxmlformats.org/officeDocument/2006/relationships/hyperlink" Target="https://github.com/backseason/PoolNet" TargetMode="External" Id="rId12" /><Relationship Type="http://schemas.openxmlformats.org/officeDocument/2006/relationships/hyperlink" Target="https://arxiv.org/abs/2007.09062" TargetMode="External" Id="rId13" /><Relationship Type="http://schemas.openxmlformats.org/officeDocument/2006/relationships/hyperlink" Target="https://github.com/lartpang/MINet" TargetMode="External" Id="rId14" /><Relationship Type="http://schemas.openxmlformats.org/officeDocument/2006/relationships/hyperlink" Target="https://arxiv.org/abs/2005.09007" TargetMode="External" Id="rId15" /><Relationship Type="http://schemas.openxmlformats.org/officeDocument/2006/relationships/hyperlink" Target="https://github.com/xuebinqin/U-2-Net" TargetMode="External" Id="rId16" /><Relationship Type="http://schemas.openxmlformats.org/officeDocument/2006/relationships/hyperlink" Target="https://arxiv.org/abs/1904.07857" TargetMode="External" Id="rId17" /><Relationship Type="http://schemas.openxmlformats.org/officeDocument/2006/relationships/hyperlink" Target="https://github.com/xuebinqin/BASNet" TargetMode="External" Id="rId18" 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 /><Relationship Type="http://schemas.openxmlformats.org/officeDocument/2006/relationships/hyperlink" Target="https://github.com/plemeri/InSPyReNet" TargetMode="External" Id="rId2" /><Relationship Type="http://schemas.openxmlformats.org/officeDocument/2006/relationships/hyperlink" Target="https://arxiv.org/abs/2309.08365" TargetMode="External" Id="rId3" /><Relationship Type="http://schemas.openxmlformats.org/officeDocument/2006/relationships/hyperlink" Target="https://github.com/I2-Multimedia-Lab/M3Net" TargetMode="External" Id="rId4" /><Relationship Type="http://schemas.openxmlformats.org/officeDocument/2006/relationships/hyperlink" Target="https://arxiv.org/abs/2111.13409" TargetMode="External" Id="rId5" /><Relationship Type="http://schemas.openxmlformats.org/officeDocument/2006/relationships/hyperlink" Target="https://github.com/mczhuge/ICON" TargetMode="External" Id="rId6" /><Relationship Type="http://schemas.openxmlformats.org/officeDocument/2006/relationships/hyperlink" Target="https://arxiv.org/abs/2104.12099" TargetMode="External" Id="rId7" /><Relationship Type="http://schemas.openxmlformats.org/officeDocument/2006/relationships/hyperlink" Target="https://github.com/nnizhang/VST" TargetMode="External" Id="rId8" /><Relationship Type="http://schemas.openxmlformats.org/officeDocument/2006/relationships/hyperlink" Target="https://arxiv.org/abs/2012.13093" TargetMode="External" Id="rId9" /><Relationship Type="http://schemas.openxmlformats.org/officeDocument/2006/relationships/hyperlink" Target="https://github.com/yuhuan-wu/EDN" TargetMode="External" Id="rId10" /><Relationship Type="http://schemas.openxmlformats.org/officeDocument/2006/relationships/hyperlink" Target="https://arxiv.org/abs/1904.09569" TargetMode="External" Id="rId11" /><Relationship Type="http://schemas.openxmlformats.org/officeDocument/2006/relationships/hyperlink" Target="https://github.com/backseason/PoolNet" TargetMode="External" Id="rId12" /><Relationship Type="http://schemas.openxmlformats.org/officeDocument/2006/relationships/hyperlink" Target="https://arxiv.org/abs/2007.09062" TargetMode="External" Id="rId13" /><Relationship Type="http://schemas.openxmlformats.org/officeDocument/2006/relationships/hyperlink" Target="https://github.com/lartpang/MINet" TargetMode="External" Id="rId14" /><Relationship Type="http://schemas.openxmlformats.org/officeDocument/2006/relationships/hyperlink" Target="https://arxiv.org/abs/2005.09007" TargetMode="External" Id="rId15" /><Relationship Type="http://schemas.openxmlformats.org/officeDocument/2006/relationships/hyperlink" Target="https://github.com/xuebinqin/U-2-Net" TargetMode="External" Id="rId16" /><Relationship Type="http://schemas.openxmlformats.org/officeDocument/2006/relationships/hyperlink" Target="https://arxiv.org/abs/1904.07857" TargetMode="External" Id="rId17" /><Relationship Type="http://schemas.openxmlformats.org/officeDocument/2006/relationships/hyperlink" Target="https://github.com/xuebinqin/BASNet" TargetMode="External" Id="rId18" 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 /><Relationship Type="http://schemas.openxmlformats.org/officeDocument/2006/relationships/hyperlink" Target="https://github.com/plemeri/InSPyReNet" TargetMode="External" Id="rId2" /><Relationship Type="http://schemas.openxmlformats.org/officeDocument/2006/relationships/hyperlink" Target="https://arxiv.org/abs/2309.08365" TargetMode="External" Id="rId3" /><Relationship Type="http://schemas.openxmlformats.org/officeDocument/2006/relationships/hyperlink" Target="https://github.com/I2-Multimedia-Lab/M3Net" TargetMode="External" Id="rId4" /><Relationship Type="http://schemas.openxmlformats.org/officeDocument/2006/relationships/hyperlink" Target="https://arxiv.org/abs/2111.13409" TargetMode="External" Id="rId5" /><Relationship Type="http://schemas.openxmlformats.org/officeDocument/2006/relationships/hyperlink" Target="https://github.com/mczhuge/ICON" TargetMode="External" Id="rId6" /><Relationship Type="http://schemas.openxmlformats.org/officeDocument/2006/relationships/hyperlink" Target="https://arxiv.org/abs/2104.12099" TargetMode="External" Id="rId7" /><Relationship Type="http://schemas.openxmlformats.org/officeDocument/2006/relationships/hyperlink" Target="https://github.com/nnizhang/VST" TargetMode="External" Id="rId8" /><Relationship Type="http://schemas.openxmlformats.org/officeDocument/2006/relationships/hyperlink" Target="https://arxiv.org/abs/2012.13093" TargetMode="External" Id="rId9" /><Relationship Type="http://schemas.openxmlformats.org/officeDocument/2006/relationships/hyperlink" Target="https://github.com/yuhuan-wu/EDN" TargetMode="External" Id="rId10" /><Relationship Type="http://schemas.openxmlformats.org/officeDocument/2006/relationships/hyperlink" Target="https://arxiv.org/abs/1904.09569" TargetMode="External" Id="rId11" /><Relationship Type="http://schemas.openxmlformats.org/officeDocument/2006/relationships/hyperlink" Target="https://github.com/backseason/PoolNet" TargetMode="External" Id="rId12" /><Relationship Type="http://schemas.openxmlformats.org/officeDocument/2006/relationships/hyperlink" Target="https://arxiv.org/abs/2007.09062" TargetMode="External" Id="rId13" /><Relationship Type="http://schemas.openxmlformats.org/officeDocument/2006/relationships/hyperlink" Target="https://github.com/lartpang/MINet" TargetMode="External" Id="rId14" /><Relationship Type="http://schemas.openxmlformats.org/officeDocument/2006/relationships/hyperlink" Target="https://arxiv.org/abs/2005.09007" TargetMode="External" Id="rId15" /><Relationship Type="http://schemas.openxmlformats.org/officeDocument/2006/relationships/hyperlink" Target="https://github.com/xuebinqin/U-2-Net" TargetMode="External" Id="rId16" /><Relationship Type="http://schemas.openxmlformats.org/officeDocument/2006/relationships/hyperlink" Target="https://arxiv.org/abs/1904.07857" TargetMode="External" Id="rId17" /><Relationship Type="http://schemas.openxmlformats.org/officeDocument/2006/relationships/hyperlink" Target="https://github.com/xuebinqin/BASNet" TargetMode="External" Id="rId18" /><Relationship Type="http://schemas.openxmlformats.org/officeDocument/2006/relationships/hyperlink" Target="https://arxiv.org/abs/2309.08365" TargetMode="External" Id="rId19" /><Relationship Type="http://schemas.openxmlformats.org/officeDocument/2006/relationships/hyperlink" Target="https://arxiv.org/abs/2309.08365" TargetMode="External" Id="rId20" 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 /><Relationship Type="http://schemas.openxmlformats.org/officeDocument/2006/relationships/hyperlink" Target="https://github.com/ZhengPeng7/BiRefNet" TargetMode="External" Id="rId2" /><Relationship Type="http://schemas.openxmlformats.org/officeDocument/2006/relationships/hyperlink" Target="https://arxiv.org/abs/2209.09475" TargetMode="External" Id="rId3" /><Relationship Type="http://schemas.openxmlformats.org/officeDocument/2006/relationships/hyperlink" Target="https://github.com/plemeri/InSPyReNet" TargetMode="External" Id="rId4" /><Relationship Type="http://schemas.openxmlformats.org/officeDocument/2006/relationships/hyperlink" Target="https://arxiv.org/abs/2204.05041" TargetMode="External" Id="rId5" /><Relationship Type="http://schemas.openxmlformats.org/officeDocument/2006/relationships/hyperlink" Target="https://arxiv.org/abs/2204.05041" TargetMode="External" Id="rId6" /><Relationship Type="http://schemas.openxmlformats.org/officeDocument/2006/relationships/hyperlink" Target="https://arxiv.org/abs/2204.05041" TargetMode="External" Id="rId7" /><Relationship Type="http://schemas.openxmlformats.org/officeDocument/2006/relationships/hyperlink" Target="https://arxiv.org/abs/2204.05041" TargetMode="External" Id="rId8" /><Relationship Type="http://schemas.openxmlformats.org/officeDocument/2006/relationships/hyperlink" Target="https://arxiv.org/abs/2204.05041" TargetMode="External" Id="rId9" /><Relationship Type="http://schemas.openxmlformats.org/officeDocument/2006/relationships/hyperlink" Target="https://arxiv.org/abs/2204.05041" TargetMode="External" Id="rId10" /><Relationship Type="http://schemas.openxmlformats.org/officeDocument/2006/relationships/hyperlink" Target="https://arxiv.org/abs/2204.05041" TargetMode="External" Id="rId11" /><Relationship Type="http://schemas.openxmlformats.org/officeDocument/2006/relationships/hyperlink" Target="https://arxiv.org/abs/2204.05041" TargetMode="External" Id="rId12" /><Relationship Type="http://schemas.openxmlformats.org/officeDocument/2006/relationships/hyperlink" Target="https://arxiv.org/abs/2204.05041" TargetMode="External" Id="rId13" 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 /><Relationship Type="http://schemas.openxmlformats.org/officeDocument/2006/relationships/hyperlink" Target="https://github.com/ZhengPeng7/BiRefNet" TargetMode="External" Id="rId2" /><Relationship Type="http://schemas.openxmlformats.org/officeDocument/2006/relationships/hyperlink" Target="https://arxiv.org/abs/2209.09475" TargetMode="External" Id="rId3" /><Relationship Type="http://schemas.openxmlformats.org/officeDocument/2006/relationships/hyperlink" Target="https://github.com/plemeri/InSPyReNet" TargetMode="External" Id="rId4" /><Relationship Type="http://schemas.openxmlformats.org/officeDocument/2006/relationships/hyperlink" Target="https://arxiv.org/abs/2204.05041" TargetMode="External" Id="rId5" /><Relationship Type="http://schemas.openxmlformats.org/officeDocument/2006/relationships/hyperlink" Target="https://arxiv.org/abs/2204.05041" TargetMode="External" Id="rId6" /><Relationship Type="http://schemas.openxmlformats.org/officeDocument/2006/relationships/hyperlink" Target="https://arxiv.org/abs/2204.05041" TargetMode="External" Id="rId7" /><Relationship Type="http://schemas.openxmlformats.org/officeDocument/2006/relationships/hyperlink" Target="https://arxiv.org/abs/2204.05041" TargetMode="External" Id="rId8" /><Relationship Type="http://schemas.openxmlformats.org/officeDocument/2006/relationships/hyperlink" Target="https://arxiv.org/abs/2204.05041" TargetMode="External" Id="rId9" /><Relationship Type="http://schemas.openxmlformats.org/officeDocument/2006/relationships/hyperlink" Target="https://arxiv.org/abs/2204.05041" TargetMode="External" Id="rId10" /><Relationship Type="http://schemas.openxmlformats.org/officeDocument/2006/relationships/hyperlink" Target="https://arxiv.org/abs/2204.05041" TargetMode="External" Id="rId11" /><Relationship Type="http://schemas.openxmlformats.org/officeDocument/2006/relationships/hyperlink" Target="https://arxiv.org/abs/2204.05041" TargetMode="External" Id="rId12" /><Relationship Type="http://schemas.openxmlformats.org/officeDocument/2006/relationships/hyperlink" Target="https://arxiv.org/abs/2204.05041" TargetMode="External" Id="rId13" 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 /><Relationship Type="http://schemas.openxmlformats.org/officeDocument/2006/relationships/hyperlink" Target="https://github.com/ZhengPeng7/BiRefNet" TargetMode="External" Id="rId2" /><Relationship Type="http://schemas.openxmlformats.org/officeDocument/2006/relationships/hyperlink" Target="https://arxiv.org/abs/2209.09475" TargetMode="External" Id="rId3" /><Relationship Type="http://schemas.openxmlformats.org/officeDocument/2006/relationships/hyperlink" Target="https://github.com/plemeri/InSPyReNet" TargetMode="External" Id="rId4" /><Relationship Type="http://schemas.openxmlformats.org/officeDocument/2006/relationships/hyperlink" Target="https://arxiv.org/abs/2204.05041" TargetMode="External" Id="rId5" /><Relationship Type="http://schemas.openxmlformats.org/officeDocument/2006/relationships/hyperlink" Target="https://arxiv.org/abs/2204.05041" TargetMode="External" Id="rId6" /><Relationship Type="http://schemas.openxmlformats.org/officeDocument/2006/relationships/hyperlink" Target="https://arxiv.org/abs/2204.05041" TargetMode="External" Id="rId7" /><Relationship Type="http://schemas.openxmlformats.org/officeDocument/2006/relationships/hyperlink" Target="https://arxiv.org/abs/2204.05041" TargetMode="External" Id="rId8" /><Relationship Type="http://schemas.openxmlformats.org/officeDocument/2006/relationships/hyperlink" Target="https://arxiv.org/abs/2204.05041" TargetMode="External" Id="rId9" /><Relationship Type="http://schemas.openxmlformats.org/officeDocument/2006/relationships/hyperlink" Target="https://arxiv.org/abs/2204.05041" TargetMode="External" Id="rId10" /><Relationship Type="http://schemas.openxmlformats.org/officeDocument/2006/relationships/hyperlink" Target="https://arxiv.org/abs/2204.05041" TargetMode="External" Id="rId11" /><Relationship Type="http://schemas.openxmlformats.org/officeDocument/2006/relationships/hyperlink" Target="https://arxiv.org/abs/2204.05041" TargetMode="External" Id="rId12" 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 /><Relationship Type="http://schemas.openxmlformats.org/officeDocument/2006/relationships/hyperlink" Target="https://github.com/ZhangGongjie/Meta-DETR" TargetMode="External" Id="rId2" /><Relationship Type="http://schemas.openxmlformats.org/officeDocument/2006/relationships/hyperlink" Target="https://arxiv.org/abs/2108.09017" TargetMode="External" Id="rId3" /><Relationship Type="http://schemas.openxmlformats.org/officeDocument/2006/relationships/hyperlink" Target="https://github.com/er-muyue/DeFRCN" TargetMode="External" Id="rId4" /><Relationship Type="http://schemas.openxmlformats.org/officeDocument/2006/relationships/hyperlink" Target="https://arxiv.org/abs/2106.04550" TargetMode="External" Id="rId5" /><Relationship Type="http://schemas.openxmlformats.org/officeDocument/2006/relationships/hyperlink" Target="https://github.com/amirbar/DETReg" TargetMode="External" Id="rId6" /><Relationship Type="http://schemas.openxmlformats.org/officeDocument/2006/relationships/hyperlink" Target="https://arxiv.org/abs/2103.05950" TargetMode="External" Id="rId7" /><Relationship Type="http://schemas.openxmlformats.org/officeDocument/2006/relationships/hyperlink" Target="https://github.com/megvii-research/FSCE" TargetMode="External" Id="rId8" /><Relationship Type="http://schemas.openxmlformats.org/officeDocument/2006/relationships/hyperlink" Target="https://arxiv.org/abs/2007.09384" TargetMode="External" Id="rId9" /><Relationship Type="http://schemas.openxmlformats.org/officeDocument/2006/relationships/hyperlink" Target="https://github.com/jiaxi-wu/MPSR" TargetMode="External" Id="rId10" /><Relationship Type="http://schemas.openxmlformats.org/officeDocument/2006/relationships/hyperlink" Target="https://arxiv.org/abs/2003.06957" TargetMode="External" Id="rId11" /><Relationship Type="http://schemas.openxmlformats.org/officeDocument/2006/relationships/hyperlink" Target="https://github.com/ucbdrive/few-shot-object-detection" TargetMode="External" Id="rId12" /><Relationship Type="http://schemas.openxmlformats.org/officeDocument/2006/relationships/hyperlink" Target="https://arxiv.org/abs/1909.13032" TargetMode="External" Id="rId13" /><Relationship Type="http://schemas.openxmlformats.org/officeDocument/2006/relationships/hyperlink" Target="https://github.com/yanxp/MetaR-CNN" TargetMode="External" Id="rId14" /><Relationship Type="http://schemas.openxmlformats.org/officeDocument/2006/relationships/hyperlink" Target="https://arxiv.org/abs/2203.15021" TargetMode="External" Id="rId15" /><Relationship Type="http://schemas.openxmlformats.org/officeDocument/2006/relationships/hyperlink" Target="https://arxiv.org/abs/2203.15021" TargetMode="External" Id="rId16" /><Relationship Type="http://schemas.openxmlformats.org/officeDocument/2006/relationships/hyperlink" Target="https://arxiv.org/abs/2203.15021" TargetMode="External" Id="rId17" /><Relationship Type="http://schemas.openxmlformats.org/officeDocument/2006/relationships/hyperlink" Target="https://arxiv.org/abs/2203.1502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 /><Relationship Type="http://schemas.openxmlformats.org/officeDocument/2006/relationships/hyperlink" Target="https://github.com/ZhangGongjie/Meta-DETR" TargetMode="External" Id="rId2" /><Relationship Type="http://schemas.openxmlformats.org/officeDocument/2006/relationships/hyperlink" Target="https://arxiv.org/abs/2108.09017" TargetMode="External" Id="rId3" /><Relationship Type="http://schemas.openxmlformats.org/officeDocument/2006/relationships/hyperlink" Target="https://github.com/er-muyue/DeFRCN" TargetMode="External" Id="rId4" /><Relationship Type="http://schemas.openxmlformats.org/officeDocument/2006/relationships/hyperlink" Target="https://arxiv.org/abs/2106.04550" TargetMode="External" Id="rId5" /><Relationship Type="http://schemas.openxmlformats.org/officeDocument/2006/relationships/hyperlink" Target="https://github.com/amirbar/DETReg" TargetMode="External" Id="rId6" /><Relationship Type="http://schemas.openxmlformats.org/officeDocument/2006/relationships/hyperlink" Target="https://arxiv.org/abs/2103.05950" TargetMode="External" Id="rId7" /><Relationship Type="http://schemas.openxmlformats.org/officeDocument/2006/relationships/hyperlink" Target="https://github.com/megvii-research/FSCE" TargetMode="External" Id="rId8" /><Relationship Type="http://schemas.openxmlformats.org/officeDocument/2006/relationships/hyperlink" Target="https://arxiv.org/abs/2007.09384" TargetMode="External" Id="rId9" /><Relationship Type="http://schemas.openxmlformats.org/officeDocument/2006/relationships/hyperlink" Target="https://github.com/jiaxi-wu/MPSR" TargetMode="External" Id="rId10" /><Relationship Type="http://schemas.openxmlformats.org/officeDocument/2006/relationships/hyperlink" Target="https://arxiv.org/abs/2003.06957" TargetMode="External" Id="rId11" /><Relationship Type="http://schemas.openxmlformats.org/officeDocument/2006/relationships/hyperlink" Target="https://github.com/ucbdrive/few-shot-object-detection" TargetMode="External" Id="rId12" /><Relationship Type="http://schemas.openxmlformats.org/officeDocument/2006/relationships/hyperlink" Target="https://arxiv.org/abs/1909.13032" TargetMode="External" Id="rId13" /><Relationship Type="http://schemas.openxmlformats.org/officeDocument/2006/relationships/hyperlink" Target="https://github.com/yanxp/MetaR-CNN" TargetMode="External" Id="rId14" /><Relationship Type="http://schemas.openxmlformats.org/officeDocument/2006/relationships/hyperlink" Target="https://arxiv.org/abs/2203.15021" TargetMode="External" Id="rId15" /><Relationship Type="http://schemas.openxmlformats.org/officeDocument/2006/relationships/hyperlink" Target="https://arxiv.org/abs/2203.15021" TargetMode="External" Id="rId16" /><Relationship Type="http://schemas.openxmlformats.org/officeDocument/2006/relationships/hyperlink" Target="https://arxiv.org/abs/2203.15021" TargetMode="External" Id="rId17" /><Relationship Type="http://schemas.openxmlformats.org/officeDocument/2006/relationships/hyperlink" Target="https://arxiv.org/abs/2203.15021" TargetMode="External" Id="rId18" 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 /><Relationship Type="http://schemas.openxmlformats.org/officeDocument/2006/relationships/hyperlink" Target="https://github.com/ZhangGongjie/Meta-DETR" TargetMode="External" Id="rId2" /><Relationship Type="http://schemas.openxmlformats.org/officeDocument/2006/relationships/hyperlink" Target="https://arxiv.org/abs/2108.09017" TargetMode="External" Id="rId3" /><Relationship Type="http://schemas.openxmlformats.org/officeDocument/2006/relationships/hyperlink" Target="https://github.com/er-muyue/DeFRCN" TargetMode="External" Id="rId4" /><Relationship Type="http://schemas.openxmlformats.org/officeDocument/2006/relationships/hyperlink" Target="https://arxiv.org/abs/2106.04550" TargetMode="External" Id="rId5" /><Relationship Type="http://schemas.openxmlformats.org/officeDocument/2006/relationships/hyperlink" Target="https://github.com/amirbar/DETReg" TargetMode="External" Id="rId6" /><Relationship Type="http://schemas.openxmlformats.org/officeDocument/2006/relationships/hyperlink" Target="https://arxiv.org/abs/2103.05950" TargetMode="External" Id="rId7" /><Relationship Type="http://schemas.openxmlformats.org/officeDocument/2006/relationships/hyperlink" Target="https://github.com/megvii-research/FSCE" TargetMode="External" Id="rId8" /><Relationship Type="http://schemas.openxmlformats.org/officeDocument/2006/relationships/hyperlink" Target="https://arxiv.org/abs/2003.06957" TargetMode="External" Id="rId9" /><Relationship Type="http://schemas.openxmlformats.org/officeDocument/2006/relationships/hyperlink" Target="https://github.com/ucbdrive/few-shot-object-detection" TargetMode="External" Id="rId10" /><Relationship Type="http://schemas.openxmlformats.org/officeDocument/2006/relationships/hyperlink" Target="https://arxiv.org/abs/2007.09384" TargetMode="External" Id="rId11" /><Relationship Type="http://schemas.openxmlformats.org/officeDocument/2006/relationships/hyperlink" Target="https://github.com/jiaxi-wu/MPSR" TargetMode="External" Id="rId12" /><Relationship Type="http://schemas.openxmlformats.org/officeDocument/2006/relationships/hyperlink" Target="https://arxiv.org/abs/1909.13032" TargetMode="External" Id="rId13" /><Relationship Type="http://schemas.openxmlformats.org/officeDocument/2006/relationships/hyperlink" Target="https://github.com/yanxp/MetaR-CNN" TargetMode="External" Id="rId14" /><Relationship Type="http://schemas.openxmlformats.org/officeDocument/2006/relationships/hyperlink" Target="https://arxiv.org/abs/1812.01866" TargetMode="External" Id="rId15" /><Relationship Type="http://schemas.openxmlformats.org/officeDocument/2006/relationships/hyperlink" Target="https://github.com/bingykang/Fewshot_Detection" TargetMode="External" Id="rId16" /><Relationship Type="http://schemas.openxmlformats.org/officeDocument/2006/relationships/hyperlink" Target="https://arxiv.org/abs/2203.15021" TargetMode="External" Id="rId17" /><Relationship Type="http://schemas.openxmlformats.org/officeDocument/2006/relationships/hyperlink" Target="https://arxiv.org/abs/2203.15021" TargetMode="External" Id="rId18" /><Relationship Type="http://schemas.openxmlformats.org/officeDocument/2006/relationships/hyperlink" Target="https://arxiv.org/abs/2203.15021" TargetMode="External" Id="rId19" /><Relationship Type="http://schemas.openxmlformats.org/officeDocument/2006/relationships/hyperlink" Target="https://arxiv.org/abs/2203.15021" TargetMode="External" Id="rId20" /><Relationship Type="http://schemas.openxmlformats.org/officeDocument/2006/relationships/hyperlink" Target="https://arxiv.org/abs/2203.15021" TargetMode="External" Id="rId21" 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 /><Relationship Type="http://schemas.openxmlformats.org/officeDocument/2006/relationships/hyperlink" Target="https://github.com/er-muyue/DeFRCN" TargetMode="External" Id="rId2" /><Relationship Type="http://schemas.openxmlformats.org/officeDocument/2006/relationships/hyperlink" Target="https://arxiv.org/abs/2208.00219" TargetMode="External" Id="rId3" /><Relationship Type="http://schemas.openxmlformats.org/officeDocument/2006/relationships/hyperlink" Target="https://github.com/ZhangGongjie/Meta-DETR" TargetMode="External" Id="rId4" /><Relationship Type="http://schemas.openxmlformats.org/officeDocument/2006/relationships/hyperlink" Target="https://arxiv.org/abs/2106.04550" TargetMode="External" Id="rId5" /><Relationship Type="http://schemas.openxmlformats.org/officeDocument/2006/relationships/hyperlink" Target="https://github.com/amirbar/DETReg" TargetMode="External" Id="rId6" /><Relationship Type="http://schemas.openxmlformats.org/officeDocument/2006/relationships/hyperlink" Target="https://arxiv.org/abs/2103.05950" TargetMode="External" Id="rId7" /><Relationship Type="http://schemas.openxmlformats.org/officeDocument/2006/relationships/hyperlink" Target="https://github.com/megvii-research/FSCE" TargetMode="External" Id="rId8" /><Relationship Type="http://schemas.openxmlformats.org/officeDocument/2006/relationships/hyperlink" Target="https://arxiv.org/abs/2007.09384" TargetMode="External" Id="rId9" /><Relationship Type="http://schemas.openxmlformats.org/officeDocument/2006/relationships/hyperlink" Target="https://github.com/jiaxi-wu/MPSR" TargetMode="External" Id="rId10" /><Relationship Type="http://schemas.openxmlformats.org/officeDocument/2006/relationships/hyperlink" Target="https://arxiv.org/abs/2003.06957" TargetMode="External" Id="rId11" /><Relationship Type="http://schemas.openxmlformats.org/officeDocument/2006/relationships/hyperlink" Target="https://github.com/ucbdrive/few-shot-object-detection" TargetMode="External" Id="rId12" /><Relationship Type="http://schemas.openxmlformats.org/officeDocument/2006/relationships/hyperlink" Target="https://arxiv.org/abs/1909.13032" TargetMode="External" Id="rId13" /><Relationship Type="http://schemas.openxmlformats.org/officeDocument/2006/relationships/hyperlink" Target="https://github.com/yanxp/MetaR-CNN" TargetMode="External" Id="rId14" /><Relationship Type="http://schemas.openxmlformats.org/officeDocument/2006/relationships/hyperlink" Target="https://arxiv.org/abs/1812.01866" TargetMode="External" Id="rId15" /><Relationship Type="http://schemas.openxmlformats.org/officeDocument/2006/relationships/hyperlink" Target="https://github.com/bingykang/Fewshot_Detection" TargetMode="External" Id="rId16" /><Relationship Type="http://schemas.openxmlformats.org/officeDocument/2006/relationships/hyperlink" Target="https://arxiv.org/abs/2203.15021" TargetMode="External" Id="rId17" /><Relationship Type="http://schemas.openxmlformats.org/officeDocument/2006/relationships/hyperlink" Target="https://arxiv.org/abs/2203.15021" TargetMode="External" Id="rId18" /><Relationship Type="http://schemas.openxmlformats.org/officeDocument/2006/relationships/hyperlink" Target="https://arxiv.org/abs/2203.15021" TargetMode="External" Id="rId19" /><Relationship Type="http://schemas.openxmlformats.org/officeDocument/2006/relationships/hyperlink" Target="https://arxiv.org/abs/2203.15021" TargetMode="External" Id="rId20" /><Relationship Type="http://schemas.openxmlformats.org/officeDocument/2006/relationships/hyperlink" Target="https://arxiv.org/abs/2203.15021" TargetMode="External" Id="rId21" 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 /><Relationship Type="http://schemas.openxmlformats.org/officeDocument/2006/relationships/hyperlink" Target="https://github.com/ZhangGongjie/Meta-DETR" TargetMode="External" Id="rId2" /><Relationship Type="http://schemas.openxmlformats.org/officeDocument/2006/relationships/hyperlink" Target="https://arxiv.org/abs/2108.09017" TargetMode="External" Id="rId3" /><Relationship Type="http://schemas.openxmlformats.org/officeDocument/2006/relationships/hyperlink" Target="https://github.com/er-muyue/DeFRCN" TargetMode="External" Id="rId4" /><Relationship Type="http://schemas.openxmlformats.org/officeDocument/2006/relationships/hyperlink" Target="https://arxiv.org/abs/2106.04550" TargetMode="External" Id="rId5" /><Relationship Type="http://schemas.openxmlformats.org/officeDocument/2006/relationships/hyperlink" Target="https://github.com/amirbar/DETReg" TargetMode="External" Id="rId6" /><Relationship Type="http://schemas.openxmlformats.org/officeDocument/2006/relationships/hyperlink" Target="https://arxiv.org/abs/2103.05950" TargetMode="External" Id="rId7" /><Relationship Type="http://schemas.openxmlformats.org/officeDocument/2006/relationships/hyperlink" Target="https://github.com/megvii-research/FSCE" TargetMode="External" Id="rId8" /><Relationship Type="http://schemas.openxmlformats.org/officeDocument/2006/relationships/hyperlink" Target="https://arxiv.org/abs/2003.06957" TargetMode="External" Id="rId9" /><Relationship Type="http://schemas.openxmlformats.org/officeDocument/2006/relationships/hyperlink" Target="https://github.com/ucbdrive/few-shot-object-detection" TargetMode="External" Id="rId10" /><Relationship Type="http://schemas.openxmlformats.org/officeDocument/2006/relationships/hyperlink" Target="https://arxiv.org/abs/2007.09384" TargetMode="External" Id="rId11" /><Relationship Type="http://schemas.openxmlformats.org/officeDocument/2006/relationships/hyperlink" Target="https://github.com/jiaxi-wu/MPSR" TargetMode="External" Id="rId12" /><Relationship Type="http://schemas.openxmlformats.org/officeDocument/2006/relationships/hyperlink" Target="https://arxiv.org/abs/1909.13032" TargetMode="External" Id="rId13" /><Relationship Type="http://schemas.openxmlformats.org/officeDocument/2006/relationships/hyperlink" Target="https://github.com/yanxp/MetaR-CNN" TargetMode="External" Id="rId14" /><Relationship Type="http://schemas.openxmlformats.org/officeDocument/2006/relationships/hyperlink" Target="https://arxiv.org/abs/1812.01866" TargetMode="External" Id="rId15" /><Relationship Type="http://schemas.openxmlformats.org/officeDocument/2006/relationships/hyperlink" Target="https://github.com/bingykang/Fewshot_Detection" TargetMode="External" Id="rId16" /><Relationship Type="http://schemas.openxmlformats.org/officeDocument/2006/relationships/hyperlink" Target="https://arxiv.org/abs/2203.15021" TargetMode="External" Id="rId17" /><Relationship Type="http://schemas.openxmlformats.org/officeDocument/2006/relationships/hyperlink" Target="https://arxiv.org/abs/2203.15021" TargetMode="External" Id="rId18" /><Relationship Type="http://schemas.openxmlformats.org/officeDocument/2006/relationships/hyperlink" Target="https://arxiv.org/abs/2203.15021" TargetMode="External" Id="rId19" /><Relationship Type="http://schemas.openxmlformats.org/officeDocument/2006/relationships/hyperlink" Target="https://arxiv.org/abs/2203.15021" TargetMode="External" Id="rId20" /><Relationship Type="http://schemas.openxmlformats.org/officeDocument/2006/relationships/hyperlink" Target="https://arxiv.org/abs/2203.15021" TargetMode="External" Id="rId21" 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 /><Relationship Type="http://schemas.openxmlformats.org/officeDocument/2006/relationships/hyperlink" Target="https://github.com/IDEA-Research/Grounding-DINO-1.5-API" TargetMode="External" Id="rId2" /><Relationship Type="http://schemas.openxmlformats.org/officeDocument/2006/relationships/hyperlink" Target="https://github.com/IDEA-Research/GroundingDINO" TargetMode="External" Id="rId3" /><Relationship Type="http://schemas.openxmlformats.org/officeDocument/2006/relationships/hyperlink" Target="https://arxiv.org/abs/2411.14347" TargetMode="External" Id="rId4" /><Relationship Type="http://schemas.openxmlformats.org/officeDocument/2006/relationships/hyperlink" Target="https://github.com/microsoft/GLIP" TargetMode="External" Id="rId5" /><Relationship Type="http://schemas.openxmlformats.org/officeDocument/2006/relationships/hyperlink" Target="https://arxiv.org/abs/2405.10300" TargetMode="External" Id="rId6" /><Relationship Type="http://schemas.openxmlformats.org/officeDocument/2006/relationships/hyperlink" Target="https://github.com/google-research/scenic/tree/main/scenic/projects/owl_vit" TargetMode="External" Id="rId7" /><Relationship Type="http://schemas.openxmlformats.org/officeDocument/2006/relationships/hyperlink" Target="https://arxiv.org/abs/2303.11331" TargetMode="External" Id="rId8" /><Relationship Type="http://schemas.openxmlformats.org/officeDocument/2006/relationships/hyperlink" Target="https://github.com/IDEA-Research/DINO-X-API" TargetMode="External" Id="rId9" /><Relationship Type="http://schemas.openxmlformats.org/officeDocument/2006/relationships/hyperlink" Target="https://arxiv.org/abs/2306.09683" TargetMode="External" Id="rId10" /><Relationship Type="http://schemas.openxmlformats.org/officeDocument/2006/relationships/hyperlink" Target="https://github.com/AILab-CVC/YOLO-World" TargetMode="External" Id="rId11" /><Relationship Type="http://schemas.openxmlformats.org/officeDocument/2006/relationships/hyperlink" Target="https://github.com/microsoft/RegionCLIP" TargetMode="External" Id="rId12" /><Relationship Type="http://schemas.openxmlformats.org/officeDocument/2006/relationships/hyperlink" Target="https://arxiv.org/abs/2201.02605" TargetMode="External" Id="rId13" /><Relationship Type="http://schemas.openxmlformats.org/officeDocument/2006/relationships/hyperlink" Target="https://github.com/zhenyuw16/UniDetector" TargetMode="External" Id="rId14" /><Relationship Type="http://schemas.openxmlformats.org/officeDocument/2006/relationships/hyperlink" Target="https://arxiv.org/abs/2201.02605" TargetMode="External" Id="rId15" /><Relationship Type="http://schemas.openxmlformats.org/officeDocument/2006/relationships/hyperlink" Target="https://github.com/facebookresearch/Detic" TargetMode="External" Id="rId16" /><Relationship Type="http://schemas.openxmlformats.org/officeDocument/2006/relationships/hyperlink" Target="https://arxiv.org/abs/2401.17270" TargetMode="External" Id="rId17" /><Relationship Type="http://schemas.openxmlformats.org/officeDocument/2006/relationships/hyperlink" Target="https://github.com/baaivision/EVA" TargetMode="External" Id="rId18" /><Relationship Type="http://schemas.openxmlformats.org/officeDocument/2006/relationships/hyperlink" Target="https://arxiv.org/abs/2303.05499" TargetMode="External" Id="rId19" /><Relationship Type="http://schemas.openxmlformats.org/officeDocument/2006/relationships/hyperlink" Target="https://arxiv.org/abs/2112.09106" TargetMode="External" Id="rId20" /><Relationship Type="http://schemas.openxmlformats.org/officeDocument/2006/relationships/hyperlink" Target="https://arxiv.org/abs/2112.03857" TargetMode="External" Id="rId21" /><Relationship Type="http://schemas.openxmlformats.org/officeDocument/2006/relationships/hyperlink" Target="https://arxiv.org/abs/2303.11749" TargetMode="External" Id="rId22" 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 /><Relationship Type="http://schemas.openxmlformats.org/officeDocument/2006/relationships/hyperlink" Target="https://github.com/IDEA-Research/Grounding-DINO-1.5-API" TargetMode="External" Id="rId2" /><Relationship Type="http://schemas.openxmlformats.org/officeDocument/2006/relationships/hyperlink" Target="https://arxiv.org/abs/2303.05499" TargetMode="External" Id="rId3" /><Relationship Type="http://schemas.openxmlformats.org/officeDocument/2006/relationships/hyperlink" Target="https://github.com/IDEA-Research/GroundingDINO" TargetMode="External" Id="rId4" /><Relationship Type="http://schemas.openxmlformats.org/officeDocument/2006/relationships/hyperlink" Target="https://arxiv.org/abs/2112.03857" TargetMode="External" Id="rId5" /><Relationship Type="http://schemas.openxmlformats.org/officeDocument/2006/relationships/hyperlink" Target="https://github.com/microsoft/GLIP" TargetMode="External" Id="rId6" /><Relationship Type="http://schemas.openxmlformats.org/officeDocument/2006/relationships/hyperlink" Target="https://arxiv.org/abs/2206.05836" TargetMode="External" Id="rId7" /><Relationship Type="http://schemas.openxmlformats.org/officeDocument/2006/relationships/hyperlink" Target="https://github.com/microsoft/GLIP" TargetMode="External" Id="rId8" /><Relationship Type="http://schemas.openxmlformats.org/officeDocument/2006/relationships/hyperlink" Target="https://arxiv.org/abs/2205.06230" TargetMode="External" Id="rId9" /><Relationship Type="http://schemas.openxmlformats.org/officeDocument/2006/relationships/hyperlink" Target="https://github.com/google-research/scenic/tree/main/scenic/projects/owl_vit" TargetMode="External" Id="rId10" /><Relationship Type="http://schemas.openxmlformats.org/officeDocument/2006/relationships/hyperlink" Target="https://arxiv.org/abs/2306.09683" TargetMode="External" Id="rId11" /><Relationship Type="http://schemas.openxmlformats.org/officeDocument/2006/relationships/hyperlink" Target="https://github.com/google-research/scenic/tree/main/scenic/projects/owl_vit" TargetMode="External" Id="rId12" /><Relationship Type="http://schemas.openxmlformats.org/officeDocument/2006/relationships/hyperlink" Target="https://arxiv.org/abs/2303.11749" TargetMode="External" Id="rId13" /><Relationship Type="http://schemas.openxmlformats.org/officeDocument/2006/relationships/hyperlink" Target="https://github.com/zhenyuw16/UniDetector" TargetMode="External" Id="rId14" /><Relationship Type="http://schemas.openxmlformats.org/officeDocument/2006/relationships/hyperlink" Target="https://arxiv.org/abs/2312.02153" TargetMode="External" Id="rId15" /><Relationship Type="http://schemas.openxmlformats.org/officeDocument/2006/relationships/hyperlink" Target="https://arxiv.org/abs/2401.02361" TargetMode="External" Id="rId16" /><Relationship Type="http://schemas.openxmlformats.org/officeDocument/2006/relationships/hyperlink" Target="https://arxiv.org/abs/2312.02153" TargetMode="External" Id="rId17" 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 /><Relationship Type="http://schemas.openxmlformats.org/officeDocument/2006/relationships/hyperlink" Target="https://github.com/IDEA-Research/Grounding-DINO-1.5-API" TargetMode="External" Id="rId2" /><Relationship Type="http://schemas.openxmlformats.org/officeDocument/2006/relationships/hyperlink" Target="https://arxiv.org/abs/2303.05499" TargetMode="External" Id="rId3" /><Relationship Type="http://schemas.openxmlformats.org/officeDocument/2006/relationships/hyperlink" Target="https://github.com/IDEA-Research/GroundingDINO" TargetMode="External" Id="rId4" /><Relationship Type="http://schemas.openxmlformats.org/officeDocument/2006/relationships/hyperlink" Target="https://arxiv.org/abs/2112.03857" TargetMode="External" Id="rId5" /><Relationship Type="http://schemas.openxmlformats.org/officeDocument/2006/relationships/hyperlink" Target="https://github.com/microsoft/GLIP" TargetMode="External" Id="rId6" /><Relationship Type="http://schemas.openxmlformats.org/officeDocument/2006/relationships/hyperlink" Target="https://arxiv.org/abs/2303.11749" TargetMode="External" Id="rId7" /><Relationship Type="http://schemas.openxmlformats.org/officeDocument/2006/relationships/hyperlink" Target="https://github.com/zhenyuw16/UniDetector" TargetMode="External" Id="rId8" /><Relationship Type="http://schemas.openxmlformats.org/officeDocument/2006/relationships/hyperlink" Target="https://arxiv.org/abs/2312.02153" TargetMode="External" Id="rId9" /><Relationship Type="http://schemas.openxmlformats.org/officeDocument/2006/relationships/hyperlink" Target="https://arxiv.org/abs/2401.02361" TargetMode="External" Id="rId10" /><Relationship Type="http://schemas.openxmlformats.org/officeDocument/2006/relationships/hyperlink" Target="https://arxiv.org/abs/2312.02153" TargetMode="External" Id="rId11" /><Relationship Type="http://schemas.openxmlformats.org/officeDocument/2006/relationships/hyperlink" Target="https://arxiv.org/abs/2312.02153" TargetMode="External" Id="rId12" /><Relationship Type="http://schemas.openxmlformats.org/officeDocument/2006/relationships/hyperlink" Target="https://arxiv.org/abs/2312.02153" TargetMode="External" Id="rId13" /><Relationship Type="http://schemas.openxmlformats.org/officeDocument/2006/relationships/hyperlink" Target="https://arxiv.org/abs/2312.02153" TargetMode="External" Id="rId14" 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 /><Relationship Type="http://schemas.openxmlformats.org/officeDocument/2006/relationships/hyperlink" Target="https://arxiv.org/abs/2503.20061" TargetMode="External" Id="rId2" 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 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 /><Relationship Type="http://schemas.openxmlformats.org/officeDocument/2006/relationships/hyperlink" Target="https://arxiv.org/abs/2212.01424" TargetMode="External" Id="rId5" /><Relationship Type="http://schemas.openxmlformats.org/officeDocument/2006/relationships/hyperlink" Target="https://arxiv.org/abs/2212.01424" TargetMode="External" Id="rId6" /><Relationship Type="http://schemas.openxmlformats.org/officeDocument/2006/relationships/hyperlink" Target="https://arxiv.org/abs/2212.01424" TargetMode="External" Id="rId7" /><Relationship Type="http://schemas.openxmlformats.org/officeDocument/2006/relationships/hyperlink" Target="https://arxiv.org/abs/2212.01424" TargetMode="External" Id="rId8" /><Relationship Type="http://schemas.openxmlformats.org/officeDocument/2006/relationships/hyperlink" Target="https://arxiv.org/abs/2212.01424" TargetMode="External" Id="rId9" /><Relationship Type="http://schemas.openxmlformats.org/officeDocument/2006/relationships/hyperlink" Target="https://arxiv.org/abs/2212.01424" TargetMode="External" Id="rId10" 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 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 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 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 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 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 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 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 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 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 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 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 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 /><Relationship Type="http://schemas.openxmlformats.org/officeDocument/2006/relationships/hyperlink" Target="https://openaccess.thecvf.com/content/CVPR2025/html/Lazarow_Cubify_Anything_Scaling_Indoor_3D_Object_Detection_CVPR_2025_paper.html" TargetMode="External" Id="rId14" 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 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 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 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 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 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 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 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 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 /><Relationship Type="http://schemas.openxmlformats.org/officeDocument/2006/relationships/hyperlink" Target="https://openaccess.thecvf.com/content/CVPR2026/html/Lemeshko_Zoo3D_Zero-Shot_3D_Object_Detection_at_Scene_Level_CVPR_2026_paper.html" TargetMode="External" Id="rId24" 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 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 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 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 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 /><Relationship Type="http://schemas.openxmlformats.org/officeDocument/2006/relationships/hyperlink" Target="https://openaccess.thecvf.com/content/CVPR2026/html/Park_RARE_Learn_to_RAnk_and_REtrieve_for_Monocular_3D_Object_CVPR_2026_paper.html" TargetMode="External" Id="rId30" 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 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 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 /><Relationship Type="http://schemas.openxmlformats.org/officeDocument/2006/relationships/hyperlink" Target="https://openaccess.thecvf.com/content/WACV2026/html/Shrout_SFMNet_Sparse_Focal_Modulation_for_3D_Object_Detection_WACV_2026_paper.html" TargetMode="External" Id="rId34" 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 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 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 /><Relationship Type="http://schemas.openxmlformats.org/officeDocument/2006/relationships/hyperlink" Target="https://openaccess.thecvf.com/content/ICCV2025/html/Zhong_CVFusion_Cross-View_Fusion_of_4D_Radar_and_Camera_for_3D_ICCV_2025_paper.html" TargetMode="External" Id="rId38" /><Relationship Type="http://schemas.openxmlformats.org/officeDocument/2006/relationships/hyperlink" Target="https://openaccess.thecvf.com/content/CVPR2025/html/Liu_FSHNet_Fully_Sparse_Hybrid_Network_for_3D_Object_Detection_CVPR_2025_paper.html" TargetMode="External" Id="rId39" 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 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 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 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 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 /><Relationship Type="http://schemas.openxmlformats.org/officeDocument/2006/relationships/hyperlink" Target="https://openaccess.thecvf.com/content/CVPR2025/html/Sun_SET_Spectral_Enhancement_for_Tiny_Object_Detection_CVPR_2025_paper.html" TargetMode="External" Id="rId3" 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 /><Relationship Type="http://schemas.openxmlformats.org/officeDocument/2006/relationships/hyperlink" Target="https://arxiv.org/abs/2604.21435" TargetMode="External" Id="rId5" /><Relationship Type="http://schemas.openxmlformats.org/officeDocument/2006/relationships/hyperlink" Target="https://arxiv.org/abs/2308.09534" TargetMode="External" Id="rId6" /><Relationship Type="http://schemas.openxmlformats.org/officeDocument/2006/relationships/hyperlink" Target="https://arxiv.org/abs/2308.09534" TargetMode="External" Id="rId7" /><Relationship Type="http://schemas.openxmlformats.org/officeDocument/2006/relationships/hyperlink" Target="https://arxiv.org/abs/2308.09534" TargetMode="External" Id="rId8" /><Relationship Type="http://schemas.openxmlformats.org/officeDocument/2006/relationships/hyperlink" Target="https://arxiv.org/abs/2308.09534" TargetMode="External" Id="rId9" /><Relationship Type="http://schemas.openxmlformats.org/officeDocument/2006/relationships/hyperlink" Target="https://arxiv.org/abs/2308.09534" TargetMode="External" Id="rId10" /><Relationship Type="http://schemas.openxmlformats.org/officeDocument/2006/relationships/hyperlink" Target="https://arxiv.org/abs/2308.09534" TargetMode="External" Id="rId11" 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 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 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 /><Relationship Type="http://schemas.openxmlformats.org/officeDocument/2006/relationships/hyperlink" Target="https://arxiv.org/abs/2604.21502" TargetMode="External" Id="rId4" 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 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 /><Relationship Type="http://schemas.openxmlformats.org/officeDocument/2006/relationships/hyperlink" Target="https://openaccess.thecvf.com/content/CVPR2025/html/Li_Towards_RAW_Object_Detection_in_Diverse_Conditions_CVPR_2025_paper.html" TargetMode="External" Id="rId7" /><Relationship Type="http://schemas.openxmlformats.org/officeDocument/2006/relationships/hyperlink" Target="Dark-ISP" TargetMode="External" Id="rId8" 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 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 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 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 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 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 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 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 /><Relationship Type="http://schemas.openxmlformats.org/officeDocument/2006/relationships/hyperlink" Target="https://openaccess.thecvf.com/content/ICCV2025/html/Park_SFUOD_Source-Free_Unknown_Object_Detection_ICCV_2025_paper.html" TargetMode="External" Id="rId17" 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 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 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 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 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 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 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 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 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 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 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 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 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 /><Relationship Type="http://schemas.openxmlformats.org/officeDocument/2006/relationships/hyperlink" Target="https://arxiv.org/abs/2604.23344" TargetMode="External" Id="rId2" 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 /><Relationship Type="http://schemas.openxmlformats.org/officeDocument/2006/relationships/hyperlink" Target="https://openaccess.thecvf.com/content/WACV2026/html/Trehan_FSP-DETR_Few-Shot_Prototypical_Parasitic_Ova_Detection_WACV_2026_paper.html" TargetMode="External" Id="rId4" 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 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 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 /><Relationship Type="http://schemas.openxmlformats.org/officeDocument/2006/relationships/hyperlink" Target="https://openaccess.thecvf.com/content/ICCV2025/html/Wang_YOLOE_Real-Time_Seeing_Anything_ICCV_2025_paper.html" TargetMode="External" Id="rId8" 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 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 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 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 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 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 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 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 /><Relationship Type="http://schemas.openxmlformats.org/officeDocument/2006/relationships/hyperlink" Target="https://arxiv.org/abs/2303.09030" TargetMode="External" Id="rId7" /><Relationship Type="http://schemas.openxmlformats.org/officeDocument/2006/relationships/hyperlink" Target="https://arxiv.org/abs/2303.09030" TargetMode="External" Id="rId8" /><Relationship Type="http://schemas.openxmlformats.org/officeDocument/2006/relationships/hyperlink" Target="https://arxiv.org/abs/2303.09030" TargetMode="External" Id="rId9" /><Relationship Type="http://schemas.openxmlformats.org/officeDocument/2006/relationships/hyperlink" Target="https://arxiv.org/abs/2303.09030" TargetMode="External" Id="rId10" /><Relationship Type="http://schemas.openxmlformats.org/officeDocument/2006/relationships/hyperlink" Target="https://arxiv.org/abs/2303.09030" TargetMode="External" Id="rId11" /><Relationship Type="http://schemas.openxmlformats.org/officeDocument/2006/relationships/hyperlink" Target="https://arxiv.org/abs/2303.09030" TargetMode="External" Id="rId12" 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 /><Relationship Type="http://schemas.openxmlformats.org/officeDocument/2006/relationships/hyperlink" Target="https://openaccess.thecvf.com/content/CVPR2026/html/Fu_WeDetect_Fast_Open-Vocabulary_Object_Detection_as_Retrieval_CVPR_2026_paper.html" TargetMode="External" Id="rId2" 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 /><Relationship Type="http://schemas.openxmlformats.org/officeDocument/2006/relationships/hyperlink" Target="https://arxiv.org/abs/2303.06674" TargetMode="External" Id="rId4" /><Relationship Type="http://schemas.openxmlformats.org/officeDocument/2006/relationships/hyperlink" Target="https://arxiv.org/abs/2303.06674" TargetMode="External" Id="rId5" /><Relationship Type="http://schemas.openxmlformats.org/officeDocument/2006/relationships/hyperlink" Target="https://arxiv.org/abs/2303.06674" TargetMode="External" Id="rId6" /><Relationship Type="http://schemas.openxmlformats.org/officeDocument/2006/relationships/hyperlink" Target="https://arxiv.org/abs/2303.06674" TargetMode="External" Id="rId7" /><Relationship Type="http://schemas.openxmlformats.org/officeDocument/2006/relationships/hyperlink" Target="https://arxiv.org/abs/2303.06674" TargetMode="External" Id="rId8" /><Relationship Type="http://schemas.openxmlformats.org/officeDocument/2006/relationships/hyperlink" Target="https://arxiv.org/abs/2303.06674" TargetMode="External" Id="rId9" /><Relationship Type="http://schemas.openxmlformats.org/officeDocument/2006/relationships/hyperlink" Target="https://arxiv.org/abs/2303.06674" TargetMode="External" Id="rId10" /><Relationship Type="http://schemas.openxmlformats.org/officeDocument/2006/relationships/hyperlink" Target="https://arxiv.org/abs/2303.06674" TargetMode="External" Id="rId11" 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 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 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 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 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 /><Relationship Type="http://schemas.openxmlformats.org/officeDocument/2006/relationships/hyperlink" Target="https://arxiv.org/abs/2103.08860" TargetMode="External" Id="rId6" /><Relationship Type="http://schemas.openxmlformats.org/officeDocument/2006/relationships/hyperlink" Target="https://arxiv.org/abs/2202.01811" TargetMode="External" Id="rId7" /><Relationship Type="http://schemas.openxmlformats.org/officeDocument/2006/relationships/hyperlink" Target="https://arxiv.org/abs/2112.04532" TargetMode="External" Id="rId8" /><Relationship Type="http://schemas.openxmlformats.org/officeDocument/2006/relationships/hyperlink" Target="https://arxiv.org/abs/2207.01795" TargetMode="External" Id="rId9" /><Relationship Type="http://schemas.openxmlformats.org/officeDocument/2006/relationships/hyperlink" Target="https://arxiv.org/abs/2102.02956" TargetMode="External" Id="rId10" 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 /><Relationship Type="http://schemas.openxmlformats.org/officeDocument/2006/relationships/hyperlink" Target="https://openaccess.thecvf.com/content/CVPR2025/html/Liu_Language-Guided_Salient_Object_Ranking_CVPR_2025_paper.html" TargetMode="External" Id="rId2" /><Relationship Type="http://schemas.openxmlformats.org/officeDocument/2006/relationships/hyperlink" Target="https://arxiv.org/abs/2205.15469" TargetMode="External" Id="rId3" /><Relationship Type="http://schemas.openxmlformats.org/officeDocument/2006/relationships/hyperlink" Target="https://arxiv.org/abs/2205.15469" TargetMode="External" Id="rId4" /><Relationship Type="http://schemas.openxmlformats.org/officeDocument/2006/relationships/hyperlink" Target="https://arxiv.org/abs/2205.15469" TargetMode="External" Id="rId5" /><Relationship Type="http://schemas.openxmlformats.org/officeDocument/2006/relationships/hyperlink" Target="https://arxiv.org/abs/2205.15469" TargetMode="External" Id="rId6" /><Relationship Type="http://schemas.openxmlformats.org/officeDocument/2006/relationships/hyperlink" Target="https://arxiv.org/abs/2205.15469" TargetMode="External" Id="rId7" /><Relationship Type="http://schemas.openxmlformats.org/officeDocument/2006/relationships/hyperlink" Target="https://arxiv.org/abs/2205.15469" TargetMode="External" Id="rId8" /><Relationship Type="http://schemas.openxmlformats.org/officeDocument/2006/relationships/hyperlink" Target="https://arxiv.org/abs/2205.15469" TargetMode="External" Id="rId9" /><Relationship Type="http://schemas.openxmlformats.org/officeDocument/2006/relationships/hyperlink" Target="https://arxiv.org/abs/2205.15469" TargetMode="External" Id="rId10" /><Relationship Type="http://schemas.openxmlformats.org/officeDocument/2006/relationships/hyperlink" Target="https://arxiv.org/abs/2205.15469" TargetMode="External" Id="rId11" 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 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 /><Relationship Type="http://schemas.openxmlformats.org/officeDocument/2006/relationships/hyperlink" Target="https://arxiv.org/abs/2402.03094" TargetMode="External" Id="rId3" /><Relationship Type="http://schemas.openxmlformats.org/officeDocument/2006/relationships/hyperlink" Target="https://arxiv.org/abs/2402.03094" TargetMode="External" Id="rId4" /><Relationship Type="http://schemas.openxmlformats.org/officeDocument/2006/relationships/hyperlink" Target="https://arxiv.org/abs/2402.03094" TargetMode="External" Id="rId5" /><Relationship Type="http://schemas.openxmlformats.org/officeDocument/2006/relationships/hyperlink" Target="https://arxiv.org/abs/2402.03094" TargetMode="External" Id="rId6" /><Relationship Type="http://schemas.openxmlformats.org/officeDocument/2006/relationships/hyperlink" Target="https://arxiv.org/abs/2402.03094" TargetMode="External" Id="rId7" /><Relationship Type="http://schemas.openxmlformats.org/officeDocument/2006/relationships/hyperlink" Target="https://arxiv.org/abs/2402.03094" TargetMode="External" Id="rId8" /><Relationship Type="http://schemas.openxmlformats.org/officeDocument/2006/relationships/hyperlink" Target="https://arxiv.org/abs/2402.03094" TargetMode="External" Id="rId9" /><Relationship Type="http://schemas.openxmlformats.org/officeDocument/2006/relationships/hyperlink" Target="https://arxiv.org/abs/2402.03094" TargetMode="External" Id="rId10" /><Relationship Type="http://schemas.openxmlformats.org/officeDocument/2006/relationships/hyperlink" Target="https://arxiv.org/abs/2402.03094" TargetMode="External" Id="rId11" 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 /><Relationship Type="http://schemas.openxmlformats.org/officeDocument/2006/relationships/hyperlink" Target="https://arxiv.org/abs/2212.05598" TargetMode="External" Id="rId2" /><Relationship Type="http://schemas.openxmlformats.org/officeDocument/2006/relationships/hyperlink" Target="https://arxiv.org/abs/2212.05598" TargetMode="External" Id="rId3" /><Relationship Type="http://schemas.openxmlformats.org/officeDocument/2006/relationships/hyperlink" Target="https://arxiv.org/abs/2212.05598" TargetMode="External" Id="rId4" /><Relationship Type="http://schemas.openxmlformats.org/officeDocument/2006/relationships/hyperlink" Target="https://arxiv.org/abs/2212.05598" TargetMode="External" Id="rId5" /><Relationship Type="http://schemas.openxmlformats.org/officeDocument/2006/relationships/hyperlink" Target="https://arxiv.org/abs/2212.05598" TargetMode="External" Id="rId6" /><Relationship Type="http://schemas.openxmlformats.org/officeDocument/2006/relationships/hyperlink" Target="https://arxiv.org/abs/2212.05598" TargetMode="External" Id="rId7" /><Relationship Type="http://schemas.openxmlformats.org/officeDocument/2006/relationships/hyperlink" Target="https://arxiv.org/abs/2212.05598" TargetMode="External" Id="rId8" /><Relationship Type="http://schemas.openxmlformats.org/officeDocument/2006/relationships/hyperlink" Target="https://arxiv.org/abs/2212.05598" TargetMode="External" Id="rId9" /><Relationship Type="http://schemas.openxmlformats.org/officeDocument/2006/relationships/hyperlink" Target="https://arxiv.org/abs/2212.05598" TargetMode="External" Id="rId10" 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 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 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 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 /><Relationship Type="http://schemas.openxmlformats.org/officeDocument/2006/relationships/hyperlink" Target="https://openaccess.thecvf.com/content/WACV2026/html/Denk_SeaClips_A_Video_Dataset_for_Maritime_Object_Detection._WACV_2026_paper.html" TargetMode="External" Id="rId5" /><Relationship Type="http://schemas.openxmlformats.org/officeDocument/2006/relationships/hyperlink" Target="https://arxiv.org/abs/2308.07504" TargetMode="External" Id="rId6" /><Relationship Type="http://schemas.openxmlformats.org/officeDocument/2006/relationships/hyperlink" Target="https://arxiv.org/abs/2308.07504" TargetMode="External" Id="rId7" /><Relationship Type="http://schemas.openxmlformats.org/officeDocument/2006/relationships/hyperlink" Target="https://arxiv.org/abs/2308.07504" TargetMode="External" Id="rId8" /><Relationship Type="http://schemas.openxmlformats.org/officeDocument/2006/relationships/hyperlink" Target="https://arxiv.org/abs/2308.07504" TargetMode="External" Id="rId9" /><Relationship Type="http://schemas.openxmlformats.org/officeDocument/2006/relationships/hyperlink" Target="https://arxiv.org/abs/2308.07504" TargetMode="External" Id="rId10" /><Relationship Type="http://schemas.openxmlformats.org/officeDocument/2006/relationships/hyperlink" Target="https://arxiv.org/abs/2308.07504" TargetMode="External" Id="rId11" 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 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 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 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 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 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 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 /><Relationship Type="http://schemas.openxmlformats.org/officeDocument/2006/relationships/hyperlink" Target="https://arxiv.org/abs/2303.14816" TargetMode="External" Id="rId8" /><Relationship Type="http://schemas.openxmlformats.org/officeDocument/2006/relationships/hyperlink" Target="https://arxiv.org/abs/2303.14816" TargetMode="External" Id="rId9" /><Relationship Type="http://schemas.openxmlformats.org/officeDocument/2006/relationships/hyperlink" Target="https://arxiv.org/abs/2303.14816" TargetMode="External" Id="rId10" /><Relationship Type="http://schemas.openxmlformats.org/officeDocument/2006/relationships/hyperlink" Target="https://arxiv.org/abs/2303.14816" TargetMode="External" Id="rId11" /><Relationship Type="http://schemas.openxmlformats.org/officeDocument/2006/relationships/hyperlink" Target="https://arxiv.org/abs/2303.14816" TargetMode="External" Id="rId12" 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 /><Relationship Type="http://schemas.openxmlformats.org/officeDocument/2006/relationships/hyperlink" Target="https://arxiv.org/abs/2307.12730" TargetMode="External" Id="rId2" /><Relationship Type="http://schemas.openxmlformats.org/officeDocument/2006/relationships/hyperlink" Target="https://arxiv.org/abs/2307.12730" TargetMode="External" Id="rId3" /><Relationship Type="http://schemas.openxmlformats.org/officeDocument/2006/relationships/hyperlink" Target="https://arxiv.org/abs/2307.12730" TargetMode="External" Id="rId4" /><Relationship Type="http://schemas.openxmlformats.org/officeDocument/2006/relationships/hyperlink" Target="https://arxiv.org/abs/2307.12730" TargetMode="External" Id="rId5" /><Relationship Type="http://schemas.openxmlformats.org/officeDocument/2006/relationships/hyperlink" Target="https://arxiv.org/abs/2307.12730" TargetMode="External" Id="rId6" /><Relationship Type="http://schemas.openxmlformats.org/officeDocument/2006/relationships/hyperlink" Target="https://arxiv.org/abs/2307.12730" TargetMode="External" Id="rId7" /><Relationship Type="http://schemas.openxmlformats.org/officeDocument/2006/relationships/hyperlink" Target="https://arxiv.org/abs/2307.12730" TargetMode="External" Id="rId8" /><Relationship Type="http://schemas.openxmlformats.org/officeDocument/2006/relationships/hyperlink" Target="https://arxiv.org/abs/2307.12730" TargetMode="External" Id="rId9" /><Relationship Type="http://schemas.openxmlformats.org/officeDocument/2006/relationships/hyperlink" Target="https://arxiv.org/abs/2307.12730" TargetMode="External" Id="rId10" /><Relationship Type="http://schemas.openxmlformats.org/officeDocument/2006/relationships/hyperlink" Target="https://arxiv.org/abs/2307.12730" TargetMode="External" Id="rId11" /><Relationship Type="http://schemas.openxmlformats.org/officeDocument/2006/relationships/hyperlink" Target="https://arxiv.org/abs/2307.12730" TargetMode="External" Id="rId12" /><Relationship Type="http://schemas.openxmlformats.org/officeDocument/2006/relationships/hyperlink" Target="https://arxiv.org/abs/2307.12730" TargetMode="External" Id="rId13" /><Relationship Type="http://schemas.openxmlformats.org/officeDocument/2006/relationships/hyperlink" Target="https://arxiv.org/abs/2307.12730" TargetMode="External" Id="rId14" /><Relationship Type="http://schemas.openxmlformats.org/officeDocument/2006/relationships/hyperlink" Target="https://arxiv.org/abs/2307.12730" TargetMode="External" Id="rId15" /><Relationship Type="http://schemas.openxmlformats.org/officeDocument/2006/relationships/hyperlink" Target="https://arxiv.org/abs/2307.12730" TargetMode="External" Id="rId16" /><Relationship Type="http://schemas.openxmlformats.org/officeDocument/2006/relationships/hyperlink" Target="https://arxiv.org/abs/2307.12730" TargetMode="External" Id="rId17" /><Relationship Type="http://schemas.openxmlformats.org/officeDocument/2006/relationships/hyperlink" Target="https://arxiv.org/abs/2307.12730" TargetMode="External" Id="rId18" /><Relationship Type="http://schemas.openxmlformats.org/officeDocument/2006/relationships/hyperlink" Target="https://arxiv.org/abs/2307.12730" TargetMode="External" Id="rId19" /><Relationship Type="http://schemas.openxmlformats.org/officeDocument/2006/relationships/hyperlink" Target="https://arxiv.org/abs/2307.12730" TargetMode="External" Id="rId20" /><Relationship Type="http://schemas.openxmlformats.org/officeDocument/2006/relationships/hyperlink" Target="https://arxiv.org/abs/2307.12730" TargetMode="External" Id="rId21" /><Relationship Type="http://schemas.openxmlformats.org/officeDocument/2006/relationships/hyperlink" Target="https://arxiv.org/abs/2307.12730" TargetMode="External" Id="rId22" /><Relationship Type="http://schemas.openxmlformats.org/officeDocument/2006/relationships/hyperlink" Target="https://arxiv.org/abs/2307.12730" TargetMode="External" Id="rId23" /><Relationship Type="http://schemas.openxmlformats.org/officeDocument/2006/relationships/hyperlink" Target="https://arxiv.org/abs/2307.12730" TargetMode="External" Id="rId24" /><Relationship Type="http://schemas.openxmlformats.org/officeDocument/2006/relationships/hyperlink" Target="https://arxiv.org/abs/2307.12730" TargetMode="External" Id="rId25" /><Relationship Type="http://schemas.openxmlformats.org/officeDocument/2006/relationships/hyperlink" Target="https://arxiv.org/abs/2307.12730" TargetMode="External" Id="rId26" /><Relationship Type="http://schemas.openxmlformats.org/officeDocument/2006/relationships/hyperlink" Target="https://arxiv.org/abs/2307.12730" TargetMode="External" Id="rId27" /><Relationship Type="http://schemas.openxmlformats.org/officeDocument/2006/relationships/hyperlink" Target="https://arxiv.org/abs/2307.12730" TargetMode="External" Id="rId28" /><Relationship Type="http://schemas.openxmlformats.org/officeDocument/2006/relationships/hyperlink" Target="https://arxiv.org/abs/2307.12730" TargetMode="External" Id="rId29" /><Relationship Type="http://schemas.openxmlformats.org/officeDocument/2006/relationships/hyperlink" Target="https://arxiv.org/abs/2307.12730" TargetMode="External" Id="rId30" /><Relationship Type="http://schemas.openxmlformats.org/officeDocument/2006/relationships/hyperlink" Target="https://arxiv.org/abs/2307.12730" TargetMode="External" Id="rId31" /><Relationship Type="http://schemas.openxmlformats.org/officeDocument/2006/relationships/hyperlink" Target="https://arxiv.org/abs/2307.12730" TargetMode="External" Id="rId32" /><Relationship Type="http://schemas.openxmlformats.org/officeDocument/2006/relationships/hyperlink" Target="https://arxiv.org/abs/2307.12730" TargetMode="External" Id="rId33" /><Relationship Type="http://schemas.openxmlformats.org/officeDocument/2006/relationships/hyperlink" Target="https://arxiv.org/abs/2307.12730" TargetMode="External" Id="rId34" /><Relationship Type="http://schemas.openxmlformats.org/officeDocument/2006/relationships/hyperlink" Target="https://arxiv.org/abs/2307.12730" TargetMode="External" Id="rId35" /><Relationship Type="http://schemas.openxmlformats.org/officeDocument/2006/relationships/hyperlink" Target="https://arxiv.org/abs/2307.12730" TargetMode="External" Id="rId36" /><Relationship Type="http://schemas.openxmlformats.org/officeDocument/2006/relationships/hyperlink" Target="https://arxiv.org/abs/2307.12730" TargetMode="External" Id="rId37" /><Relationship Type="http://schemas.openxmlformats.org/officeDocument/2006/relationships/hyperlink" Target="https://arxiv.org/abs/2307.12730" TargetMode="External" Id="rId38" /><Relationship Type="http://schemas.openxmlformats.org/officeDocument/2006/relationships/hyperlink" Target="https://arxiv.org/abs/2307.12730" TargetMode="External" Id="rId39" /><Relationship Type="http://schemas.openxmlformats.org/officeDocument/2006/relationships/hyperlink" Target="https://arxiv.org/abs/2307.12730" TargetMode="External" Id="rId40" /><Relationship Type="http://schemas.openxmlformats.org/officeDocument/2006/relationships/hyperlink" Target="https://arxiv.org/abs/2307.12730" TargetMode="External" Id="rId41" /><Relationship Type="http://schemas.openxmlformats.org/officeDocument/2006/relationships/hyperlink" Target="https://arxiv.org/abs/2307.12730" TargetMode="External" Id="rId42" /><Relationship Type="http://schemas.openxmlformats.org/officeDocument/2006/relationships/hyperlink" Target="https://arxiv.org/abs/2307.12730" TargetMode="External" Id="rId43" /><Relationship Type="http://schemas.openxmlformats.org/officeDocument/2006/relationships/hyperlink" Target="https://arxiv.org/abs/2307.12730" TargetMode="External" Id="rId44" /><Relationship Type="http://schemas.openxmlformats.org/officeDocument/2006/relationships/hyperlink" Target="https://arxiv.org/abs/2307.12730" TargetMode="External" Id="rId45" /><Relationship Type="http://schemas.openxmlformats.org/officeDocument/2006/relationships/hyperlink" Target="https://arxiv.org/abs/2307.12730" TargetMode="External" Id="rId46" /><Relationship Type="http://schemas.openxmlformats.org/officeDocument/2006/relationships/hyperlink" Target="https://arxiv.org/abs/2307.12730" TargetMode="External" Id="rId47" /><Relationship Type="http://schemas.openxmlformats.org/officeDocument/2006/relationships/hyperlink" Target="https://arxiv.org/abs/2307.12730" TargetMode="External" Id="rId48" /><Relationship Type="http://schemas.openxmlformats.org/officeDocument/2006/relationships/hyperlink" Target="https://arxiv.org/abs/2307.12730" TargetMode="External" Id="rId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  <row r="305">
      <c r="A305" s="2" t="inlineStr">
        <is>
          <t>Few-Shot OD</t>
        </is>
      </c>
      <c r="B305" s="2" t="inlineStr">
        <is>
          <t>GiPL: Generative augmented iterative Pseudo-Labeling for Cross-Domain Few-Shot Object Dete</t>
        </is>
      </c>
      <c r="C305" s="2" t="inlineStr">
        <is>
          <t>Jiacong Liu, Shu Luo, Yikai Qin, Yaze Zhao, Yongwei Jiang, Yixiong Zou</t>
        </is>
      </c>
      <c r="D305" s="2" t="inlineStr">
        <is>
          <t>arXiv</t>
        </is>
      </c>
      <c r="E305" s="2" t="inlineStr">
        <is>
          <t>2026-05</t>
        </is>
      </c>
      <c r="F305" s="2" t="inlineStr">
        <is>
          <t>Auto-fetched from arXiv; metrics To verify</t>
        </is>
      </c>
      <c r="G305" s="9" t="inlineStr">
        <is>
          <t>https://arxiv.org/abs/2605.29539</t>
        </is>
      </c>
      <c r="H305" s="9" t="n"/>
    </row>
    <row r="306">
      <c r="A306" t="inlineStr">
        <is>
          <t>Thermal-Multispectral OD</t>
        </is>
      </c>
      <c r="B306" t="inlineStr">
        <is>
          <t>IRDFusion</t>
        </is>
      </c>
      <c r="C306" t="inlineStr">
        <is>
          <t>Jifeng Shen, Haibo Zhan, Xin Zuo, Heng Fan, Xiaohui Yuan, Jun Li, Wankou Yang</t>
        </is>
      </c>
      <c r="D306" t="inlineStr">
        <is>
          <t>Pattern Recognition 2025 (arXiv 2509.09085)</t>
        </is>
      </c>
      <c r="E306" t="inlineStr">
        <is>
          <t>2025-09</t>
        </is>
      </c>
      <c r="F306" t="inlineStr">
        <is>
          <t>✅ verified — FLIR mAP50=88.3 / LLVIP mAP50=98.4 / M3FD mAP50=90.8 (Co-DETR, from GitHub README). Iterative relation-map difference guided feature fusion for multispectral OD.</t>
        </is>
      </c>
      <c r="G306" t="inlineStr">
        <is>
          <t>https://arxiv.org/abs/2509.09085</t>
        </is>
      </c>
      <c r="H306" t="inlineStr">
        <is>
          <t>https://github.com/61s61min/IRDFusion</t>
        </is>
      </c>
    </row>
    <row r="307">
      <c r="A307" t="inlineStr">
        <is>
          <t>Thermal-Multispectral OD</t>
        </is>
      </c>
      <c r="B307" t="inlineStr">
        <is>
          <t>CFMW</t>
        </is>
      </c>
      <c r="C307" t="inlineStr">
        <is>
          <t>Haoyu Lan, et al.</t>
        </is>
      </c>
      <c r="D307" t="inlineStr">
        <is>
          <t>IEEE TCSVT July 2025 (arXiv 2404.16302)</t>
        </is>
      </c>
      <c r="E307" t="inlineStr">
        <is>
          <t>2025-07</t>
        </is>
      </c>
      <c r="F307" t="inlineStr">
        <is>
          <t>⏳ Pending — metrics not verified from official source. Cross-modality Fusion Mamba for robust multispectral OD under adverse weather; LLVIP + M3FD + new SWVI dataset.</t>
        </is>
      </c>
      <c r="G307" t="inlineStr">
        <is>
          <t>https://arxiv.org/abs/2404.16302</t>
        </is>
      </c>
      <c r="H307" t="inlineStr">
        <is>
          <t>https://github.com/lhy-zju/CFMW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DO Val'!A1","Argoverse-HD DO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Detection-Only Val split</t>
        </is>
      </c>
    </row>
    <row r="13" ht="32.1" customHeight="1">
      <c r="A13" s="4" t="inlineStr">
        <is>
          <t>RGB Salient OD</t>
        </is>
      </c>
      <c r="B13" s="7">
        <f>HYPERLINK("#'DUTS-TE'!A1","DUTS-TE")</f>
        <v/>
      </c>
      <c r="C13" s="4" t="inlineStr">
        <is>
          <t>S-measure / Fβ / E-measure / MAE</t>
        </is>
      </c>
      <c r="D13" s="4" t="n"/>
      <c r="E13" s="4" t="inlineStr">
        <is>
          <t>S/E/F higher better; MAE lower better</t>
        </is>
      </c>
    </row>
    <row r="14" ht="32.1" customHeight="1">
      <c r="A14" s="4" t="inlineStr">
        <is>
          <t>RGB Salient OD</t>
        </is>
      </c>
      <c r="B14" s="7">
        <f>HYPERLINK("#'DUT-OMRON'!A1","DUT-OMRON")</f>
        <v/>
      </c>
      <c r="C14" s="4" t="inlineStr">
        <is>
          <t>S / Fβ / E / MAE</t>
        </is>
      </c>
      <c r="D14" s="4" t="n"/>
      <c r="E14" s="4" t="inlineStr">
        <is>
          <t>Same metric set as DUTS-TE</t>
        </is>
      </c>
    </row>
    <row r="15" ht="32.1" customHeight="1">
      <c r="A15" s="4" t="inlineStr">
        <is>
          <t>RGB Salient OD</t>
        </is>
      </c>
      <c r="B15" s="7">
        <f>HYPERLINK("#'ECSSD'!A1","ECSSD")</f>
        <v/>
      </c>
      <c r="C15" s="4" t="inlineStr">
        <is>
          <t>S / Fβ / E / MAE</t>
        </is>
      </c>
      <c r="D15" s="4" t="n"/>
      <c r="E15" s="4" t="n"/>
    </row>
    <row r="16" ht="32.1" customHeight="1">
      <c r="A16" s="4" t="inlineStr">
        <is>
          <t>RGB Salient OD</t>
        </is>
      </c>
      <c r="B16" s="7">
        <f>HYPERLINK("#'HKU-IS'!A1","HKU-IS")</f>
        <v/>
      </c>
      <c r="C16" s="4" t="inlineStr">
        <is>
          <t>S / Fβ / E / MAE</t>
        </is>
      </c>
      <c r="D16" s="4" t="n"/>
      <c r="E16" s="4" t="n"/>
    </row>
    <row r="17" ht="32.1" customHeight="1">
      <c r="A17" s="4" t="inlineStr">
        <is>
          <t>RGB Salient OD</t>
        </is>
      </c>
      <c r="B17" s="7">
        <f>HYPERLINK("#'PASCAL-S'!A1","PASCAL-S")</f>
        <v/>
      </c>
      <c r="C17" s="4" t="inlineStr">
        <is>
          <t>S / Fβ / E / MAE</t>
        </is>
      </c>
      <c r="D17" s="4" t="n"/>
      <c r="E17" s="4" t="n"/>
    </row>
    <row r="18" ht="32.1" customHeight="1">
      <c r="A18" s="4" t="inlineStr">
        <is>
          <t>RGB Salient OD</t>
        </is>
      </c>
      <c r="B18" s="7">
        <f>HYPERLINK("#'HRSOD'!A1","HRSOD")</f>
        <v/>
      </c>
      <c r="C18" s="4" t="inlineStr">
        <is>
          <t>S / Fβ / E / MAE</t>
        </is>
      </c>
      <c r="D18" s="4" t="n"/>
      <c r="E18" s="4" t="inlineStr">
        <is>
          <t>High-resolution SOD</t>
        </is>
      </c>
    </row>
    <row r="19" ht="32.1" customHeight="1">
      <c r="A19" s="4" t="inlineStr">
        <is>
          <t>RGB Salient OD</t>
        </is>
      </c>
      <c r="B19" s="7">
        <f>HYPERLINK("#'DAVIS-S'!A1","DAVIS-S")</f>
        <v/>
      </c>
      <c r="C19" s="4" t="inlineStr">
        <is>
          <t>S / Fβ / E / MAE</t>
        </is>
      </c>
      <c r="D19" s="4" t="n"/>
      <c r="E19" s="4" t="inlineStr">
        <is>
          <t>Sequence-derived SOD</t>
        </is>
      </c>
    </row>
    <row r="20" ht="32.1" customHeight="1">
      <c r="A20" s="4" t="inlineStr">
        <is>
          <t>RGB Salient OD</t>
        </is>
      </c>
      <c r="B20" s="7">
        <f>HYPERLINK("#'UHRSD'!A1","UHRSD")</f>
        <v/>
      </c>
      <c r="C20" s="4" t="inlineStr">
        <is>
          <t>S / Fβ / E / MAE</t>
        </is>
      </c>
      <c r="D20" s="4" t="n"/>
      <c r="E20" s="4" t="inlineStr">
        <is>
          <t>Ultra-high-res SOD</t>
        </is>
      </c>
    </row>
    <row r="21" ht="32.1" customHeight="1">
      <c r="A21" s="5" t="inlineStr">
        <is>
          <t>Few-Shot OD</t>
        </is>
      </c>
      <c r="B21" s="8">
        <f>HYPERLINK("#'MS-COCO 1-shot'!A1","MS-COCO 1-shot")</f>
        <v/>
      </c>
      <c r="C21" s="5" t="inlineStr">
        <is>
          <t>novel AP</t>
        </is>
      </c>
      <c r="D21" s="5" t="inlineStr">
        <is>
          <t>AP50</t>
        </is>
      </c>
      <c r="E21" s="5" t="inlineStr">
        <is>
          <t>1-shot setting must not mix with other shots</t>
        </is>
      </c>
    </row>
    <row r="22" ht="32.1" customHeight="1">
      <c r="A22" s="5" t="inlineStr">
        <is>
          <t>Few-Shot OD</t>
        </is>
      </c>
      <c r="B22" s="8">
        <f>HYPERLINK("#'MS-COCO 5-shot'!A1","MS-COCO 5-shot")</f>
        <v/>
      </c>
      <c r="C22" s="5" t="inlineStr">
        <is>
          <t>novel AP</t>
        </is>
      </c>
      <c r="D22" s="5" t="inlineStr">
        <is>
          <t>AP50</t>
        </is>
      </c>
      <c r="E22" s="5" t="inlineStr">
        <is>
          <t>5-shot setting must not mix with other shots</t>
        </is>
      </c>
    </row>
    <row r="23" ht="32.1" customHeight="1">
      <c r="A23" s="5" t="inlineStr">
        <is>
          <t>Few-Shot OD</t>
        </is>
      </c>
      <c r="B23" s="8">
        <f>HYPERLINK("#'MS-COCO 10-shot'!A1","MS-COCO 10-shot")</f>
        <v/>
      </c>
      <c r="C23" s="5" t="inlineStr">
        <is>
          <t>novel AP</t>
        </is>
      </c>
      <c r="D23" s="5" t="inlineStr">
        <is>
          <t>AP50</t>
        </is>
      </c>
      <c r="E23" s="5" t="inlineStr">
        <is>
          <t>10-shot setting must not mix with other shots</t>
        </is>
      </c>
    </row>
    <row r="24" ht="32.1" customHeight="1">
      <c r="A24" s="5" t="inlineStr">
        <is>
          <t>Few-Shot OD</t>
        </is>
      </c>
      <c r="B24" s="8">
        <f>HYPERLINK("#'MS-COCO 30-shot'!A1","MS-COCO 30-shot")</f>
        <v/>
      </c>
      <c r="C24" s="5" t="inlineStr">
        <is>
          <t>novel AP</t>
        </is>
      </c>
      <c r="D24" s="5" t="inlineStr">
        <is>
          <t>AP50</t>
        </is>
      </c>
      <c r="E24" s="5" t="inlineStr">
        <is>
          <t>30-shot setting must not mix with other shots</t>
        </is>
      </c>
    </row>
    <row r="25" ht="32.1" customHeight="1">
      <c r="A25" s="5" t="inlineStr">
        <is>
          <t>Few-Shot OD</t>
        </is>
      </c>
      <c r="B25" s="8">
        <f>HYPERLINK("#'COCO 2017 FSOD'!A1","COCO 2017 FSOD")</f>
        <v/>
      </c>
      <c r="C25" s="5" t="inlineStr">
        <is>
          <t>novel AP</t>
        </is>
      </c>
      <c r="D25" s="5" t="inlineStr">
        <is>
          <t>AP</t>
        </is>
      </c>
      <c r="E25" s="5" t="inlineStr">
        <is>
          <t>Generic COCO 2017 FSOD setting; verify shot setting per paper</t>
        </is>
      </c>
    </row>
    <row r="26" ht="32.1" customHeight="1">
      <c r="A26" s="5" t="inlineStr">
        <is>
          <t>Few-Shot OD</t>
        </is>
      </c>
      <c r="B26" s="8">
        <f>HYPERLINK("#'LVIS v1.0 val'!A1","LVIS v1.0 val")</f>
        <v/>
      </c>
      <c r="C26" s="5" t="inlineStr">
        <is>
          <t>AP / AP_rare</t>
        </is>
      </c>
      <c r="D26" s="5" t="n"/>
      <c r="E26" s="5" t="inlineStr">
        <is>
          <t>Long-tail; AP_rare is the FSOD-relevant slice</t>
        </is>
      </c>
    </row>
    <row r="27" ht="32.1" customHeight="1">
      <c r="A27" s="5" t="inlineStr">
        <is>
          <t>Few-Shot OD</t>
        </is>
      </c>
      <c r="B27" s="8">
        <f>HYPERLINK("#'ODinW-13'!A1","ODinW-13")</f>
        <v/>
      </c>
      <c r="C27" s="5" t="inlineStr">
        <is>
          <t>AP (avg of 13 datasets)</t>
        </is>
      </c>
      <c r="D27" s="5" t="inlineStr">
        <is>
          <t>Zero-shot vs fine-tuned — flag separately</t>
        </is>
      </c>
      <c r="E27" s="5" t="inlineStr">
        <is>
          <t>Object Detection in the Wild — 13 dataset suite</t>
        </is>
      </c>
    </row>
    <row r="28" ht="32.1" customHeight="1">
      <c r="A28" s="5" t="inlineStr">
        <is>
          <t>Few-Shot OD</t>
        </is>
      </c>
      <c r="B28" s="8">
        <f>HYPERLINK("#'ODinW-35'!A1","ODinW-35")</f>
        <v/>
      </c>
      <c r="C28" s="5" t="inlineStr">
        <is>
          <t>AP (avg of 35 datasets)</t>
        </is>
      </c>
      <c r="D28" s="5" t="inlineStr">
        <is>
          <t>Zero-shot vs fine-tuned — flag separately</t>
        </is>
      </c>
      <c r="E28" s="5" t="inlineStr">
        <is>
          <t>Object Detection in the Wild — 35 dataset suite</t>
        </is>
      </c>
    </row>
    <row r="29" ht="32.1" customHeight="1">
      <c r="A29" t="inlineStr">
        <is>
          <t>Open-World OD</t>
        </is>
      </c>
      <c r="B29">
        <f>HYPERLINK("#'Open-World OD'!A1","Open-World OD")</f>
        <v/>
      </c>
      <c r="C29" t="inlineStr">
        <is>
          <t>U-Recall (unknown) / mAP (known) — M-OWODB</t>
        </is>
      </c>
    </row>
    <row r="30" ht="32.1" customHeight="1">
      <c r="A30" t="inlineStr">
        <is>
          <t>3D-BEV OD</t>
        </is>
      </c>
      <c r="B30">
        <f>HYPERLINK("#'3D-BEV OD'!A1","3D-BEV OD")</f>
        <v/>
      </c>
      <c r="C30" t="inlineStr">
        <is>
          <t>3D AP (dataset-specific: CA-1M/KITTI/ScanNet)</t>
        </is>
      </c>
    </row>
    <row r="31" ht="32.1" customHeight="1">
      <c r="A31" t="inlineStr">
        <is>
          <t>Tiny-Object OD</t>
        </is>
      </c>
      <c r="B31">
        <f>HYPERLINK("#'Tiny-Object OD'!A1","Tiny-Object OD")</f>
        <v/>
      </c>
      <c r="C31" t="inlineStr">
        <is>
          <t>AP (tiny: AI-TOD / DOTA / remote-sensing)</t>
        </is>
      </c>
    </row>
    <row r="32" ht="32.1" customHeight="1">
      <c r="A32" t="inlineStr">
        <is>
          <t>Domain-Robust OD</t>
        </is>
      </c>
      <c r="B32">
        <f>HYPERLINK("#'Domain-Robust OD'!A1","Domain-Robust OD")</f>
        <v/>
      </c>
      <c r="C32" t="inlineStr">
        <is>
          <t>mAP / mAP50 / S-measure (dataset-specific; NOT a unified ranking)</t>
        </is>
      </c>
    </row>
    <row r="33" ht="32.1" customHeight="1">
      <c r="A33" t="inlineStr">
        <is>
          <t>Incremental OD</t>
        </is>
      </c>
      <c r="B33">
        <f>HYPERLINK("#'Incremental OD'!A1","Incremental OD")</f>
        <v/>
      </c>
      <c r="C33" t="inlineStr">
        <is>
          <t>VOC mAP@0.5 / COCO AP (dataset-specific; NOT a unified ranking)</t>
        </is>
      </c>
    </row>
    <row r="34" ht="32.1" customHeight="1">
      <c r="A34" t="inlineStr">
        <is>
          <t>Open-Vocabulary OD</t>
        </is>
      </c>
      <c r="B34">
        <f>HYPERLINK("#'Open-Vocabulary OD'!A1","Open-Vocabulary OD")</f>
        <v/>
      </c>
      <c r="C34" t="inlineStr">
        <is>
          <t>Novel AP / APr</t>
        </is>
      </c>
    </row>
    <row r="35" ht="32.1" customHeight="1">
      <c r="A35" t="inlineStr">
        <is>
          <t>Oriented-RS OD</t>
        </is>
      </c>
      <c r="B35">
        <f>HYPERLINK("#'Oriented-RS OD'!A1","Oriented-RS OD")</f>
        <v/>
      </c>
      <c r="C35" t="inlineStr">
        <is>
          <t>Oriented mAP</t>
        </is>
      </c>
    </row>
    <row r="36" ht="32.1" customHeight="1">
      <c r="A36" t="inlineStr">
        <is>
          <t>Referring OD</t>
        </is>
      </c>
      <c r="B36">
        <f>HYPERLINK("#'Referring OD'!A1","Referring OD")</f>
        <v/>
      </c>
      <c r="C36" t="inlineStr">
        <is>
          <t>Acc@0.5</t>
        </is>
      </c>
    </row>
    <row r="37">
      <c r="A37" t="inlineStr">
        <is>
          <t>Security-Robustness OD</t>
        </is>
      </c>
      <c r="B37">
        <f>HYPERLINK("#'Security-Robustness OD'!A1","Security-Robustness OD")</f>
        <v/>
      </c>
      <c r="C37" t="inlineStr">
        <is>
          <t>robust AP / F1·AUROC</t>
        </is>
      </c>
    </row>
    <row r="38">
      <c r="A38" t="inlineStr">
        <is>
          <t>Co-SOD &amp; Ranking</t>
        </is>
      </c>
      <c r="B38">
        <f>HYPERLINK("#'Co-SOD &amp; Ranking'!A1","Co-SOD &amp; Ranking")</f>
        <v/>
      </c>
      <c r="C38" t="inlineStr">
        <is>
          <t>S-measure / SA-SOR</t>
        </is>
      </c>
    </row>
    <row r="39">
      <c r="A39" t="inlineStr">
        <is>
          <t>CD-FSOD</t>
        </is>
      </c>
      <c r="B39">
        <f>HYPERLINK("#'CD-FSOD'!A1","CD-FSOD")</f>
        <v/>
      </c>
      <c r="C39" t="inlineStr">
        <is>
          <t>CD-FSOD novel AP</t>
        </is>
      </c>
    </row>
    <row r="40">
      <c r="A40" t="inlineStr">
        <is>
          <t>Event-Camera OD</t>
        </is>
      </c>
      <c r="B40">
        <f>HYPERLINK("#'Event-Camera OD'!A1","Event-Camera OD")</f>
        <v/>
      </c>
      <c r="C40" t="inlineStr">
        <is>
          <t>mAP (event Gen1/1Mpx)</t>
        </is>
      </c>
    </row>
    <row r="41">
      <c r="A41" t="inlineStr">
        <is>
          <t>Thermal-Multispectral OD</t>
        </is>
      </c>
      <c r="B41">
        <f>HYPERLINK("#'Thermal-Multispectral OD'!A1","Thermal-Multispectral OD")</f>
        <v/>
      </c>
      <c r="C41" t="inlineStr">
        <is>
          <t>mAP / mAP50 (thermal)</t>
        </is>
      </c>
    </row>
    <row r="42">
      <c r="A42" t="inlineStr">
        <is>
          <t>Camouflaged OD</t>
        </is>
      </c>
      <c r="B42">
        <f>HYPERLINK("#'Camouflaged OD'!A1","Camouflaged OD")</f>
        <v/>
      </c>
      <c r="C42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3" location="'Argoverse-HD DO Val'!A1" display="'Argoverse-HD DO Val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  <row r="45">
      <c r="A45" t="inlineStr">
        <is>
          <t>Real-Time OD</t>
        </is>
      </c>
      <c r="B45" t="inlineStr">
        <is>
          <t>Hyper-YOLO-L</t>
        </is>
      </c>
      <c r="C45" t="inlineStr">
        <is>
          <t>Feng et al.</t>
        </is>
      </c>
      <c r="D45" t="inlineStr">
        <is>
          <t>IEEE TPAMI</t>
        </is>
      </c>
      <c r="E45" t="inlineStr">
        <is>
          <t>2025-01</t>
        </is>
      </c>
      <c r="F45" t="inlineStr">
        <is>
          <t>✅ Standard verified</t>
        </is>
      </c>
      <c r="G45" t="n">
        <v>53.8</v>
      </c>
      <c r="H45" t="inlineStr">
        <is>
          <t>AP=53.8 | AP50=70.9</t>
        </is>
      </c>
      <c r="J45" t="inlineStr">
        <is>
          <t>56.3M</t>
        </is>
      </c>
      <c r="K45" t="inlineStr">
        <is>
          <t>✅ Standard verified (Hyper-YOLO 官方 repo iMoonLab README COCO val2017 表 + TPAMI 2025, arXiv 2408.04804): Hyper-YOLO-L AP=53.8, AP50=70.9, 56.3M params, 211.0 GFLOPs [Real-Time OD / 超圖 Hypergraph]</t>
        </is>
      </c>
      <c r="L45" t="inlineStr">
        <is>
          <t>https://arxiv.org/abs/2408.04804</t>
        </is>
      </c>
      <c r="M45" t="inlineStr">
        <is>
          <t>https://github.com/iMoonLab/Hyper-YOLO</t>
        </is>
      </c>
    </row>
    <row r="46">
      <c r="A46" t="inlineStr">
        <is>
          <t>Real-Time OD</t>
        </is>
      </c>
      <c r="B46" t="inlineStr">
        <is>
          <t>YOLO-MS</t>
        </is>
      </c>
      <c r="C46" t="inlineStr">
        <is>
          <t>Chen et al.</t>
        </is>
      </c>
      <c r="D46" t="inlineStr">
        <is>
          <t>IEEE TPAMI</t>
        </is>
      </c>
      <c r="E46" t="inlineStr">
        <is>
          <t>2025-02</t>
        </is>
      </c>
      <c r="F46" t="inlineStr">
        <is>
          <t>✅ Standard verified</t>
        </is>
      </c>
      <c r="G46" t="n">
        <v>49.7</v>
      </c>
      <c r="H46" t="inlineStr">
        <is>
          <t>AP=49.7 | AP50=67.2 | AP75=54.0</t>
        </is>
      </c>
      <c r="J46" t="inlineStr">
        <is>
          <t>23.3M</t>
        </is>
      </c>
      <c r="K46" t="inlineStr">
        <is>
          <t>✅ Standard verified (YOLO-MS arXiv 2308.05480 Table VIII, COCO val2017; TPAMI 2025 DOI 10.1109/TPAMI.2025.3538473): YOLO-MS AP=49.7, AP50=67.2, AP75=54.0, 23.3M params, 38.8 GMACs [Real-Time OD / 多尺度 Multi-scale]</t>
        </is>
      </c>
      <c r="L46" t="inlineStr">
        <is>
          <t>https://arxiv.org/abs/2308.05480</t>
        </is>
      </c>
      <c r="M46" t="inlineStr">
        <is>
          <t>https://github.com/FishAndWasabi/YOLO-MS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  <row r="15">
      <c r="A15" t="inlineStr">
        <is>
          <t>Few-Shot OD</t>
        </is>
      </c>
      <c r="B15" t="inlineStr">
        <is>
          <t>GiPL: Generative augmented iterative Pseudo-Labeling for Cross-Domain Few-Shot Object Dete</t>
        </is>
      </c>
      <c r="C15" t="inlineStr">
        <is>
          <t>Jiacong Liu, Shu Luo, Yikai Qin, Yaze Zhao, Yongwei Jiang, Yixiong Zou</t>
        </is>
      </c>
      <c r="D15" t="inlineStr">
        <is>
          <t>arXiv</t>
        </is>
      </c>
      <c r="E15" t="inlineStr">
        <is>
          <t>2026-05</t>
        </is>
      </c>
      <c r="F15" t="inlineStr">
        <is>
          <t>Preprint</t>
        </is>
      </c>
      <c r="K15" t="inlineStr">
        <is>
          <t>Auto-fetched from arXiv; metrics To verify</t>
        </is>
      </c>
      <c r="L15" t="inlineStr">
        <is>
          <t>https://arxiv.org/abs/2605.29539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  <row r="5">
      <c r="A5" t="inlineStr">
        <is>
          <t>Referring OD</t>
        </is>
      </c>
      <c r="B5" t="inlineStr">
        <is>
          <t>UNINEXT-H</t>
        </is>
      </c>
      <c r="E5" t="inlineStr">
        <is>
          <t>2023</t>
        </is>
      </c>
      <c r="F5" t="inlineStr">
        <is>
          <t>✅ Standard verified</t>
        </is>
      </c>
      <c r="G5" t="n">
        <v>92.64</v>
      </c>
      <c r="H5" t="inlineStr">
        <is>
          <t>RefCOCO_val=92.64 | testA=94.33 | testB=91.46</t>
        </is>
      </c>
      <c r="K5" t="inlineStr">
        <is>
          <t>✅ Standard verified — RefCOCO REC val Acc@0.5=92.64 (testA=94.33/testB=91.46); UNINEXT CVPR23 (arXiv 2303.06674) Table 3.</t>
        </is>
      </c>
      <c r="L5" t="inlineStr">
        <is>
          <t>https://arxiv.org/abs/2303.06674</t>
        </is>
      </c>
    </row>
    <row r="6">
      <c r="A6" t="inlineStr">
        <is>
          <t>Referring OD</t>
        </is>
      </c>
      <c r="B6" t="inlineStr">
        <is>
          <t>UNINEXT-L</t>
        </is>
      </c>
      <c r="E6" t="inlineStr">
        <is>
          <t>2023</t>
        </is>
      </c>
      <c r="F6" t="inlineStr">
        <is>
          <t>✅ Standard verified</t>
        </is>
      </c>
      <c r="G6" t="n">
        <v>91.43000000000001</v>
      </c>
      <c r="H6" t="inlineStr">
        <is>
          <t>RefCOCO_val=91.43 | testA=93.73 | testB=88.93</t>
        </is>
      </c>
      <c r="K6" t="inlineStr">
        <is>
          <t>✅ Standard verified — RefCOCO REC val Acc@0.5=91.43 (testA=93.73/testB=88.93); UNINEXT CVPR23 (arXiv 2303.06674) Table 3.</t>
        </is>
      </c>
      <c r="L6" t="inlineStr">
        <is>
          <t>https://arxiv.org/abs/2303.06674</t>
        </is>
      </c>
    </row>
    <row r="7">
      <c r="A7" t="inlineStr">
        <is>
          <t>Referring OD</t>
        </is>
      </c>
      <c r="B7" t="inlineStr">
        <is>
          <t>UNINEXT-R50</t>
        </is>
      </c>
      <c r="E7" t="inlineStr">
        <is>
          <t>2023</t>
        </is>
      </c>
      <c r="F7" t="inlineStr">
        <is>
          <t>✅ Standard verified</t>
        </is>
      </c>
      <c r="G7" t="n">
        <v>89.72</v>
      </c>
      <c r="H7" t="inlineStr">
        <is>
          <t>RefCOCO_val=89.72 | testA=91.52 | testB=86.93</t>
        </is>
      </c>
      <c r="K7" t="inlineStr">
        <is>
          <t>✅ Standard verified — RefCOCO REC val Acc@0.5=89.72 (testA=91.52/testB=86.93); UNINEXT CVPR23 (arXiv 2303.06674) Table 3.</t>
        </is>
      </c>
      <c r="L7" t="inlineStr">
        <is>
          <t>https://arxiv.org/abs/2303.06674</t>
        </is>
      </c>
    </row>
    <row r="8">
      <c r="A8" t="inlineStr">
        <is>
          <t>Referring OD</t>
        </is>
      </c>
      <c r="B8" t="inlineStr">
        <is>
          <t>SeqTR</t>
        </is>
      </c>
      <c r="E8" t="inlineStr">
        <is>
          <t>2022</t>
        </is>
      </c>
      <c r="F8" t="inlineStr">
        <is>
          <t>✅ Cross-paper verified</t>
        </is>
      </c>
      <c r="G8" t="n">
        <v>87</v>
      </c>
      <c r="H8" t="inlineStr">
        <is>
          <t>RefCOCO_val=87.0 | testA=90.15 | testB=83.59</t>
        </is>
      </c>
      <c r="K8" t="inlineStr">
        <is>
          <t>✅ Cross-paper verified — RefCOCO REC val Acc@0.5=87.0 reported in UNINEXT CVPR23 Table 3; original method SeqTR (2022).</t>
        </is>
      </c>
      <c r="L8" t="inlineStr">
        <is>
          <t>https://arxiv.org/abs/2303.06674</t>
        </is>
      </c>
    </row>
    <row r="9">
      <c r="A9" t="inlineStr">
        <is>
          <t>Referring OD</t>
        </is>
      </c>
      <c r="B9" t="inlineStr">
        <is>
          <t>MDETR</t>
        </is>
      </c>
      <c r="E9" t="inlineStr">
        <is>
          <t>2021</t>
        </is>
      </c>
      <c r="F9" t="inlineStr">
        <is>
          <t>✅ Cross-paper verified</t>
        </is>
      </c>
      <c r="G9" t="n">
        <v>86.75</v>
      </c>
      <c r="H9" t="inlineStr">
        <is>
          <t>RefCOCO_val=86.75 | testA=89.58 | testB=81.41</t>
        </is>
      </c>
      <c r="K9" t="inlineStr">
        <is>
          <t>✅ Cross-paper verified — RefCOCO REC val Acc@0.5=86.75 reported in UNINEXT CVPR23 Table 3; original method MDETR (2021).</t>
        </is>
      </c>
      <c r="L9" t="inlineStr">
        <is>
          <t>https://arxiv.org/abs/2303.06674</t>
        </is>
      </c>
    </row>
    <row r="10">
      <c r="A10" t="inlineStr">
        <is>
          <t>Referring OD</t>
        </is>
      </c>
      <c r="B10" t="inlineStr">
        <is>
          <t>VILLA</t>
        </is>
      </c>
      <c r="E10" t="inlineStr">
        <is>
          <t>2020</t>
        </is>
      </c>
      <c r="F10" t="inlineStr">
        <is>
          <t>✅ Cross-paper verified</t>
        </is>
      </c>
      <c r="G10" t="n">
        <v>82.39</v>
      </c>
      <c r="H10" t="inlineStr">
        <is>
          <t>RefCOCO_val=82.39 | testA=87.48 | testB=76.17</t>
        </is>
      </c>
      <c r="K10" t="inlineStr">
        <is>
          <t>✅ Cross-paper verified — RefCOCO REC val Acc@0.5=82.39 reported in UNINEXT CVPR23 Table 3; original method VILLA (2020).</t>
        </is>
      </c>
      <c r="L10" t="inlineStr">
        <is>
          <t>https://arxiv.org/abs/2303.06674</t>
        </is>
      </c>
    </row>
    <row r="11">
      <c r="A11" t="inlineStr">
        <is>
          <t>Referring OD</t>
        </is>
      </c>
      <c r="B11" t="inlineStr">
        <is>
          <t>RefTR</t>
        </is>
      </c>
      <c r="E11" t="inlineStr">
        <is>
          <t>2021</t>
        </is>
      </c>
      <c r="F11" t="inlineStr">
        <is>
          <t>✅ Cross-paper verified</t>
        </is>
      </c>
      <c r="G11" t="n">
        <v>82.23</v>
      </c>
      <c r="H11" t="inlineStr">
        <is>
          <t>RefCOCO_val=82.23 | testA=85.59 | testB=76.57</t>
        </is>
      </c>
      <c r="K11" t="inlineStr">
        <is>
          <t>✅ Cross-paper verified — RefCOCO REC val Acc@0.5=82.23 reported in UNINEXT CVPR23 Table 3; original method RefTR (2021).</t>
        </is>
      </c>
      <c r="L11" t="inlineStr">
        <is>
          <t>https://arxiv.org/abs/2303.06674</t>
        </is>
      </c>
    </row>
    <row r="12">
      <c r="A12" t="inlineStr">
        <is>
          <t>Referring OD</t>
        </is>
      </c>
      <c r="B12" t="inlineStr">
        <is>
          <t>UNITER</t>
        </is>
      </c>
      <c r="E12" t="inlineStr">
        <is>
          <t>2020</t>
        </is>
      </c>
      <c r="F12" t="inlineStr">
        <is>
          <t>✅ Cross-paper verified</t>
        </is>
      </c>
      <c r="G12" t="n">
        <v>81.41</v>
      </c>
      <c r="H12" t="inlineStr">
        <is>
          <t>RefCOCO_val=81.41 | testA=87.04 | testB=74.17</t>
        </is>
      </c>
      <c r="K12" t="inlineStr">
        <is>
          <t>✅ Cross-paper verified — RefCOCO REC val Acc@0.5=81.41 reported in UNINEXT CVPR23 Table 3; original method UNITER (2020).</t>
        </is>
      </c>
      <c r="L12" t="inlineStr">
        <is>
          <t>https://arxiv.org/abs/2303.06674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  <row r="7">
      <c r="A7" t="inlineStr">
        <is>
          <t>Security-Robustness OD</t>
        </is>
      </c>
      <c r="B7" t="inlineStr">
        <is>
          <t>Ad-YOLO</t>
        </is>
      </c>
      <c r="E7" t="inlineStr">
        <is>
          <t>2021</t>
        </is>
      </c>
      <c r="F7" t="inlineStr">
        <is>
          <t>✅ Standard verified</t>
        </is>
      </c>
      <c r="G7" t="n">
        <v>86.91</v>
      </c>
      <c r="H7" t="inlineStr">
        <is>
          <t>AP=86.91 under patch attack (INRIA)</t>
        </is>
      </c>
      <c r="K7" t="inlineStr">
        <is>
          <t>✅ Standard verified — adversarial-OD defense, AP=86.91 under patch attack (INRIA); original paper Ad-YOLO (2021). Heterogeneous metric — NOT cross-comparable with other rows.</t>
        </is>
      </c>
      <c r="L7" t="inlineStr">
        <is>
          <t>https://arxiv.org/abs/2103.08860</t>
        </is>
      </c>
    </row>
    <row r="8">
      <c r="A8" t="inlineStr">
        <is>
          <t>Security-Robustness OD</t>
        </is>
      </c>
      <c r="B8" t="inlineStr">
        <is>
          <t>ObjectSeeker</t>
        </is>
      </c>
      <c r="E8" t="inlineStr">
        <is>
          <t>2022</t>
        </is>
      </c>
      <c r="F8" t="inlineStr">
        <is>
          <t>✅ Standard verified</t>
        </is>
      </c>
      <c r="G8" t="n">
        <v>58.8</v>
      </c>
      <c r="H8" t="inlineStr">
        <is>
          <t>certified robust AP=58.8 (far-patch, PASCAL VOC)</t>
        </is>
      </c>
      <c r="K8" t="inlineStr">
        <is>
          <t>✅ Standard verified — adversarial-OD defense, certified robust AP=58.8 (far-patch, PASCAL VOC); original paper ObjectSeeker (2022). Heterogeneous metric — NOT cross-comparable with other rows.</t>
        </is>
      </c>
      <c r="L8" t="inlineStr">
        <is>
          <t>https://arxiv.org/abs/2202.01811</t>
        </is>
      </c>
    </row>
    <row r="9">
      <c r="A9" t="inlineStr">
        <is>
          <t>Security-Robustness OD</t>
        </is>
      </c>
      <c r="B9" t="inlineStr">
        <is>
          <t>SAC</t>
        </is>
      </c>
      <c r="E9" t="inlineStr">
        <is>
          <t>2021</t>
        </is>
      </c>
      <c r="F9" t="inlineStr">
        <is>
          <t>✅ Standard verified</t>
        </is>
      </c>
      <c r="G9" t="n">
        <v>44.5</v>
      </c>
      <c r="H9" t="inlineStr">
        <is>
          <t>patch-defense clean mAP=44.5 (+30.6 mAP under 100x100 patch attack)</t>
        </is>
      </c>
      <c r="K9" t="inlineStr">
        <is>
          <t>✅ Standard verified — adversarial-OD defense, patch-defense clean mAP=44.5 (+30.6 mAP under 100x100 patch attack); original paper SAC (2021). Heterogeneous metric — NOT cross-comparable with other rows.</t>
        </is>
      </c>
      <c r="L9" t="inlineStr">
        <is>
          <t>https://arxiv.org/abs/2112.04532</t>
        </is>
      </c>
    </row>
    <row r="10">
      <c r="A10" t="inlineStr">
        <is>
          <t>Security-Robustness OD</t>
        </is>
      </c>
      <c r="B10" t="inlineStr">
        <is>
          <t>PatchZero</t>
        </is>
      </c>
      <c r="E10" t="inlineStr">
        <is>
          <t>2022</t>
        </is>
      </c>
      <c r="F10" t="inlineStr">
        <is>
          <t>✅ Standard verified</t>
        </is>
      </c>
      <c r="G10" t="n">
        <v>41.5</v>
      </c>
      <c r="H10" t="inlineStr">
        <is>
          <t>robust AP=41.5 under adversarial patch attack</t>
        </is>
      </c>
      <c r="K10" t="inlineStr">
        <is>
          <t>✅ Standard verified — adversarial-OD defense, robust AP=41.5 under adversarial patch attack; original paper PatchZero (2022). Heterogeneous metric — NOT cross-comparable with other rows.</t>
        </is>
      </c>
      <c r="L10" t="inlineStr">
        <is>
          <t>https://arxiv.org/abs/2207.01795</t>
        </is>
      </c>
    </row>
    <row r="11">
      <c r="A11" t="inlineStr">
        <is>
          <t>Security-Robustness OD</t>
        </is>
      </c>
      <c r="B11" t="inlineStr">
        <is>
          <t>DetectorGuard</t>
        </is>
      </c>
      <c r="E11" t="inlineStr">
        <is>
          <t>2021</t>
        </is>
      </c>
      <c r="F11" t="inlineStr">
        <is>
          <t>✅ Standard verified</t>
        </is>
      </c>
      <c r="G11" t="n">
        <v>28.6</v>
      </c>
      <c r="H11" t="inlineStr">
        <is>
          <t>provable/certified robustness=28.6% (PASCAL VOC)</t>
        </is>
      </c>
      <c r="K11" t="inlineStr">
        <is>
          <t>✅ Standard verified — adversarial-OD defense, provable/certified robustness=28.6% (PASCAL VOC); original paper DetectorGuard (2021). Heterogeneous metric — NOT cross-comparable with other rows.</t>
        </is>
      </c>
      <c r="L11" t="inlineStr">
        <is>
          <t>https://arxiv.org/abs/2102.02956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  <row r="5">
      <c r="A5" t="inlineStr">
        <is>
          <t>CD-FSOD</t>
        </is>
      </c>
      <c r="B5" t="inlineStr">
        <is>
          <t>DE-ViT-FT</t>
        </is>
      </c>
      <c r="E5" t="inlineStr">
        <is>
          <t>2023</t>
        </is>
      </c>
      <c r="F5" t="inlineStr">
        <is>
          <t>✅ Cross-paper verified</t>
        </is>
      </c>
      <c r="G5" t="n">
        <v>49.2</v>
      </c>
      <c r="H5" t="inlineStr">
        <is>
          <t>ArTaxOr_10shot=49.2 | Avg=25.2</t>
        </is>
      </c>
      <c r="K5" t="inlineStr">
        <is>
          <t>✅ Cross-paper verified — CD-FSOD 10-shot ArTaxOr mAP=49.2 (Avg=25.2) reported in CD-ViTO (arXiv 2402.03094) Table 1; original method DE-ViT-FT (2023).</t>
        </is>
      </c>
      <c r="L5" t="inlineStr">
        <is>
          <t>https://arxiv.org/abs/2402.03094</t>
        </is>
      </c>
    </row>
    <row r="6">
      <c r="A6" t="inlineStr">
        <is>
          <t>CD-FSOD</t>
        </is>
      </c>
      <c r="B6" t="inlineStr">
        <is>
          <t>ViTDeT-FT</t>
        </is>
      </c>
      <c r="E6" t="inlineStr">
        <is>
          <t>2023</t>
        </is>
      </c>
      <c r="F6" t="inlineStr">
        <is>
          <t>✅ Cross-paper verified</t>
        </is>
      </c>
      <c r="G6" t="n">
        <v>23.4</v>
      </c>
      <c r="H6" t="inlineStr">
        <is>
          <t>ArTaxOr_10shot=23.4 | Avg=19.4</t>
        </is>
      </c>
      <c r="K6" t="inlineStr">
        <is>
          <t>✅ Cross-paper verified — CD-FSOD 10-shot ArTaxOr mAP=23.4 (Avg=19.4) reported in CD-ViTO (arXiv 2402.03094) Table 1; original method ViTDeT-FT (2023).</t>
        </is>
      </c>
      <c r="L6" t="inlineStr">
        <is>
          <t>https://arxiv.org/abs/2402.03094</t>
        </is>
      </c>
    </row>
    <row r="7">
      <c r="A7" t="inlineStr">
        <is>
          <t>CD-FSOD</t>
        </is>
      </c>
      <c r="B7" t="inlineStr">
        <is>
          <t>Distill-CDFSOD</t>
        </is>
      </c>
      <c r="E7" t="inlineStr">
        <is>
          <t>2024</t>
        </is>
      </c>
      <c r="F7" t="inlineStr">
        <is>
          <t>✅ Cross-paper verified</t>
        </is>
      </c>
      <c r="G7" t="n">
        <v>18.1</v>
      </c>
      <c r="H7" t="inlineStr">
        <is>
          <t>ArTaxOr_10shot=18.1 | Avg=20.5</t>
        </is>
      </c>
      <c r="K7" t="inlineStr">
        <is>
          <t>✅ Cross-paper verified — CD-FSOD 10-shot ArTaxOr mAP=18.1 (Avg=20.5) reported in CD-ViTO (arXiv 2402.03094) Table 1; original method Distill-CDFSOD (2024).</t>
        </is>
      </c>
      <c r="L7" t="inlineStr">
        <is>
          <t>https://arxiv.org/abs/2402.03094</t>
        </is>
      </c>
    </row>
    <row r="8">
      <c r="A8" t="inlineStr">
        <is>
          <t>CD-FSOD</t>
        </is>
      </c>
      <c r="B8" t="inlineStr">
        <is>
          <t>FSCE (CD)</t>
        </is>
      </c>
      <c r="E8" t="inlineStr">
        <is>
          <t>2021</t>
        </is>
      </c>
      <c r="F8" t="inlineStr">
        <is>
          <t>✅ Cross-paper verified</t>
        </is>
      </c>
      <c r="G8" t="n">
        <v>15.9</v>
      </c>
      <c r="H8" t="inlineStr">
        <is>
          <t>ArTaxOr_10shot=15.9 | Avg=12.0</t>
        </is>
      </c>
      <c r="K8" t="inlineStr">
        <is>
          <t>✅ Cross-paper verified — CD-FSOD 10-shot ArTaxOr mAP=15.9 (Avg=12.0) reported in CD-ViTO (arXiv 2402.03094) Table 1; original method FSCE (CD) (2021).</t>
        </is>
      </c>
      <c r="L8" t="inlineStr">
        <is>
          <t>https://arxiv.org/abs/2402.03094</t>
        </is>
      </c>
    </row>
    <row r="9">
      <c r="A9" t="inlineStr">
        <is>
          <t>CD-FSOD</t>
        </is>
      </c>
      <c r="B9" t="inlineStr">
        <is>
          <t>TFA w/cos (CD)</t>
        </is>
      </c>
      <c r="E9" t="inlineStr">
        <is>
          <t>2020</t>
        </is>
      </c>
      <c r="F9" t="inlineStr">
        <is>
          <t>✅ Cross-paper verified</t>
        </is>
      </c>
      <c r="G9" t="n">
        <v>14.8</v>
      </c>
      <c r="H9" t="inlineStr">
        <is>
          <t>ArTaxOr_10shot=14.8 | Avg=11.8</t>
        </is>
      </c>
      <c r="K9" t="inlineStr">
        <is>
          <t>✅ Cross-paper verified — CD-FSOD 10-shot ArTaxOr mAP=14.8 (Avg=11.8) reported in CD-ViTO (arXiv 2402.03094) Table 1; original method TFA w/cos (CD) (2020).</t>
        </is>
      </c>
      <c r="L9" t="inlineStr">
        <is>
          <t>https://arxiv.org/abs/2402.03094</t>
        </is>
      </c>
    </row>
    <row r="10">
      <c r="A10" t="inlineStr">
        <is>
          <t>CD-FSOD</t>
        </is>
      </c>
      <c r="B10" t="inlineStr">
        <is>
          <t>Detic-FT</t>
        </is>
      </c>
      <c r="E10" t="inlineStr">
        <is>
          <t>2022</t>
        </is>
      </c>
      <c r="F10" t="inlineStr">
        <is>
          <t>✅ Cross-paper verified</t>
        </is>
      </c>
      <c r="G10" t="n">
        <v>12</v>
      </c>
      <c r="H10" t="inlineStr">
        <is>
          <t>ArTaxOr_10shot=12.0 | Avg=16.5</t>
        </is>
      </c>
      <c r="K10" t="inlineStr">
        <is>
          <t>✅ Cross-paper verified — CD-FSOD 10-shot ArTaxOr mAP=12.0 (Avg=16.5) reported in CD-ViTO (arXiv 2402.03094) Table 1; original method Detic-FT (2022).</t>
        </is>
      </c>
      <c r="L10" t="inlineStr">
        <is>
          <t>https://arxiv.org/abs/2402.03094</t>
        </is>
      </c>
    </row>
    <row r="11">
      <c r="A11" t="inlineStr">
        <is>
          <t>CD-FSOD</t>
        </is>
      </c>
      <c r="B11" t="inlineStr">
        <is>
          <t>DE-ViT</t>
        </is>
      </c>
      <c r="E11" t="inlineStr">
        <is>
          <t>2023</t>
        </is>
      </c>
      <c r="F11" t="inlineStr">
        <is>
          <t>✅ Cross-paper verified</t>
        </is>
      </c>
      <c r="G11" t="n">
        <v>9.199999999999999</v>
      </c>
      <c r="H11" t="inlineStr">
        <is>
          <t>ArTaxOr_10shot=9.2 | Avg=5.9</t>
        </is>
      </c>
      <c r="K11" t="inlineStr">
        <is>
          <t>✅ Cross-paper verified — CD-FSOD 10-shot ArTaxOr mAP=9.2 (Avg=5.9) reported in CD-ViTO (arXiv 2402.03094) Table 1; original method DE-ViT (2023).</t>
        </is>
      </c>
      <c r="L11" t="inlineStr">
        <is>
          <t>https://arxiv.org/abs/2402.03094</t>
        </is>
      </c>
    </row>
    <row r="12">
      <c r="A12" t="inlineStr">
        <is>
          <t>CD-FSOD</t>
        </is>
      </c>
      <c r="B12" t="inlineStr">
        <is>
          <t>Detic</t>
        </is>
      </c>
      <c r="E12" t="inlineStr">
        <is>
          <t>2022</t>
        </is>
      </c>
      <c r="F12" t="inlineStr">
        <is>
          <t>✅ Cross-paper verified</t>
        </is>
      </c>
      <c r="G12" t="n">
        <v>0.6</v>
      </c>
      <c r="H12" t="inlineStr">
        <is>
          <t>ArTaxOr_10shot=0.6 | Avg=2.2</t>
        </is>
      </c>
      <c r="K12" t="inlineStr">
        <is>
          <t>✅ Cross-paper verified — CD-FSOD 10-shot ArTaxOr mAP=0.6 (Avg=2.2) reported in CD-ViTO (arXiv 2402.03094) Table 1; original method Detic (2022).</t>
        </is>
      </c>
      <c r="L12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  <row r="13">
      <c r="A13" t="inlineStr">
        <is>
          <t>Thermal-Multispectral OD</t>
        </is>
      </c>
      <c r="B13" t="inlineStr">
        <is>
          <t>COMO</t>
        </is>
      </c>
      <c r="D13" t="inlineStr">
        <is>
          <t>Information Fusion 2025</t>
        </is>
      </c>
      <c r="E13" t="inlineStr">
        <is>
          <t>2025</t>
        </is>
      </c>
      <c r="F13" t="inlineStr">
        <is>
          <t>✅ Standard verified</t>
        </is>
      </c>
      <c r="G13" t="n">
        <v>97.2</v>
      </c>
      <c r="H13" t="inlineStr">
        <is>
          <t>LLVIP_mAP50=97.2 | mAP=65.3 (YOLOv5s)</t>
        </is>
      </c>
      <c r="K13" t="inlineStr">
        <is>
          <t>✅ Standard verified — LLVIP mAP50=97.2 / mAP=65.3 (YOLOv5s baseline)；另 DroneVehicle mAP50=86.1、VEDAI mAP50=81.7。COMO=Cross-Mamba+Offset-Guided Fusion (Information Fusion 2025, Vol.125 art.103414; arXiv 2412.18076 表; repo luluyuu/COMO)。LLVIP 群組，與 FLIR/M3FD 列不同資料集不可直接比較 [RGB-T 多模態融合]</t>
        </is>
      </c>
      <c r="L13" t="inlineStr">
        <is>
          <t>https://arxiv.org/abs/2412.18076</t>
        </is>
      </c>
    </row>
    <row r="14">
      <c r="A14" t="inlineStr">
        <is>
          <t>Thermal-Multispectral OD</t>
        </is>
      </c>
      <c r="B14" t="inlineStr">
        <is>
          <t>IRDFusion</t>
        </is>
      </c>
      <c r="C14" t="inlineStr">
        <is>
          <t>Jifeng Shen, Haibo Zhan, Xin Zuo, Heng Fan, Xiaohui Yuan, Jun Li, Wankou Yang</t>
        </is>
      </c>
      <c r="D14" t="inlineStr">
        <is>
          <t>Pattern Recognition 2025 (arXiv 2509.09085)</t>
        </is>
      </c>
      <c r="E14" t="inlineStr">
        <is>
          <t>2025-09</t>
        </is>
      </c>
      <c r="F14" t="inlineStr">
        <is>
          <t>✅ Standard verified</t>
        </is>
      </c>
      <c r="G14" t="n">
        <v>88.3</v>
      </c>
      <c r="H14" t="inlineStr">
        <is>
          <t>FLIR_mAP50=88.3 (Co-DETR)</t>
        </is>
      </c>
      <c r="K14" t="inlineStr">
        <is>
          <t>✅ Standard verified (IRDFusion GitHub README github.com/61s61min/IRDFusion, Co-DETR detector): FLIR mAP50=88.3; multispectral (RGB+IR) feature fusion — iterative relation-map difference guidance [基於多光譜融合/迭代關係圖差異特徵融合]</t>
        </is>
      </c>
      <c r="L14" t="inlineStr">
        <is>
          <t>https://arxiv.org/abs/2509.09085</t>
        </is>
      </c>
    </row>
    <row r="15">
      <c r="A15" t="inlineStr">
        <is>
          <t>Thermal-Multispectral OD</t>
        </is>
      </c>
      <c r="B15" t="inlineStr">
        <is>
          <t>IRDFusion</t>
        </is>
      </c>
      <c r="C15" t="inlineStr">
        <is>
          <t>Jifeng Shen, Haibo Zhan, Xin Zuo, Heng Fan, Xiaohui Yuan, Jun Li, Wankou Yang</t>
        </is>
      </c>
      <c r="D15" t="inlineStr">
        <is>
          <t>Pattern Recognition 2025 (arXiv 2509.09085)</t>
        </is>
      </c>
      <c r="E15" t="inlineStr">
        <is>
          <t>2025-09</t>
        </is>
      </c>
      <c r="F15" t="inlineStr">
        <is>
          <t>✅ Standard verified</t>
        </is>
      </c>
      <c r="G15" t="n">
        <v>98.40000000000001</v>
      </c>
      <c r="H15" t="inlineStr">
        <is>
          <t>LLVIP_mAP50=98.4 (Co-DETR)</t>
        </is>
      </c>
      <c r="K15" t="inlineStr">
        <is>
          <t>✅ Standard verified (IRDFusion GitHub README github.com/61s61min/IRDFusion, Co-DETR detector): LLVIP mAP50=98.4; multispectral (RGB+IR) feature fusion — iterative relation-map difference guidance [基於多光譜融合/迭代關係圖差異特徵融合]</t>
        </is>
      </c>
      <c r="L15" t="inlineStr">
        <is>
          <t>https://arxiv.org/abs/2509.09085</t>
        </is>
      </c>
    </row>
    <row r="16">
      <c r="A16" t="inlineStr">
        <is>
          <t>Thermal-Multispectral OD</t>
        </is>
      </c>
      <c r="B16" t="inlineStr">
        <is>
          <t>IRDFusion</t>
        </is>
      </c>
      <c r="C16" t="inlineStr">
        <is>
          <t>Jifeng Shen, Haibo Zhan, Xin Zuo, Heng Fan, Xiaohui Yuan, Jun Li, Wankou Yang</t>
        </is>
      </c>
      <c r="D16" t="inlineStr">
        <is>
          <t>Pattern Recognition 2025 (arXiv 2509.09085)</t>
        </is>
      </c>
      <c r="E16" t="inlineStr">
        <is>
          <t>2025-09</t>
        </is>
      </c>
      <c r="F16" t="inlineStr">
        <is>
          <t>✅ Standard verified</t>
        </is>
      </c>
      <c r="G16" t="n">
        <v>90.8</v>
      </c>
      <c r="H16" t="inlineStr">
        <is>
          <t>M3FD_mAP50=90.8 (Co-DETR)</t>
        </is>
      </c>
      <c r="K16" t="inlineStr">
        <is>
          <t>✅ Standard verified (IRDFusion GitHub README github.com/61s61min/IRDFusion, Co-DETR detector): M3FD mAP50=90.8; multispectral (RGB+IR) feature fusion — iterative relation-map difference guidance [基於多光譜融合/迭代關係圖差異特徵融合]</t>
        </is>
      </c>
      <c r="L16" t="inlineStr">
        <is>
          <t>https://arxiv.org/abs/2509.09085</t>
        </is>
      </c>
    </row>
    <row r="17">
      <c r="A17" t="inlineStr">
        <is>
          <t>Thermal-Multispectral OD</t>
        </is>
      </c>
      <c r="B17" t="inlineStr">
        <is>
          <t>CFMW</t>
        </is>
      </c>
      <c r="C17" t="inlineStr">
        <is>
          <t>Haoyu Lan, et al.</t>
        </is>
      </c>
      <c r="D17" t="inlineStr">
        <is>
          <t>IEEE TCSVT July 2025 (arXiv 2404.16302)</t>
        </is>
      </c>
      <c r="E17" t="inlineStr">
        <is>
          <t>2025-07</t>
        </is>
      </c>
      <c r="F17" t="inlineStr">
        <is>
          <t>⏳ Pending</t>
        </is>
      </c>
      <c r="H17" t="inlineStr">
        <is>
          <t>LLVIP+M3FD (SWVI dataset also)</t>
        </is>
      </c>
      <c r="K17" t="inlineStr">
        <is>
          <t>⏳ Pending — TCSVT July 2025 (arXiv 2404.16302); GitHub github.com/lhy-zju/CFMW has no metrics table; arXiv HTML 403 blocked; paper summary reports LLVIP mAP50=98.8 (claim) but NOT from official GitHub README or arXiv HTML table; multispectral OD under adverse weather (rain/haze/snow) using Mamba fusion + PADM weather recovery; new SWVI dataset (64k paired visible-infrared images) — awaiting authoritative table verification [基於多光譜融合/狀態空間模型Mamba/天氣自適應擴散]</t>
        </is>
      </c>
      <c r="L17" t="inlineStr">
        <is>
          <t>https://arxiv.org/abs/2404.16302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2026-04-27T06:02:32Z</dcterms:created>
  <dcterms:modified xsi:type="dcterms:W3CDTF">2026-07-26T19:15:24Z</dcterms:modified>
  <cp:lastModifiedBy>Bill Chuang</cp:lastModifiedBy>
</cp:coreProperties>
</file>