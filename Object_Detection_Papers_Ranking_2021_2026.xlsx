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Relationship Type="http://schemas.openxmlformats.org/officeDocument/2006/relationships/hyperlink" Target="https://arxiv.org/abs/2103.08860" TargetMode="External" Id="rId6"/><Relationship Type="http://schemas.openxmlformats.org/officeDocument/2006/relationships/hyperlink" Target="https://arxiv.org/abs/2202.01811" TargetMode="External" Id="rId7"/><Relationship Type="http://schemas.openxmlformats.org/officeDocument/2006/relationships/hyperlink" Target="https://arxiv.org/abs/2112.04532" TargetMode="External" Id="rId8"/><Relationship Type="http://schemas.openxmlformats.org/officeDocument/2006/relationships/hyperlink" Target="https://arxiv.org/abs/2207.01795" TargetMode="External" Id="rId9"/><Relationship Type="http://schemas.openxmlformats.org/officeDocument/2006/relationships/hyperlink" Target="https://arxiv.org/abs/2102.02956" TargetMode="External" Id="rId10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  <row r="305">
      <c r="A305" s="2" t="inlineStr">
        <is>
          <t>Few-Shot OD</t>
        </is>
      </c>
      <c r="B305" s="2" t="inlineStr">
        <is>
          <t>GiPL: Generative augmented iterative Pseudo-Labeling for Cross-Domain Few-Shot Object Dete</t>
        </is>
      </c>
      <c r="C305" s="2" t="inlineStr">
        <is>
          <t>Jiacong Liu, Shu Luo, Yikai Qin, Yaze Zhao, Yongwei Jiang, Yixiong Zou</t>
        </is>
      </c>
      <c r="D305" s="2" t="inlineStr">
        <is>
          <t>arXiv</t>
        </is>
      </c>
      <c r="E305" s="2" t="inlineStr">
        <is>
          <t>2026-05</t>
        </is>
      </c>
      <c r="F305" s="2" t="inlineStr">
        <is>
          <t>Auto-fetched from arXiv; metrics To verify</t>
        </is>
      </c>
      <c r="G305" s="9" t="inlineStr">
        <is>
          <t>https://arxiv.org/abs/2605.29539</t>
        </is>
      </c>
      <c r="H305" s="9" t="n"/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DO Val'!A1","Argoverse-HD DO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Detection-Only Val split</t>
        </is>
      </c>
    </row>
    <row r="13" ht="32.1" customHeight="1">
      <c r="A13" s="4" t="inlineStr">
        <is>
          <t>RGB Salient OD</t>
        </is>
      </c>
      <c r="B13" s="7">
        <f>HYPERLINK("#'DUTS-TE'!A1","DUTS-TE")</f>
        <v/>
      </c>
      <c r="C13" s="4" t="inlineStr">
        <is>
          <t>S-measure / Fβ / E-measure / MAE</t>
        </is>
      </c>
      <c r="D13" s="4" t="n"/>
      <c r="E13" s="4" t="inlineStr">
        <is>
          <t>S/E/F higher better; MAE lower better</t>
        </is>
      </c>
    </row>
    <row r="14" ht="32.1" customHeight="1">
      <c r="A14" s="4" t="inlineStr">
        <is>
          <t>RGB Salient OD</t>
        </is>
      </c>
      <c r="B14" s="7">
        <f>HYPERLINK("#'DUT-OMRON'!A1","DUT-OMRON")</f>
        <v/>
      </c>
      <c r="C14" s="4" t="inlineStr">
        <is>
          <t>S / Fβ / E / MAE</t>
        </is>
      </c>
      <c r="D14" s="4" t="n"/>
      <c r="E14" s="4" t="inlineStr">
        <is>
          <t>Same metric set as DUTS-TE</t>
        </is>
      </c>
    </row>
    <row r="15" ht="32.1" customHeight="1">
      <c r="A15" s="4" t="inlineStr">
        <is>
          <t>RGB Salient OD</t>
        </is>
      </c>
      <c r="B15" s="7">
        <f>HYPERLINK("#'ECSSD'!A1","ECSSD")</f>
        <v/>
      </c>
      <c r="C15" s="4" t="inlineStr">
        <is>
          <t>S / Fβ / E / MAE</t>
        </is>
      </c>
      <c r="D15" s="4" t="n"/>
      <c r="E15" s="4" t="n"/>
    </row>
    <row r="16" ht="32.1" customHeight="1">
      <c r="A16" s="4" t="inlineStr">
        <is>
          <t>RGB Salient OD</t>
        </is>
      </c>
      <c r="B16" s="7">
        <f>HYPERLINK("#'HKU-IS'!A1","HKU-IS")</f>
        <v/>
      </c>
      <c r="C16" s="4" t="inlineStr">
        <is>
          <t>S / Fβ / E / MAE</t>
        </is>
      </c>
      <c r="D16" s="4" t="n"/>
      <c r="E16" s="4" t="n"/>
    </row>
    <row r="17" ht="32.1" customHeight="1">
      <c r="A17" s="4" t="inlineStr">
        <is>
          <t>RGB Salient OD</t>
        </is>
      </c>
      <c r="B17" s="7">
        <f>HYPERLINK("#'PASCAL-S'!A1","PASCAL-S")</f>
        <v/>
      </c>
      <c r="C17" s="4" t="inlineStr">
        <is>
          <t>S / Fβ / E / MAE</t>
        </is>
      </c>
      <c r="D17" s="4" t="n"/>
      <c r="E17" s="4" t="n"/>
    </row>
    <row r="18" ht="32.1" customHeight="1">
      <c r="A18" s="4" t="inlineStr">
        <is>
          <t>RGB Salient OD</t>
        </is>
      </c>
      <c r="B18" s="7">
        <f>HYPERLINK("#'HRSOD'!A1","HRSOD")</f>
        <v/>
      </c>
      <c r="C18" s="4" t="inlineStr">
        <is>
          <t>S / Fβ / E / MAE</t>
        </is>
      </c>
      <c r="D18" s="4" t="n"/>
      <c r="E18" s="4" t="inlineStr">
        <is>
          <t>High-resolution SOD</t>
        </is>
      </c>
    </row>
    <row r="19" ht="32.1" customHeight="1">
      <c r="A19" s="4" t="inlineStr">
        <is>
          <t>RGB Salient OD</t>
        </is>
      </c>
      <c r="B19" s="7">
        <f>HYPERLINK("#'DAVIS-S'!A1","DAVIS-S")</f>
        <v/>
      </c>
      <c r="C19" s="4" t="inlineStr">
        <is>
          <t>S / Fβ / E / MAE</t>
        </is>
      </c>
      <c r="D19" s="4" t="n"/>
      <c r="E19" s="4" t="inlineStr">
        <is>
          <t>Sequence-derived SOD</t>
        </is>
      </c>
    </row>
    <row r="20" ht="32.1" customHeight="1">
      <c r="A20" s="4" t="inlineStr">
        <is>
          <t>RGB Salient OD</t>
        </is>
      </c>
      <c r="B20" s="7">
        <f>HYPERLINK("#'UHRSD'!A1","UHRSD")</f>
        <v/>
      </c>
      <c r="C20" s="4" t="inlineStr">
        <is>
          <t>S / Fβ / E / MAE</t>
        </is>
      </c>
      <c r="D20" s="4" t="n"/>
      <c r="E20" s="4" t="inlineStr">
        <is>
          <t>Ultra-high-res SOD</t>
        </is>
      </c>
    </row>
    <row r="21" ht="32.1" customHeight="1">
      <c r="A21" s="5" t="inlineStr">
        <is>
          <t>Few-Shot OD</t>
        </is>
      </c>
      <c r="B21" s="8">
        <f>HYPERLINK("#'MS-COCO 1-shot'!A1","MS-COCO 1-shot")</f>
        <v/>
      </c>
      <c r="C21" s="5" t="inlineStr">
        <is>
          <t>novel AP</t>
        </is>
      </c>
      <c r="D21" s="5" t="inlineStr">
        <is>
          <t>AP50</t>
        </is>
      </c>
      <c r="E21" s="5" t="inlineStr">
        <is>
          <t>1-shot setting must not mix with other shots</t>
        </is>
      </c>
    </row>
    <row r="22" ht="32.1" customHeight="1">
      <c r="A22" s="5" t="inlineStr">
        <is>
          <t>Few-Shot OD</t>
        </is>
      </c>
      <c r="B22" s="8">
        <f>HYPERLINK("#'MS-COCO 5-shot'!A1","MS-COCO 5-shot")</f>
        <v/>
      </c>
      <c r="C22" s="5" t="inlineStr">
        <is>
          <t>novel AP</t>
        </is>
      </c>
      <c r="D22" s="5" t="inlineStr">
        <is>
          <t>AP50</t>
        </is>
      </c>
      <c r="E22" s="5" t="inlineStr">
        <is>
          <t>5-shot setting must not mix with other shots</t>
        </is>
      </c>
    </row>
    <row r="23" ht="32.1" customHeight="1">
      <c r="A23" s="5" t="inlineStr">
        <is>
          <t>Few-Shot OD</t>
        </is>
      </c>
      <c r="B23" s="8">
        <f>HYPERLINK("#'MS-COCO 10-shot'!A1","MS-COCO 10-shot")</f>
        <v/>
      </c>
      <c r="C23" s="5" t="inlineStr">
        <is>
          <t>novel AP</t>
        </is>
      </c>
      <c r="D23" s="5" t="inlineStr">
        <is>
          <t>AP50</t>
        </is>
      </c>
      <c r="E23" s="5" t="inlineStr">
        <is>
          <t>10-shot setting must not mix with other shots</t>
        </is>
      </c>
    </row>
    <row r="24" ht="32.1" customHeight="1">
      <c r="A24" s="5" t="inlineStr">
        <is>
          <t>Few-Shot OD</t>
        </is>
      </c>
      <c r="B24" s="8">
        <f>HYPERLINK("#'MS-COCO 30-shot'!A1","MS-COCO 30-shot")</f>
        <v/>
      </c>
      <c r="C24" s="5" t="inlineStr">
        <is>
          <t>novel AP</t>
        </is>
      </c>
      <c r="D24" s="5" t="inlineStr">
        <is>
          <t>AP50</t>
        </is>
      </c>
      <c r="E24" s="5" t="inlineStr">
        <is>
          <t>30-shot setting must not mix with other shots</t>
        </is>
      </c>
    </row>
    <row r="25" ht="32.1" customHeight="1">
      <c r="A25" s="5" t="inlineStr">
        <is>
          <t>Few-Shot OD</t>
        </is>
      </c>
      <c r="B25" s="8">
        <f>HYPERLINK("#'COCO 2017 FSOD'!A1","COCO 2017 FSOD")</f>
        <v/>
      </c>
      <c r="C25" s="5" t="inlineStr">
        <is>
          <t>novel AP</t>
        </is>
      </c>
      <c r="D25" s="5" t="inlineStr">
        <is>
          <t>AP</t>
        </is>
      </c>
      <c r="E25" s="5" t="inlineStr">
        <is>
          <t>Generic COCO 2017 FSOD setting; verify shot setting per paper</t>
        </is>
      </c>
    </row>
    <row r="26" ht="32.1" customHeight="1">
      <c r="A26" s="5" t="inlineStr">
        <is>
          <t>Few-Shot OD</t>
        </is>
      </c>
      <c r="B26" s="8">
        <f>HYPERLINK("#'LVIS v1.0 val'!A1","LVIS v1.0 val")</f>
        <v/>
      </c>
      <c r="C26" s="5" t="inlineStr">
        <is>
          <t>AP / AP_rare</t>
        </is>
      </c>
      <c r="D26" s="5" t="n"/>
      <c r="E26" s="5" t="inlineStr">
        <is>
          <t>Long-tail; AP_rare is the FSOD-relevant slice</t>
        </is>
      </c>
    </row>
    <row r="27" ht="32.1" customHeight="1">
      <c r="A27" s="5" t="inlineStr">
        <is>
          <t>Few-Shot OD</t>
        </is>
      </c>
      <c r="B27" s="8">
        <f>HYPERLINK("#'ODinW-13'!A1","ODinW-13")</f>
        <v/>
      </c>
      <c r="C27" s="5" t="inlineStr">
        <is>
          <t>AP (avg of 13 datasets)</t>
        </is>
      </c>
      <c r="D27" s="5" t="inlineStr">
        <is>
          <t>Zero-shot vs fine-tuned — flag separately</t>
        </is>
      </c>
      <c r="E27" s="5" t="inlineStr">
        <is>
          <t>Object Detection in the Wild — 13 dataset suite</t>
        </is>
      </c>
    </row>
    <row r="28" ht="32.1" customHeight="1">
      <c r="A28" s="5" t="inlineStr">
        <is>
          <t>Few-Shot OD</t>
        </is>
      </c>
      <c r="B28" s="8">
        <f>HYPERLINK("#'ODinW-35'!A1","ODinW-35")</f>
        <v/>
      </c>
      <c r="C28" s="5" t="inlineStr">
        <is>
          <t>AP (avg of 35 datasets)</t>
        </is>
      </c>
      <c r="D28" s="5" t="inlineStr">
        <is>
          <t>Zero-shot vs fine-tuned — flag separately</t>
        </is>
      </c>
      <c r="E28" s="5" t="inlineStr">
        <is>
          <t>Object Detection in the Wild — 35 dataset suite</t>
        </is>
      </c>
    </row>
    <row r="29" ht="32.1" customHeight="1">
      <c r="A29" t="inlineStr">
        <is>
          <t>Open-World OD</t>
        </is>
      </c>
      <c r="B29">
        <f>HYPERLINK("#'Open-World OD'!A1","Open-World OD")</f>
        <v/>
      </c>
      <c r="C29" t="inlineStr">
        <is>
          <t>U-Recall (unknown) / mAP (known) — M-OWODB</t>
        </is>
      </c>
    </row>
    <row r="30" ht="32.1" customHeight="1">
      <c r="A30" t="inlineStr">
        <is>
          <t>3D-BEV OD</t>
        </is>
      </c>
      <c r="B30">
        <f>HYPERLINK("#'3D-BEV OD'!A1","3D-BEV OD")</f>
        <v/>
      </c>
      <c r="C30" t="inlineStr">
        <is>
          <t>3D AP (dataset-specific: CA-1M/KITTI/ScanNet)</t>
        </is>
      </c>
    </row>
    <row r="31" ht="32.1" customHeight="1">
      <c r="A31" t="inlineStr">
        <is>
          <t>Tiny-Object OD</t>
        </is>
      </c>
      <c r="B31">
        <f>HYPERLINK("#'Tiny-Object OD'!A1","Tiny-Object OD")</f>
        <v/>
      </c>
      <c r="C31" t="inlineStr">
        <is>
          <t>AP (tiny: AI-TOD / DOTA / remote-sensing)</t>
        </is>
      </c>
    </row>
    <row r="32" ht="32.1" customHeight="1">
      <c r="A32" t="inlineStr">
        <is>
          <t>Domain-Robust OD</t>
        </is>
      </c>
      <c r="B32">
        <f>HYPERLINK("#'Domain-Robust OD'!A1","Domain-Robust OD")</f>
        <v/>
      </c>
      <c r="C32" t="inlineStr">
        <is>
          <t>mAP / mAP50 / S-measure (dataset-specific; NOT a unified ranking)</t>
        </is>
      </c>
    </row>
    <row r="33" ht="32.1" customHeight="1">
      <c r="A33" t="inlineStr">
        <is>
          <t>Incremental OD</t>
        </is>
      </c>
      <c r="B33">
        <f>HYPERLINK("#'Incremental OD'!A1","Incremental OD")</f>
        <v/>
      </c>
      <c r="C33" t="inlineStr">
        <is>
          <t>VOC mAP@0.5 / COCO AP (dataset-specific; NOT a unified ranking)</t>
        </is>
      </c>
    </row>
    <row r="34" ht="32.1" customHeight="1">
      <c r="A34" t="inlineStr">
        <is>
          <t>Open-Vocabulary OD</t>
        </is>
      </c>
      <c r="B34">
        <f>HYPERLINK("#'Open-Vocabulary OD'!A1","Open-Vocabulary OD")</f>
        <v/>
      </c>
      <c r="C34" t="inlineStr">
        <is>
          <t>Novel AP / APr</t>
        </is>
      </c>
    </row>
    <row r="35" ht="32.1" customHeight="1">
      <c r="A35" t="inlineStr">
        <is>
          <t>Oriented-RS OD</t>
        </is>
      </c>
      <c r="B35">
        <f>HYPERLINK("#'Oriented-RS OD'!A1","Oriented-RS OD")</f>
        <v/>
      </c>
      <c r="C35" t="inlineStr">
        <is>
          <t>Oriented mAP</t>
        </is>
      </c>
    </row>
    <row r="36" ht="32.1" customHeight="1">
      <c r="A36" t="inlineStr">
        <is>
          <t>Referring OD</t>
        </is>
      </c>
      <c r="B36">
        <f>HYPERLINK("#'Referring OD'!A1","Referring OD")</f>
        <v/>
      </c>
      <c r="C36" t="inlineStr">
        <is>
          <t>Acc@0.5</t>
        </is>
      </c>
    </row>
    <row r="37">
      <c r="A37" t="inlineStr">
        <is>
          <t>Security-Robustness OD</t>
        </is>
      </c>
      <c r="B37">
        <f>HYPERLINK("#'Security-Robustness OD'!A1","Security-Robustness OD")</f>
        <v/>
      </c>
      <c r="C37" t="inlineStr">
        <is>
          <t>robust AP / F1·AUROC</t>
        </is>
      </c>
    </row>
    <row r="38">
      <c r="A38" t="inlineStr">
        <is>
          <t>Co-SOD &amp; Ranking</t>
        </is>
      </c>
      <c r="B38">
        <f>HYPERLINK("#'Co-SOD &amp; Ranking'!A1","Co-SOD &amp; Ranking")</f>
        <v/>
      </c>
      <c r="C38" t="inlineStr">
        <is>
          <t>S-measure / SA-SOR</t>
        </is>
      </c>
    </row>
    <row r="39">
      <c r="A39" t="inlineStr">
        <is>
          <t>CD-FSOD</t>
        </is>
      </c>
      <c r="B39">
        <f>HYPERLINK("#'CD-FSOD'!A1","CD-FSOD")</f>
        <v/>
      </c>
      <c r="C39" t="inlineStr">
        <is>
          <t>CD-FSOD novel AP</t>
        </is>
      </c>
    </row>
    <row r="40">
      <c r="A40" t="inlineStr">
        <is>
          <t>Event-Camera OD</t>
        </is>
      </c>
      <c r="B40">
        <f>HYPERLINK("#'Event-Camera OD'!A1","Event-Camera OD")</f>
        <v/>
      </c>
      <c r="C40" t="inlineStr">
        <is>
          <t>mAP (event Gen1/1Mpx)</t>
        </is>
      </c>
    </row>
    <row r="41">
      <c r="A41" t="inlineStr">
        <is>
          <t>Thermal-Multispectral OD</t>
        </is>
      </c>
      <c r="B41">
        <f>HYPERLINK("#'Thermal-Multispectral OD'!A1","Thermal-Multispectral OD")</f>
        <v/>
      </c>
      <c r="C41" t="inlineStr">
        <is>
          <t>mAP / mAP50 (thermal)</t>
        </is>
      </c>
    </row>
    <row r="42">
      <c r="A42" t="inlineStr">
        <is>
          <t>Camouflaged OD</t>
        </is>
      </c>
      <c r="B42">
        <f>HYPERLINK("#'Camouflaged OD'!A1","Camouflaged OD")</f>
        <v/>
      </c>
      <c r="C42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3" location="'Argoverse-HD DO Val'!A1" display="'Argoverse-HD DO Val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  <row r="45">
      <c r="A45" t="inlineStr">
        <is>
          <t>Real-Time OD</t>
        </is>
      </c>
      <c r="B45" t="inlineStr">
        <is>
          <t>Hyper-YOLO-L</t>
        </is>
      </c>
      <c r="C45" t="inlineStr">
        <is>
          <t>Feng et al.</t>
        </is>
      </c>
      <c r="D45" t="inlineStr">
        <is>
          <t>IEEE TPAMI</t>
        </is>
      </c>
      <c r="E45" t="inlineStr">
        <is>
          <t>2025-01</t>
        </is>
      </c>
      <c r="F45" t="inlineStr">
        <is>
          <t>✅ Standard verified</t>
        </is>
      </c>
      <c r="G45" t="n">
        <v>53.8</v>
      </c>
      <c r="H45" t="inlineStr">
        <is>
          <t>AP=53.8 | AP50=70.9</t>
        </is>
      </c>
      <c r="J45" t="inlineStr">
        <is>
          <t>56.3M</t>
        </is>
      </c>
      <c r="K45" t="inlineStr">
        <is>
          <t>✅ Standard verified (Hyper-YOLO 官方 repo iMoonLab README COCO val2017 表 + TPAMI 2025, arXiv 2408.04804): Hyper-YOLO-L AP=53.8, AP50=70.9, 56.3M params, 211.0 GFLOPs [Real-Time OD / 超圖 Hypergraph]</t>
        </is>
      </c>
      <c r="L45" t="inlineStr">
        <is>
          <t>https://arxiv.org/abs/2408.04804</t>
        </is>
      </c>
      <c r="M45" t="inlineStr">
        <is>
          <t>https://github.com/iMoonLab/Hyper-YOLO</t>
        </is>
      </c>
    </row>
    <row r="46">
      <c r="A46" t="inlineStr">
        <is>
          <t>Real-Time OD</t>
        </is>
      </c>
      <c r="B46" t="inlineStr">
        <is>
          <t>YOLO-MS</t>
        </is>
      </c>
      <c r="C46" t="inlineStr">
        <is>
          <t>Chen et al.</t>
        </is>
      </c>
      <c r="D46" t="inlineStr">
        <is>
          <t>IEEE TPAMI</t>
        </is>
      </c>
      <c r="E46" t="inlineStr">
        <is>
          <t>2025-02</t>
        </is>
      </c>
      <c r="F46" t="inlineStr">
        <is>
          <t>✅ Standard verified</t>
        </is>
      </c>
      <c r="G46" t="n">
        <v>49.7</v>
      </c>
      <c r="H46" t="inlineStr">
        <is>
          <t>AP=49.7 | AP50=67.2 | AP75=54.0</t>
        </is>
      </c>
      <c r="J46" t="inlineStr">
        <is>
          <t>23.3M</t>
        </is>
      </c>
      <c r="K46" t="inlineStr">
        <is>
          <t>✅ Standard verified (YOLO-MS arXiv 2308.05480 Table VIII, COCO val2017; TPAMI 2025 DOI 10.1109/TPAMI.2025.3538473): YOLO-MS AP=49.7, AP50=67.2, AP75=54.0, 23.3M params, 38.8 GMACs [Real-Time OD / 多尺度 Multi-scale]</t>
        </is>
      </c>
      <c r="L46" t="inlineStr">
        <is>
          <t>https://arxiv.org/abs/2308.05480</t>
        </is>
      </c>
      <c r="M46" t="inlineStr">
        <is>
          <t>https://github.com/FishAndWasabi/YOLO-MS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  <row r="15">
      <c r="A15" t="inlineStr">
        <is>
          <t>Few-Shot OD</t>
        </is>
      </c>
      <c r="B15" t="inlineStr">
        <is>
          <t>GiPL: Generative augmented iterative Pseudo-Labeling for Cross-Domain Few-Shot Object Dete</t>
        </is>
      </c>
      <c r="C15" t="inlineStr">
        <is>
          <t>Jiacong Liu, Shu Luo, Yikai Qin, Yaze Zhao, Yongwei Jiang, Yixiong Zou</t>
        </is>
      </c>
      <c r="D15" t="inlineStr">
        <is>
          <t>arXiv</t>
        </is>
      </c>
      <c r="E15" t="inlineStr">
        <is>
          <t>2026-05</t>
        </is>
      </c>
      <c r="F15" t="inlineStr">
        <is>
          <t>Preprint</t>
        </is>
      </c>
      <c r="K15" t="inlineStr">
        <is>
          <t>Auto-fetched from arXiv; metrics To verify</t>
        </is>
      </c>
      <c r="L15" t="inlineStr">
        <is>
          <t>https://arxiv.org/abs/2605.29539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2026-06-01T04:17:20Z</dcterms:modified>
  <cp:lastModifiedBy>Bill Chuang</cp:lastModifiedBy>
</cp:coreProperties>
</file>