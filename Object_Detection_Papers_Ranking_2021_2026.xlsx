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Relationship Type="http://schemas.openxmlformats.org/officeDocument/2006/relationships/hyperlink" Target="https://docs.ultralytics.com/models/yolo26/" TargetMode="External" Id="rId30"/><Relationship Type="http://schemas.openxmlformats.org/officeDocument/2006/relationships/hyperlink" Target="https://docs.ultralytics.com/models/yolo26/" TargetMode="External" Id="rId31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docs.ultralytics.com/models/yolo26/" TargetMode="External" Id="rId25"/><Relationship Type="http://schemas.openxmlformats.org/officeDocument/2006/relationships/hyperlink" Target="https://docs.ultralytics.com/models/yolo26/" TargetMode="External" Id="rId26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Relationship Type="http://schemas.openxmlformats.org/officeDocument/2006/relationships/hyperlink" Target="https://arxiv.org/abs/2303.12776" TargetMode="External" Id="rId15"/><Relationship Type="http://schemas.openxmlformats.org/officeDocument/2006/relationships/hyperlink" Target="https://arxiv.org/abs/2303.12776" TargetMode="External" Id="rId16"/><Relationship Type="http://schemas.openxmlformats.org/officeDocument/2006/relationships/hyperlink" Target="https://arxiv.org/abs/2303.12776" TargetMode="External" Id="rId17"/><Relationship Type="http://schemas.openxmlformats.org/officeDocument/2006/relationships/hyperlink" Target="https://arxiv.org/abs/2303.12776" TargetMode="External" Id="rId18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Relationship Type="http://schemas.openxmlformats.org/officeDocument/2006/relationships/hyperlink" Target="https://arxiv.org/abs/2407.15689" TargetMode="External" Id="rId9"/><Relationship Type="http://schemas.openxmlformats.org/officeDocument/2006/relationships/hyperlink" Target="https://arxiv.org/abs/2407.15689" TargetMode="External" Id="rId10"/><Relationship Type="http://schemas.openxmlformats.org/officeDocument/2006/relationships/hyperlink" Target="https://arxiv.org/abs/2407.15689" TargetMode="External" Id="rId11"/><Relationship Type="http://schemas.openxmlformats.org/officeDocument/2006/relationships/hyperlink" Target="https://arxiv.org/abs/2407.15689" TargetMode="External" Id="rId12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Relationship Type="http://schemas.openxmlformats.org/officeDocument/2006/relationships/hyperlink" Target="https://arxiv.org/abs/2309.08365" TargetMode="External" Id="rId19"/><Relationship Type="http://schemas.openxmlformats.org/officeDocument/2006/relationships/hyperlink" Target="https://arxiv.org/abs/2309.08365" TargetMode="External" Id="rId20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Relationship Type="http://schemas.openxmlformats.org/officeDocument/2006/relationships/hyperlink" Target="https://arxiv.org/abs/2204.05041" TargetMode="External" Id="rId13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204.05041" TargetMode="External" Id="rId5"/><Relationship Type="http://schemas.openxmlformats.org/officeDocument/2006/relationships/hyperlink" Target="https://arxiv.org/abs/2204.05041" TargetMode="External" Id="rId6"/><Relationship Type="http://schemas.openxmlformats.org/officeDocument/2006/relationships/hyperlink" Target="https://arxiv.org/abs/2204.05041" TargetMode="External" Id="rId7"/><Relationship Type="http://schemas.openxmlformats.org/officeDocument/2006/relationships/hyperlink" Target="https://arxiv.org/abs/2204.05041" TargetMode="External" Id="rId8"/><Relationship Type="http://schemas.openxmlformats.org/officeDocument/2006/relationships/hyperlink" Target="https://arxiv.org/abs/2204.05041" TargetMode="External" Id="rId9"/><Relationship Type="http://schemas.openxmlformats.org/officeDocument/2006/relationships/hyperlink" Target="https://arxiv.org/abs/2204.05041" TargetMode="External" Id="rId10"/><Relationship Type="http://schemas.openxmlformats.org/officeDocument/2006/relationships/hyperlink" Target="https://arxiv.org/abs/2204.05041" TargetMode="External" Id="rId11"/><Relationship Type="http://schemas.openxmlformats.org/officeDocument/2006/relationships/hyperlink" Target="https://arxiv.org/abs/2204.05041" TargetMode="External" Id="rId12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2203.15021" TargetMode="External" Id="rId15"/><Relationship Type="http://schemas.openxmlformats.org/officeDocument/2006/relationships/hyperlink" Target="https://arxiv.org/abs/2203.15021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203.15021" TargetMode="External" Id="rId17"/><Relationship Type="http://schemas.openxmlformats.org/officeDocument/2006/relationships/hyperlink" Target="https://arxiv.org/abs/2203.15021" TargetMode="External" Id="rId18"/><Relationship Type="http://schemas.openxmlformats.org/officeDocument/2006/relationships/hyperlink" Target="https://arxiv.org/abs/2203.15021" TargetMode="External" Id="rId19"/><Relationship Type="http://schemas.openxmlformats.org/officeDocument/2006/relationships/hyperlink" Target="https://arxiv.org/abs/2203.15021" TargetMode="External" Id="rId20"/><Relationship Type="http://schemas.openxmlformats.org/officeDocument/2006/relationships/hyperlink" Target="https://arxiv.org/abs/2203.15021" TargetMode="External" Id="rId21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312.02153" TargetMode="External" Id="rId15"/><Relationship Type="http://schemas.openxmlformats.org/officeDocument/2006/relationships/hyperlink" Target="https://arxiv.org/abs/2401.02361" TargetMode="External" Id="rId16"/><Relationship Type="http://schemas.openxmlformats.org/officeDocument/2006/relationships/hyperlink" Target="https://arxiv.org/abs/2312.02153" TargetMode="External" Id="rId17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Relationship Type="http://schemas.openxmlformats.org/officeDocument/2006/relationships/hyperlink" Target="https://arxiv.org/abs/2312.02153" TargetMode="External" Id="rId9"/><Relationship Type="http://schemas.openxmlformats.org/officeDocument/2006/relationships/hyperlink" Target="https://arxiv.org/abs/2401.02361" TargetMode="External" Id="rId10"/><Relationship Type="http://schemas.openxmlformats.org/officeDocument/2006/relationships/hyperlink" Target="https://arxiv.org/abs/2312.02153" TargetMode="External" Id="rId11"/><Relationship Type="http://schemas.openxmlformats.org/officeDocument/2006/relationships/hyperlink" Target="https://arxiv.org/abs/2312.02153" TargetMode="External" Id="rId12"/><Relationship Type="http://schemas.openxmlformats.org/officeDocument/2006/relationships/hyperlink" Target="https://arxiv.org/abs/2312.02153" TargetMode="External" Id="rId13"/><Relationship Type="http://schemas.openxmlformats.org/officeDocument/2006/relationships/hyperlink" Target="https://arxiv.org/abs/2312.02153" TargetMode="External" Id="rId14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Relationship Type="http://schemas.openxmlformats.org/officeDocument/2006/relationships/hyperlink" Target="https://arxiv.org/abs/2212.01424" TargetMode="External" Id="rId5"/><Relationship Type="http://schemas.openxmlformats.org/officeDocument/2006/relationships/hyperlink" Target="https://arxiv.org/abs/2212.01424" TargetMode="External" Id="rId6"/><Relationship Type="http://schemas.openxmlformats.org/officeDocument/2006/relationships/hyperlink" Target="https://arxiv.org/abs/2212.01424" TargetMode="External" Id="rId7"/><Relationship Type="http://schemas.openxmlformats.org/officeDocument/2006/relationships/hyperlink" Target="https://arxiv.org/abs/2212.01424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arxiv.org/abs/2212.01424" TargetMode="External" Id="rId10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Relationship Type="http://schemas.openxmlformats.org/officeDocument/2006/relationships/hyperlink" Target="https://arxiv.org/abs/2308.09534" TargetMode="External" Id="rId6"/><Relationship Type="http://schemas.openxmlformats.org/officeDocument/2006/relationships/hyperlink" Target="https://arxiv.org/abs/2308.09534" TargetMode="External" Id="rId7"/><Relationship Type="http://schemas.openxmlformats.org/officeDocument/2006/relationships/hyperlink" Target="https://arxiv.org/abs/2308.09534" TargetMode="External" Id="rId8"/><Relationship Type="http://schemas.openxmlformats.org/officeDocument/2006/relationships/hyperlink" Target="https://arxiv.org/abs/2308.09534" TargetMode="External" Id="rId9"/><Relationship Type="http://schemas.openxmlformats.org/officeDocument/2006/relationships/hyperlink" Target="https://arxiv.org/abs/2308.09534" TargetMode="External" Id="rId10"/><Relationship Type="http://schemas.openxmlformats.org/officeDocument/2006/relationships/hyperlink" Target="https://arxiv.org/abs/2308.09534" TargetMode="External" Id="rId11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4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5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6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7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8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9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0"/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1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Relationship Type="http://schemas.openxmlformats.org/officeDocument/2006/relationships/hyperlink" Target="https://arxiv.org/abs/2303.09030" TargetMode="External" Id="rId7"/><Relationship Type="http://schemas.openxmlformats.org/officeDocument/2006/relationships/hyperlink" Target="https://arxiv.org/abs/2303.09030" TargetMode="External" Id="rId8"/><Relationship Type="http://schemas.openxmlformats.org/officeDocument/2006/relationships/hyperlink" Target="https://arxiv.org/abs/2303.09030" TargetMode="External" Id="rId9"/><Relationship Type="http://schemas.openxmlformats.org/officeDocument/2006/relationships/hyperlink" Target="https://arxiv.org/abs/2303.09030" TargetMode="External" Id="rId10"/><Relationship Type="http://schemas.openxmlformats.org/officeDocument/2006/relationships/hyperlink" Target="https://arxiv.org/abs/2303.09030" TargetMode="External" Id="rId11"/><Relationship Type="http://schemas.openxmlformats.org/officeDocument/2006/relationships/hyperlink" Target="https://arxiv.org/abs/2303.09030" TargetMode="External" Id="rId12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Relationship Type="http://schemas.openxmlformats.org/officeDocument/2006/relationships/hyperlink" Target="https://arxiv.org/abs/2303.06674" TargetMode="External" Id="rId4"/><Relationship Type="http://schemas.openxmlformats.org/officeDocument/2006/relationships/hyperlink" Target="https://arxiv.org/abs/2303.06674" TargetMode="External" Id="rId5"/><Relationship Type="http://schemas.openxmlformats.org/officeDocument/2006/relationships/hyperlink" Target="https://arxiv.org/abs/2303.06674" TargetMode="External" Id="rId6"/><Relationship Type="http://schemas.openxmlformats.org/officeDocument/2006/relationships/hyperlink" Target="https://arxiv.org/abs/2303.06674" TargetMode="External" Id="rId7"/><Relationship Type="http://schemas.openxmlformats.org/officeDocument/2006/relationships/hyperlink" Target="https://arxiv.org/abs/2303.06674" TargetMode="External" Id="rId8"/><Relationship Type="http://schemas.openxmlformats.org/officeDocument/2006/relationships/hyperlink" Target="https://arxiv.org/abs/2303.06674" TargetMode="External" Id="rId9"/><Relationship Type="http://schemas.openxmlformats.org/officeDocument/2006/relationships/hyperlink" Target="https://arxiv.org/abs/2303.06674" TargetMode="External" Id="rId10"/><Relationship Type="http://schemas.openxmlformats.org/officeDocument/2006/relationships/hyperlink" Target="https://arxiv.org/abs/2303.06674" TargetMode="External" Id="rId11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Relationship Type="http://schemas.openxmlformats.org/officeDocument/2006/relationships/hyperlink" Target="https://arxiv.org/abs/2103.08860" TargetMode="External" Id="rId6"/><Relationship Type="http://schemas.openxmlformats.org/officeDocument/2006/relationships/hyperlink" Target="https://arxiv.org/abs/2202.01811" TargetMode="External" Id="rId7"/><Relationship Type="http://schemas.openxmlformats.org/officeDocument/2006/relationships/hyperlink" Target="https://arxiv.org/abs/2112.04532" TargetMode="External" Id="rId8"/><Relationship Type="http://schemas.openxmlformats.org/officeDocument/2006/relationships/hyperlink" Target="https://arxiv.org/abs/2207.01795" TargetMode="External" Id="rId9"/><Relationship Type="http://schemas.openxmlformats.org/officeDocument/2006/relationships/hyperlink" Target="https://arxiv.org/abs/2102.02956" TargetMode="External" Id="rId10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Relationship Type="http://schemas.openxmlformats.org/officeDocument/2006/relationships/hyperlink" Target="https://arxiv.org/abs/2205.15469" TargetMode="External" Id="rId3"/><Relationship Type="http://schemas.openxmlformats.org/officeDocument/2006/relationships/hyperlink" Target="https://arxiv.org/abs/2205.15469" TargetMode="External" Id="rId4"/><Relationship Type="http://schemas.openxmlformats.org/officeDocument/2006/relationships/hyperlink" Target="https://arxiv.org/abs/2205.15469" TargetMode="External" Id="rId5"/><Relationship Type="http://schemas.openxmlformats.org/officeDocument/2006/relationships/hyperlink" Target="https://arxiv.org/abs/2205.15469" TargetMode="External" Id="rId6"/><Relationship Type="http://schemas.openxmlformats.org/officeDocument/2006/relationships/hyperlink" Target="https://arxiv.org/abs/2205.15469" TargetMode="External" Id="rId7"/><Relationship Type="http://schemas.openxmlformats.org/officeDocument/2006/relationships/hyperlink" Target="https://arxiv.org/abs/2205.15469" TargetMode="External" Id="rId8"/><Relationship Type="http://schemas.openxmlformats.org/officeDocument/2006/relationships/hyperlink" Target="https://arxiv.org/abs/2205.15469" TargetMode="External" Id="rId9"/><Relationship Type="http://schemas.openxmlformats.org/officeDocument/2006/relationships/hyperlink" Target="https://arxiv.org/abs/2205.15469" TargetMode="External" Id="rId10"/><Relationship Type="http://schemas.openxmlformats.org/officeDocument/2006/relationships/hyperlink" Target="https://arxiv.org/abs/2205.15469" TargetMode="External" Id="rId11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Relationship Type="http://schemas.openxmlformats.org/officeDocument/2006/relationships/hyperlink" Target="https://arxiv.org/abs/2402.03094" TargetMode="External" Id="rId4"/><Relationship Type="http://schemas.openxmlformats.org/officeDocument/2006/relationships/hyperlink" Target="https://arxiv.org/abs/2402.03094" TargetMode="External" Id="rId5"/><Relationship Type="http://schemas.openxmlformats.org/officeDocument/2006/relationships/hyperlink" Target="https://arxiv.org/abs/2402.03094" TargetMode="External" Id="rId6"/><Relationship Type="http://schemas.openxmlformats.org/officeDocument/2006/relationships/hyperlink" Target="https://arxiv.org/abs/2402.03094" TargetMode="External" Id="rId7"/><Relationship Type="http://schemas.openxmlformats.org/officeDocument/2006/relationships/hyperlink" Target="https://arxiv.org/abs/2402.03094" TargetMode="External" Id="rId8"/><Relationship Type="http://schemas.openxmlformats.org/officeDocument/2006/relationships/hyperlink" Target="https://arxiv.org/abs/2402.03094" TargetMode="External" Id="rId9"/><Relationship Type="http://schemas.openxmlformats.org/officeDocument/2006/relationships/hyperlink" Target="https://arxiv.org/abs/2402.03094" TargetMode="External" Id="rId10"/><Relationship Type="http://schemas.openxmlformats.org/officeDocument/2006/relationships/hyperlink" Target="https://arxiv.org/abs/2402.03094" TargetMode="External" Id="rId11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Relationship Type="http://schemas.openxmlformats.org/officeDocument/2006/relationships/hyperlink" Target="https://arxiv.org/abs/2212.05598" TargetMode="External" Id="rId2"/><Relationship Type="http://schemas.openxmlformats.org/officeDocument/2006/relationships/hyperlink" Target="https://arxiv.org/abs/2212.05598" TargetMode="External" Id="rId3"/><Relationship Type="http://schemas.openxmlformats.org/officeDocument/2006/relationships/hyperlink" Target="https://arxiv.org/abs/2212.05598" TargetMode="External" Id="rId4"/><Relationship Type="http://schemas.openxmlformats.org/officeDocument/2006/relationships/hyperlink" Target="https://arxiv.org/abs/2212.05598" TargetMode="External" Id="rId5"/><Relationship Type="http://schemas.openxmlformats.org/officeDocument/2006/relationships/hyperlink" Target="https://arxiv.org/abs/2212.05598" TargetMode="External" Id="rId6"/><Relationship Type="http://schemas.openxmlformats.org/officeDocument/2006/relationships/hyperlink" Target="https://arxiv.org/abs/2212.05598" TargetMode="External" Id="rId7"/><Relationship Type="http://schemas.openxmlformats.org/officeDocument/2006/relationships/hyperlink" Target="https://arxiv.org/abs/2212.05598" TargetMode="External" Id="rId8"/><Relationship Type="http://schemas.openxmlformats.org/officeDocument/2006/relationships/hyperlink" Target="https://arxiv.org/abs/2212.05598" TargetMode="External" Id="rId9"/><Relationship Type="http://schemas.openxmlformats.org/officeDocument/2006/relationships/hyperlink" Target="https://arxiv.org/abs/2212.05598" TargetMode="External" Id="rId10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Relationship Type="http://schemas.openxmlformats.org/officeDocument/2006/relationships/hyperlink" Target="https://arxiv.org/abs/2308.07504" TargetMode="External" Id="rId6"/><Relationship Type="http://schemas.openxmlformats.org/officeDocument/2006/relationships/hyperlink" Target="https://arxiv.org/abs/2308.07504" TargetMode="External" Id="rId7"/><Relationship Type="http://schemas.openxmlformats.org/officeDocument/2006/relationships/hyperlink" Target="https://arxiv.org/abs/2308.07504" TargetMode="External" Id="rId8"/><Relationship Type="http://schemas.openxmlformats.org/officeDocument/2006/relationships/hyperlink" Target="https://arxiv.org/abs/2308.07504" TargetMode="External" Id="rId9"/><Relationship Type="http://schemas.openxmlformats.org/officeDocument/2006/relationships/hyperlink" Target="https://arxiv.org/abs/2308.07504" TargetMode="External" Id="rId10"/><Relationship Type="http://schemas.openxmlformats.org/officeDocument/2006/relationships/hyperlink" Target="https://arxiv.org/abs/2308.07504" TargetMode="External" Id="rId11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Relationship Type="http://schemas.openxmlformats.org/officeDocument/2006/relationships/hyperlink" Target="https://arxiv.org/abs/2303.14816" TargetMode="External" Id="rId8"/><Relationship Type="http://schemas.openxmlformats.org/officeDocument/2006/relationships/hyperlink" Target="https://arxiv.org/abs/2303.14816" TargetMode="External" Id="rId9"/><Relationship Type="http://schemas.openxmlformats.org/officeDocument/2006/relationships/hyperlink" Target="https://arxiv.org/abs/2303.14816" TargetMode="External" Id="rId10"/><Relationship Type="http://schemas.openxmlformats.org/officeDocument/2006/relationships/hyperlink" Target="https://arxiv.org/abs/2303.14816" TargetMode="External" Id="rId11"/><Relationship Type="http://schemas.openxmlformats.org/officeDocument/2006/relationships/hyperlink" Target="https://arxiv.org/abs/2303.14816" TargetMode="External" Id="rId12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✅ Cross-paper verified (official Ultralytics YOLO26 docs): COCO val2017 mAP50-95=55.0 (YOLO26l, 24.8M, T4-TRT 6.2ms)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✅ Cross-paper verified (official Ultralytics YOLO26 docs): COCO val2017 mAP50-95=40.9 (YOLO26n, 2.4M, T4-TRT 1.7ms)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2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DO Val'!A1","Argoverse-HD DO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Detection-Only Val split</t>
        </is>
      </c>
    </row>
    <row r="13" ht="32.1" customHeight="1">
      <c r="A13" s="4" t="inlineStr">
        <is>
          <t>RGB Salient OD</t>
        </is>
      </c>
      <c r="B13" s="7">
        <f>HYPERLINK("#'DUTS-TE'!A1","DUTS-TE")</f>
        <v/>
      </c>
      <c r="C13" s="4" t="inlineStr">
        <is>
          <t>S-measure / Fβ / E-measure / MAE</t>
        </is>
      </c>
      <c r="D13" s="4" t="n"/>
      <c r="E13" s="4" t="inlineStr">
        <is>
          <t>S/E/F higher better; MAE lower better</t>
        </is>
      </c>
    </row>
    <row r="14" ht="32.1" customHeight="1">
      <c r="A14" s="4" t="inlineStr">
        <is>
          <t>RGB Salient OD</t>
        </is>
      </c>
      <c r="B14" s="7">
        <f>HYPERLINK("#'DUT-OMRON'!A1","DUT-OMRON")</f>
        <v/>
      </c>
      <c r="C14" s="4" t="inlineStr">
        <is>
          <t>S / Fβ / E / MAE</t>
        </is>
      </c>
      <c r="D14" s="4" t="n"/>
      <c r="E14" s="4" t="inlineStr">
        <is>
          <t>Same metric set as DUTS-TE</t>
        </is>
      </c>
    </row>
    <row r="15" ht="32.1" customHeight="1">
      <c r="A15" s="4" t="inlineStr">
        <is>
          <t>RGB Salient OD</t>
        </is>
      </c>
      <c r="B15" s="7">
        <f>HYPERLINK("#'ECSSD'!A1","ECSSD")</f>
        <v/>
      </c>
      <c r="C15" s="4" t="inlineStr">
        <is>
          <t>S / Fβ / E / MAE</t>
        </is>
      </c>
      <c r="D15" s="4" t="n"/>
      <c r="E15" s="4" t="n"/>
    </row>
    <row r="16" ht="32.1" customHeight="1">
      <c r="A16" s="4" t="inlineStr">
        <is>
          <t>RGB Salient OD</t>
        </is>
      </c>
      <c r="B16" s="7">
        <f>HYPERLINK("#'HKU-IS'!A1","HKU-IS")</f>
        <v/>
      </c>
      <c r="C16" s="4" t="inlineStr">
        <is>
          <t>S / Fβ / E / MAE</t>
        </is>
      </c>
      <c r="D16" s="4" t="n"/>
      <c r="E16" s="4" t="n"/>
    </row>
    <row r="17" ht="32.1" customHeight="1">
      <c r="A17" s="4" t="inlineStr">
        <is>
          <t>RGB Salient OD</t>
        </is>
      </c>
      <c r="B17" s="7">
        <f>HYPERLINK("#'PASCAL-S'!A1","PASCAL-S")</f>
        <v/>
      </c>
      <c r="C17" s="4" t="inlineStr">
        <is>
          <t>S / Fβ / E / MAE</t>
        </is>
      </c>
      <c r="D17" s="4" t="n"/>
      <c r="E17" s="4" t="n"/>
    </row>
    <row r="18" ht="32.1" customHeight="1">
      <c r="A18" s="4" t="inlineStr">
        <is>
          <t>RGB Salient OD</t>
        </is>
      </c>
      <c r="B18" s="7">
        <f>HYPERLINK("#'HRSOD'!A1","HRSOD")</f>
        <v/>
      </c>
      <c r="C18" s="4" t="inlineStr">
        <is>
          <t>S / Fβ / E / MAE</t>
        </is>
      </c>
      <c r="D18" s="4" t="n"/>
      <c r="E18" s="4" t="inlineStr">
        <is>
          <t>High-resolution SOD</t>
        </is>
      </c>
    </row>
    <row r="19" ht="32.1" customHeight="1">
      <c r="A19" s="4" t="inlineStr">
        <is>
          <t>RGB Salient OD</t>
        </is>
      </c>
      <c r="B19" s="7">
        <f>HYPERLINK("#'DAVIS-S'!A1","DAVIS-S")</f>
        <v/>
      </c>
      <c r="C19" s="4" t="inlineStr">
        <is>
          <t>S / Fβ / E / MAE</t>
        </is>
      </c>
      <c r="D19" s="4" t="n"/>
      <c r="E19" s="4" t="inlineStr">
        <is>
          <t>Sequence-derived SOD</t>
        </is>
      </c>
    </row>
    <row r="20" ht="32.1" customHeight="1">
      <c r="A20" s="4" t="inlineStr">
        <is>
          <t>RGB Salient OD</t>
        </is>
      </c>
      <c r="B20" s="7">
        <f>HYPERLINK("#'UHRSD'!A1","UHRSD")</f>
        <v/>
      </c>
      <c r="C20" s="4" t="inlineStr">
        <is>
          <t>S / Fβ / E / MAE</t>
        </is>
      </c>
      <c r="D20" s="4" t="n"/>
      <c r="E20" s="4" t="inlineStr">
        <is>
          <t>Ultra-high-res SOD</t>
        </is>
      </c>
    </row>
    <row r="21" ht="32.1" customHeight="1">
      <c r="A21" s="5" t="inlineStr">
        <is>
          <t>Few-Shot OD</t>
        </is>
      </c>
      <c r="B21" s="8">
        <f>HYPERLINK("#'MS-COCO 1-shot'!A1","MS-COCO 1-shot")</f>
        <v/>
      </c>
      <c r="C21" s="5" t="inlineStr">
        <is>
          <t>novel AP</t>
        </is>
      </c>
      <c r="D21" s="5" t="inlineStr">
        <is>
          <t>AP50</t>
        </is>
      </c>
      <c r="E21" s="5" t="inlineStr">
        <is>
          <t>1-shot setting must not mix with other shots</t>
        </is>
      </c>
    </row>
    <row r="22" ht="32.1" customHeight="1">
      <c r="A22" s="5" t="inlineStr">
        <is>
          <t>Few-Shot OD</t>
        </is>
      </c>
      <c r="B22" s="8">
        <f>HYPERLINK("#'MS-COCO 5-shot'!A1","MS-COCO 5-shot")</f>
        <v/>
      </c>
      <c r="C22" s="5" t="inlineStr">
        <is>
          <t>novel AP</t>
        </is>
      </c>
      <c r="D22" s="5" t="inlineStr">
        <is>
          <t>AP50</t>
        </is>
      </c>
      <c r="E22" s="5" t="inlineStr">
        <is>
          <t>5-shot setting must not mix with other shots</t>
        </is>
      </c>
    </row>
    <row r="23" ht="32.1" customHeight="1">
      <c r="A23" s="5" t="inlineStr">
        <is>
          <t>Few-Shot OD</t>
        </is>
      </c>
      <c r="B23" s="8">
        <f>HYPERLINK("#'MS-COCO 10-shot'!A1","MS-COCO 10-shot")</f>
        <v/>
      </c>
      <c r="C23" s="5" t="inlineStr">
        <is>
          <t>novel AP</t>
        </is>
      </c>
      <c r="D23" s="5" t="inlineStr">
        <is>
          <t>AP50</t>
        </is>
      </c>
      <c r="E23" s="5" t="inlineStr">
        <is>
          <t>10-shot setting must not mix with other shots</t>
        </is>
      </c>
    </row>
    <row r="24" ht="32.1" customHeight="1">
      <c r="A24" s="5" t="inlineStr">
        <is>
          <t>Few-Shot OD</t>
        </is>
      </c>
      <c r="B24" s="8">
        <f>HYPERLINK("#'MS-COCO 30-shot'!A1","MS-COCO 30-shot")</f>
        <v/>
      </c>
      <c r="C24" s="5" t="inlineStr">
        <is>
          <t>novel AP</t>
        </is>
      </c>
      <c r="D24" s="5" t="inlineStr">
        <is>
          <t>AP50</t>
        </is>
      </c>
      <c r="E24" s="5" t="inlineStr">
        <is>
          <t>30-shot setting must not mix with other shots</t>
        </is>
      </c>
    </row>
    <row r="25" ht="32.1" customHeight="1">
      <c r="A25" s="5" t="inlineStr">
        <is>
          <t>Few-Shot OD</t>
        </is>
      </c>
      <c r="B25" s="8">
        <f>HYPERLINK("#'COCO 2017 FSOD'!A1","COCO 2017 FSOD")</f>
        <v/>
      </c>
      <c r="C25" s="5" t="inlineStr">
        <is>
          <t>novel AP</t>
        </is>
      </c>
      <c r="D25" s="5" t="inlineStr">
        <is>
          <t>AP</t>
        </is>
      </c>
      <c r="E25" s="5" t="inlineStr">
        <is>
          <t>Generic COCO 2017 FSOD setting; verify shot setting per paper</t>
        </is>
      </c>
    </row>
    <row r="26" ht="32.1" customHeight="1">
      <c r="A26" s="5" t="inlineStr">
        <is>
          <t>Few-Shot OD</t>
        </is>
      </c>
      <c r="B26" s="8">
        <f>HYPERLINK("#'LVIS v1.0 val'!A1","LVIS v1.0 val")</f>
        <v/>
      </c>
      <c r="C26" s="5" t="inlineStr">
        <is>
          <t>AP / AP_rare</t>
        </is>
      </c>
      <c r="D26" s="5" t="n"/>
      <c r="E26" s="5" t="inlineStr">
        <is>
          <t>Long-tail; AP_rare is the FSOD-relevant slice</t>
        </is>
      </c>
    </row>
    <row r="27" ht="32.1" customHeight="1">
      <c r="A27" s="5" t="inlineStr">
        <is>
          <t>Few-Shot OD</t>
        </is>
      </c>
      <c r="B27" s="8">
        <f>HYPERLINK("#'ODinW-13'!A1","ODinW-13")</f>
        <v/>
      </c>
      <c r="C27" s="5" t="inlineStr">
        <is>
          <t>AP (avg of 13 datasets)</t>
        </is>
      </c>
      <c r="D27" s="5" t="inlineStr">
        <is>
          <t>Zero-shot vs fine-tuned — flag separately</t>
        </is>
      </c>
      <c r="E27" s="5" t="inlineStr">
        <is>
          <t>Object Detection in the Wild — 13 dataset suite</t>
        </is>
      </c>
    </row>
    <row r="28" ht="32.1" customHeight="1">
      <c r="A28" s="5" t="inlineStr">
        <is>
          <t>Few-Shot OD</t>
        </is>
      </c>
      <c r="B28" s="8">
        <f>HYPERLINK("#'ODinW-35'!A1","ODinW-35")</f>
        <v/>
      </c>
      <c r="C28" s="5" t="inlineStr">
        <is>
          <t>AP (avg of 35 datasets)</t>
        </is>
      </c>
      <c r="D28" s="5" t="inlineStr">
        <is>
          <t>Zero-shot vs fine-tuned — flag separately</t>
        </is>
      </c>
      <c r="E28" s="5" t="inlineStr">
        <is>
          <t>Object Detection in the Wild — 35 dataset suite</t>
        </is>
      </c>
    </row>
    <row r="29" ht="32.1" customHeight="1">
      <c r="A29" t="inlineStr">
        <is>
          <t>Open-World OD</t>
        </is>
      </c>
      <c r="B29">
        <f>HYPERLINK("#'Open-World OD'!A1","Open-World OD")</f>
        <v/>
      </c>
      <c r="C29" t="inlineStr">
        <is>
          <t>U-Recall (unknown) / mAP (known) — M-OWODB</t>
        </is>
      </c>
    </row>
    <row r="30" ht="32.1" customHeight="1">
      <c r="A30" t="inlineStr">
        <is>
          <t>3D-BEV OD</t>
        </is>
      </c>
      <c r="B30">
        <f>HYPERLINK("#'3D-BEV OD'!A1","3D-BEV OD")</f>
        <v/>
      </c>
      <c r="C30" t="inlineStr">
        <is>
          <t>3D AP (dataset-specific: CA-1M/KITTI/ScanNet)</t>
        </is>
      </c>
    </row>
    <row r="31" ht="32.1" customHeight="1">
      <c r="A31" t="inlineStr">
        <is>
          <t>Tiny-Object OD</t>
        </is>
      </c>
      <c r="B31">
        <f>HYPERLINK("#'Tiny-Object OD'!A1","Tiny-Object OD")</f>
        <v/>
      </c>
      <c r="C31" t="inlineStr">
        <is>
          <t>AP (tiny: AI-TOD / DOTA / remote-sensing)</t>
        </is>
      </c>
    </row>
    <row r="32" ht="32.1" customHeight="1">
      <c r="A32" t="inlineStr">
        <is>
          <t>Domain-Robust OD</t>
        </is>
      </c>
      <c r="B32">
        <f>HYPERLINK("#'Domain-Robust OD'!A1","Domain-Robust OD")</f>
        <v/>
      </c>
      <c r="C32" t="inlineStr">
        <is>
          <t>mAP / mAP50 / S-measure (dataset-specific; NOT a unified ranking)</t>
        </is>
      </c>
    </row>
    <row r="33" ht="32.1" customHeight="1">
      <c r="A33" t="inlineStr">
        <is>
          <t>Incremental OD</t>
        </is>
      </c>
      <c r="B33">
        <f>HYPERLINK("#'Incremental OD'!A1","Incremental OD")</f>
        <v/>
      </c>
      <c r="C33" t="inlineStr">
        <is>
          <t>VOC mAP@0.5 / COCO AP (dataset-specific; NOT a unified ranking)</t>
        </is>
      </c>
    </row>
    <row r="34" ht="32.1" customHeight="1">
      <c r="A34" t="inlineStr">
        <is>
          <t>Open-Vocabulary OD</t>
        </is>
      </c>
      <c r="B34">
        <f>HYPERLINK("#'Open-Vocabulary OD'!A1","Open-Vocabulary OD")</f>
        <v/>
      </c>
      <c r="C34" t="inlineStr">
        <is>
          <t>Novel AP / APr</t>
        </is>
      </c>
    </row>
    <row r="35" ht="32.1" customHeight="1">
      <c r="A35" t="inlineStr">
        <is>
          <t>Oriented-RS OD</t>
        </is>
      </c>
      <c r="B35">
        <f>HYPERLINK("#'Oriented-RS OD'!A1","Oriented-RS OD")</f>
        <v/>
      </c>
      <c r="C35" t="inlineStr">
        <is>
          <t>Oriented mAP</t>
        </is>
      </c>
    </row>
    <row r="36" ht="32.1" customHeight="1">
      <c r="A36" t="inlineStr">
        <is>
          <t>Referring OD</t>
        </is>
      </c>
      <c r="B36">
        <f>HYPERLINK("#'Referring OD'!A1","Referring OD")</f>
        <v/>
      </c>
      <c r="C36" t="inlineStr">
        <is>
          <t>Acc@0.5</t>
        </is>
      </c>
    </row>
    <row r="37">
      <c r="A37" t="inlineStr">
        <is>
          <t>Security-Robustness OD</t>
        </is>
      </c>
      <c r="B37">
        <f>HYPERLINK("#'Security-Robustness OD'!A1","Security-Robustness OD")</f>
        <v/>
      </c>
      <c r="C37" t="inlineStr">
        <is>
          <t>robust AP / F1·AUROC</t>
        </is>
      </c>
    </row>
    <row r="38">
      <c r="A38" t="inlineStr">
        <is>
          <t>Co-SOD &amp; Ranking</t>
        </is>
      </c>
      <c r="B38">
        <f>HYPERLINK("#'Co-SOD &amp; Ranking'!A1","Co-SOD &amp; Ranking")</f>
        <v/>
      </c>
      <c r="C38" t="inlineStr">
        <is>
          <t>S-measure / SA-SOR</t>
        </is>
      </c>
    </row>
    <row r="39">
      <c r="A39" t="inlineStr">
        <is>
          <t>CD-FSOD</t>
        </is>
      </c>
      <c r="B39">
        <f>HYPERLINK("#'CD-FSOD'!A1","CD-FSOD")</f>
        <v/>
      </c>
      <c r="C39" t="inlineStr">
        <is>
          <t>CD-FSOD novel AP</t>
        </is>
      </c>
    </row>
    <row r="40">
      <c r="A40" t="inlineStr">
        <is>
          <t>Event-Camera OD</t>
        </is>
      </c>
      <c r="B40">
        <f>HYPERLINK("#'Event-Camera OD'!A1","Event-Camera OD")</f>
        <v/>
      </c>
      <c r="C40" t="inlineStr">
        <is>
          <t>mAP (event Gen1/1Mpx)</t>
        </is>
      </c>
    </row>
    <row r="41">
      <c r="A41" t="inlineStr">
        <is>
          <t>Thermal-Multispectral OD</t>
        </is>
      </c>
      <c r="B41">
        <f>HYPERLINK("#'Thermal-Multispectral OD'!A1","Thermal-Multispectral OD")</f>
        <v/>
      </c>
      <c r="C41" t="inlineStr">
        <is>
          <t>mAP / mAP50 (thermal)</t>
        </is>
      </c>
    </row>
    <row r="42">
      <c r="A42" t="inlineStr">
        <is>
          <t>Camouflaged OD</t>
        </is>
      </c>
      <c r="B42">
        <f>HYPERLINK("#'Camouflaged OD'!A1","Camouflaged OD")</f>
        <v/>
      </c>
      <c r="C42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3" location="'Argoverse-HD DO Val'!A1" display="'Argoverse-HD DO Val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  <row r="43">
      <c r="A43" t="inlineStr">
        <is>
          <t>Real-Time OD</t>
        </is>
      </c>
      <c r="B43" t="inlineStr">
        <is>
          <t>YOLO26x</t>
        </is>
      </c>
      <c r="F43" t="inlineStr">
        <is>
          <t>✅ Cross-paper verified</t>
        </is>
      </c>
      <c r="G43" t="n">
        <v>57.5</v>
      </c>
      <c r="H43" t="inlineStr">
        <is>
          <t>AP=57.5 | AP_e2e=56.9</t>
        </is>
      </c>
      <c r="I43" t="n">
        <v>85</v>
      </c>
      <c r="J43" t="inlineStr">
        <is>
          <t>55.7M</t>
        </is>
      </c>
      <c r="K43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3" t="inlineStr">
        <is>
          <t>https://docs.ultralytics.com/models/yolo26/</t>
        </is>
      </c>
    </row>
    <row r="44">
      <c r="A44" t="inlineStr">
        <is>
          <t>Real-Time OD</t>
        </is>
      </c>
      <c r="B44" t="inlineStr">
        <is>
          <t>YOLO26l</t>
        </is>
      </c>
      <c r="F44" t="inlineStr">
        <is>
          <t>✅ Cross-paper verified</t>
        </is>
      </c>
      <c r="G44" t="n">
        <v>55</v>
      </c>
      <c r="H44" t="inlineStr">
        <is>
          <t>AP=55.0 | AP_e2e=54.4</t>
        </is>
      </c>
      <c r="I44" t="n">
        <v>161</v>
      </c>
      <c r="J44" t="inlineStr">
        <is>
          <t>24.8M</t>
        </is>
      </c>
      <c r="K44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44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  <hyperlink xmlns:r="http://schemas.openxmlformats.org/officeDocument/2006/relationships" ref="L43" r:id="rId30"/>
    <hyperlink xmlns:r="http://schemas.openxmlformats.org/officeDocument/2006/relationships" ref="L44" r:id="rId3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  <row r="56">
      <c r="A56" t="inlineStr">
        <is>
          <t>Real-Time OD</t>
        </is>
      </c>
      <c r="B56" t="inlineStr">
        <is>
          <t>YOLO26x</t>
        </is>
      </c>
      <c r="F56" t="inlineStr">
        <is>
          <t>✅ Cross-paper verified</t>
        </is>
      </c>
      <c r="G56" t="n">
        <v>57.5</v>
      </c>
      <c r="H56" t="inlineStr">
        <is>
          <t>AP=57.5 | AP_e2e=56.9</t>
        </is>
      </c>
      <c r="I56" t="n">
        <v>85</v>
      </c>
      <c r="J56" t="inlineStr">
        <is>
          <t>55.7M</t>
        </is>
      </c>
      <c r="K56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6" t="inlineStr">
        <is>
          <t>https://docs.ultralytics.com/models/yolo26/</t>
        </is>
      </c>
    </row>
    <row r="57">
      <c r="A57" t="inlineStr">
        <is>
          <t>Real-Time OD</t>
        </is>
      </c>
      <c r="B57" t="inlineStr">
        <is>
          <t>YOLO26l</t>
        </is>
      </c>
      <c r="F57" t="inlineStr">
        <is>
          <t>✅ Cross-paper verified</t>
        </is>
      </c>
      <c r="G57" t="n">
        <v>55</v>
      </c>
      <c r="H57" t="inlineStr">
        <is>
          <t>AP=55.0 | AP_e2e=54.4</t>
        </is>
      </c>
      <c r="I57" t="n">
        <v>161</v>
      </c>
      <c r="J57" t="inlineStr">
        <is>
          <t>24.8M</t>
        </is>
      </c>
      <c r="K57" t="inlineStr">
        <is>
          <t>✅ Cross-paper verified (official Ultralytics YOLO26 docs, Detection-COCO table): COCO val2017 mAP50-95 — full family n=40.9 / s=48.6 / m=53.1 / l=55.0 / x=57.5 @640px; params 2.4/9.5/20.4/24.8/55.7M; T4-TensorRT10 latency 1.7/2.5/4.7/6.2/11.8 ms (released 2026, no formal paper)</t>
        </is>
      </c>
      <c r="L57" t="inlineStr">
        <is>
          <t>https://docs.ultralytics.com/models/yolo26/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  <hyperlink xmlns:r="http://schemas.openxmlformats.org/officeDocument/2006/relationships" ref="L56" r:id="rId25"/>
    <hyperlink xmlns:r="http://schemas.openxmlformats.org/officeDocument/2006/relationships" ref="L57" r:id="rId2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>
      <c r="A11" t="inlineStr">
        <is>
          <t>Crowd / Pedestrian OD</t>
        </is>
      </c>
      <c r="B11" t="inlineStr">
        <is>
          <t>DDQ DETR</t>
        </is>
      </c>
      <c r="E11" t="inlineStr">
        <is>
          <t>2023</t>
        </is>
      </c>
      <c r="F11" t="inlineStr">
        <is>
          <t>✅ Standard verified</t>
        </is>
      </c>
      <c r="G11" t="n">
        <v>93.8</v>
      </c>
      <c r="H11" t="inlineStr">
        <is>
          <t>AP=93.8 | MR^-2=39.7 | Recall=98.7</t>
        </is>
      </c>
      <c r="K11" t="inlineStr">
        <is>
          <t>✅ Standard verified — CrowdHuman AP=93.8, MR^-2=39.7, Recall=98.7; DDQ CVPR23 (arXiv 2303.12776) Table 4.</t>
        </is>
      </c>
      <c r="L11" t="inlineStr">
        <is>
          <t>https://arxiv.org/abs/2303.12776</t>
        </is>
      </c>
    </row>
    <row r="12" ht="48" customHeight="1">
      <c r="A12" t="inlineStr">
        <is>
          <t>Crowd / Pedestrian OD</t>
        </is>
      </c>
      <c r="B12" t="inlineStr">
        <is>
          <t>DDQ R-CNN</t>
        </is>
      </c>
      <c r="E12" t="inlineStr">
        <is>
          <t>2023</t>
        </is>
      </c>
      <c r="F12" t="inlineStr">
        <is>
          <t>✅ Standard verified</t>
        </is>
      </c>
      <c r="G12" t="n">
        <v>93.5</v>
      </c>
      <c r="H12" t="inlineStr">
        <is>
          <t>AP=93.5 | MR^-2=40.4 | Recall=98.6</t>
        </is>
      </c>
      <c r="K12" t="inlineStr">
        <is>
          <t>✅ Standard verified — CrowdHuman AP=93.5, MR^-2=40.4, Recall=98.6; DDQ CVPR23 (arXiv 2303.12776) Table 4.</t>
        </is>
      </c>
      <c r="L12" t="inlineStr">
        <is>
          <t>https://arxiv.org/abs/2303.12776</t>
        </is>
      </c>
    </row>
    <row r="13">
      <c r="A13" t="inlineStr">
        <is>
          <t>Crowd / Pedestrian OD</t>
        </is>
      </c>
      <c r="B13" t="inlineStr">
        <is>
          <t>DeFCN</t>
        </is>
      </c>
      <c r="E13" t="inlineStr">
        <is>
          <t>2021</t>
        </is>
      </c>
      <c r="F13" t="inlineStr">
        <is>
          <t>✅ Cross-paper verified</t>
        </is>
      </c>
      <c r="G13" t="n">
        <v>91</v>
      </c>
      <c r="H13" t="inlineStr">
        <is>
          <t>AP=91.0 | MR^-2=46.5 | Recall=97.9</t>
        </is>
      </c>
      <c r="K13" t="inlineStr">
        <is>
          <t>✅ Cross-paper verified — CrowdHuman AP=91.0/MR^-2=46.5 reported in DDQ CVPR23 Table 4; original method DeFCN (2021).</t>
        </is>
      </c>
      <c r="L13" t="inlineStr">
        <is>
          <t>https://arxiv.org/abs/2303.12776</t>
        </is>
      </c>
    </row>
    <row r="14">
      <c r="A14" t="inlineStr">
        <is>
          <t>Crowd / Pedestrian OD</t>
        </is>
      </c>
      <c r="B14" t="inlineStr">
        <is>
          <t>DW</t>
        </is>
      </c>
      <c r="E14" t="inlineStr">
        <is>
          <t>2022</t>
        </is>
      </c>
      <c r="F14" t="inlineStr">
        <is>
          <t>✅ Cross-paper verified</t>
        </is>
      </c>
      <c r="G14" t="n">
        <v>89</v>
      </c>
      <c r="H14" t="inlineStr">
        <is>
          <t>AP=89.0 | MR^-2=57.6 | Recall=97.4</t>
        </is>
      </c>
      <c r="K14" t="inlineStr">
        <is>
          <t>✅ Cross-paper verified — CrowdHuman AP=89.0/MR^-2=57.6 reported in DDQ CVPR23 Table 4; original method DW (2022).</t>
        </is>
      </c>
      <c r="L14" t="inlineStr">
        <is>
          <t>https://arxiv.org/abs/2303.12776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L12" r:id="rId16"/>
    <hyperlink xmlns:r="http://schemas.openxmlformats.org/officeDocument/2006/relationships" ref="L13" r:id="rId17"/>
    <hyperlink xmlns:r="http://schemas.openxmlformats.org/officeDocument/2006/relationships" ref="L14" r:id="rId1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>
      <c r="A10" t="inlineStr">
        <is>
          <t>Medical OD</t>
        </is>
      </c>
      <c r="B10" t="inlineStr">
        <is>
          <t>YOLOv10-X</t>
        </is>
      </c>
      <c r="E10" t="inlineStr">
        <is>
          <t>2024</t>
        </is>
      </c>
      <c r="F10" t="inlineStr">
        <is>
          <t>✅ Standard verified</t>
        </is>
      </c>
      <c r="G10" t="n">
        <v>76.2</v>
      </c>
      <c r="H10" t="inlineStr">
        <is>
          <t>mAP@0.5=76.2 | mAP@50-95=48.2</t>
        </is>
      </c>
      <c r="K10" t="inlineStr">
        <is>
          <t>✅ Standard verified — GRAZPEDWRI-DX all-classes mAP@0.5=76.2; YOLOv10-DLA paper (arXiv 2407.15689) Table II.</t>
        </is>
      </c>
      <c r="L10" t="inlineStr">
        <is>
          <t>https://arxiv.org/abs/2407.15689</t>
        </is>
      </c>
    </row>
    <row r="11" ht="48" customHeight="1">
      <c r="A11" t="inlineStr">
        <is>
          <t>Medical OD</t>
        </is>
      </c>
      <c r="B11" t="inlineStr">
        <is>
          <t>YOLOv10-S</t>
        </is>
      </c>
      <c r="E11" t="inlineStr">
        <is>
          <t>2024</t>
        </is>
      </c>
      <c r="F11" t="inlineStr">
        <is>
          <t>✅ Standard verified</t>
        </is>
      </c>
      <c r="G11" t="n">
        <v>76.09999999999999</v>
      </c>
      <c r="H11" t="inlineStr">
        <is>
          <t>mAP@0.5=76.1 | mAP@50-95=51.7</t>
        </is>
      </c>
      <c r="K11" t="inlineStr">
        <is>
          <t>✅ Standard verified — GRAZPEDWRI-DX all-classes mAP@0.5=76.1; YOLOv10-DLA paper (arXiv 2407.15689) Table II.</t>
        </is>
      </c>
      <c r="L11" t="inlineStr">
        <is>
          <t>https://arxiv.org/abs/2407.15689</t>
        </is>
      </c>
    </row>
    <row r="12" ht="48" customHeight="1">
      <c r="A12" t="inlineStr">
        <is>
          <t>Medical OD</t>
        </is>
      </c>
      <c r="B12" t="inlineStr">
        <is>
          <t>YOLOv10-M</t>
        </is>
      </c>
      <c r="E12" t="inlineStr">
        <is>
          <t>2024</t>
        </is>
      </c>
      <c r="F12" t="inlineStr">
        <is>
          <t>✅ Standard verified</t>
        </is>
      </c>
      <c r="G12" t="n">
        <v>75.90000000000001</v>
      </c>
      <c r="H12" t="inlineStr">
        <is>
          <t>mAP@0.5=75.9 | mAP@50-95=51.9</t>
        </is>
      </c>
      <c r="K12" t="inlineStr">
        <is>
          <t>✅ Standard verified — GRAZPEDWRI-DX all-classes mAP@0.5=75.9; YOLOv10-DLA paper (arXiv 2407.15689) Table II.</t>
        </is>
      </c>
      <c r="L12" t="inlineStr">
        <is>
          <t>https://arxiv.org/abs/2407.15689</t>
        </is>
      </c>
    </row>
    <row r="13">
      <c r="A13" t="inlineStr">
        <is>
          <t>Medical OD</t>
        </is>
      </c>
      <c r="B13" t="inlineStr">
        <is>
          <t>YOLOv10-L</t>
        </is>
      </c>
      <c r="E13" t="inlineStr">
        <is>
          <t>2024</t>
        </is>
      </c>
      <c r="F13" t="inlineStr">
        <is>
          <t>✅ Standard verified</t>
        </is>
      </c>
      <c r="G13" t="n">
        <v>70.90000000000001</v>
      </c>
      <c r="H13" t="inlineStr">
        <is>
          <t>mAP@0.5=70.9 | mAP@50-95=46.6</t>
        </is>
      </c>
      <c r="K13" t="inlineStr">
        <is>
          <t>✅ Standard verified — GRAZPEDWRI-DX all-classes mAP@0.5=70.9; YOLOv10-DLA paper (arXiv 2407.15689) Table II.</t>
        </is>
      </c>
      <c r="L13" t="inlineStr">
        <is>
          <t>https://arxiv.org/abs/2407.15689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>
      <c r="A13" t="inlineStr">
        <is>
          <t>RGB Salient OD</t>
        </is>
      </c>
      <c r="B13" t="inlineStr">
        <is>
          <t>BBRF</t>
        </is>
      </c>
      <c r="E13" t="inlineStr">
        <is>
          <t>2023</t>
        </is>
      </c>
      <c r="F13" t="inlineStr">
        <is>
          <t>✅ Cross-paper verified</t>
        </is>
      </c>
      <c r="G13" t="n">
        <v>0.878</v>
      </c>
      <c r="H13" t="inlineStr">
        <is>
          <t>Sα 0.878 / MAE 0.049 (PASCAL-S, M3Net arXiv 2309.08365 Table I)</t>
        </is>
      </c>
      <c r="K13" t="inlineStr">
        <is>
          <t>✅ Cross-paper verified — PASCAL-S S-measure=0.878 reported in M3Net (arXiv 2309.08365) Table I; original method BBRF (2023).</t>
        </is>
      </c>
      <c r="L13" t="inlineStr">
        <is>
          <t>https://arxiv.org/abs/2309.08365</t>
        </is>
      </c>
    </row>
    <row r="14">
      <c r="A14" t="inlineStr">
        <is>
          <t>RGB Salient OD</t>
        </is>
      </c>
      <c r="B14" t="inlineStr">
        <is>
          <t>SRformer</t>
        </is>
      </c>
      <c r="E14" t="inlineStr">
        <is>
          <t>2023</t>
        </is>
      </c>
      <c r="F14" t="inlineStr">
        <is>
          <t>✅ Cross-paper verified</t>
        </is>
      </c>
      <c r="G14" t="n">
        <v>0.862</v>
      </c>
      <c r="H14" t="inlineStr">
        <is>
          <t>Sα 0.862 / MAE 0.046 (PASCAL-S, M3Net arXiv 2309.08365 Table I)</t>
        </is>
      </c>
      <c r="K14" t="inlineStr">
        <is>
          <t>✅ Cross-paper verified — PASCAL-S S-measure=0.862 reported in M3Net (arXiv 2309.08365) Table I; original method SRformer (2023).</t>
        </is>
      </c>
      <c r="L14" t="inlineStr">
        <is>
          <t>https://arxiv.org/abs/2309.08365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0.9379999999999999</v>
      </c>
      <c r="H4" t="inlineStr">
        <is>
          <t>Sα 0.938 / MAE 0.020 (HRSOD S-measure, PGNet T1)</t>
        </is>
      </c>
      <c r="K4" t="inlineStr">
        <is>
          <t>✅ Standard verified — HRSOD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DHQSOD</t>
        </is>
      </c>
      <c r="E5" t="inlineStr">
        <is>
          <t>2021</t>
        </is>
      </c>
      <c r="F5" t="inlineStr">
        <is>
          <t>✅ Cross-paper verified</t>
        </is>
      </c>
      <c r="G5" t="n">
        <v>0.92</v>
      </c>
      <c r="H5" t="inlineStr">
        <is>
          <t>Sα 0.920 / MAE 0.022 (HRSOD S-measure, PGNet T1)</t>
        </is>
      </c>
      <c r="K5" t="inlineStr">
        <is>
          <t>✅ Cross-paper verified — HRSOD S-measure reported in PGNet CVPR22 (arXiv 2204.05041) Table 1; original method DHQSOD (2021).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0.906</v>
      </c>
      <c r="H6" t="inlineStr">
        <is>
          <t>Sα 0.906 / MAE 0.033 (HRSOD S-measure, PGNet T1)</t>
        </is>
      </c>
      <c r="K6" t="inlineStr">
        <is>
          <t>✅ Cross-paper verified — HRSOD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0.905</v>
      </c>
      <c r="H7" t="inlineStr">
        <is>
          <t>Sα 0.905 / MAE 0.032 (HRSOD S-measure, PGNet T1)</t>
        </is>
      </c>
      <c r="K7" t="inlineStr">
        <is>
          <t>✅ Cross-paper verified — HRSOD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CTDNet</t>
        </is>
      </c>
      <c r="E8" t="inlineStr">
        <is>
          <t>2021</t>
        </is>
      </c>
      <c r="F8" t="inlineStr">
        <is>
          <t>✅ Cross-paper verified</t>
        </is>
      </c>
      <c r="G8" t="n">
        <v>0.905</v>
      </c>
      <c r="H8" t="inlineStr">
        <is>
          <t>Sα 0.905 / MAE 0.032 (HRSOD S-measure, PGNet T1)</t>
        </is>
      </c>
      <c r="K8" t="inlineStr">
        <is>
          <t>✅ Cross-paper verified — HRSOD S-measure reported in PGNet CVPR22 (arXiv 2204.05041) Table 1; original method CTDNet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GCPANet</t>
        </is>
      </c>
      <c r="E9" t="inlineStr">
        <is>
          <t>2020</t>
        </is>
      </c>
      <c r="F9" t="inlineStr">
        <is>
          <t>✅ Cross-paper verified</t>
        </is>
      </c>
      <c r="G9" t="n">
        <v>0.898</v>
      </c>
      <c r="H9" t="inlineStr">
        <is>
          <t>Sα 0.898 / MAE 0.036 (HRSOD S-measure, PGNet T1)</t>
        </is>
      </c>
      <c r="K9" t="inlineStr">
        <is>
          <t>✅ Cross-paper verified — HRSOD S-measure reported in PGNet CVPR22 (arXiv 2204.05041) Table 1; original method GCPANet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ITSD</t>
        </is>
      </c>
      <c r="E10" t="inlineStr">
        <is>
          <t>2020</t>
        </is>
      </c>
      <c r="F10" t="inlineStr">
        <is>
          <t>✅ Cross-paper verified</t>
        </is>
      </c>
      <c r="G10" t="n">
        <v>0.898</v>
      </c>
      <c r="H10" t="inlineStr">
        <is>
          <t>Sα 0.898 / MAE 0.036 (HRSOD S-measure, PGNet T1)</t>
        </is>
      </c>
      <c r="K10" t="inlineStr">
        <is>
          <t>✅ Cross-paper verified — HRSOD S-measure reported in PGNet CVPR22 (arXiv 2204.05041) Table 1; original method ITSD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DASNet</t>
        </is>
      </c>
      <c r="E11" t="inlineStr">
        <is>
          <t>2020</t>
        </is>
      </c>
      <c r="F11" t="inlineStr">
        <is>
          <t>✅ Cross-paper verified</t>
        </is>
      </c>
      <c r="G11" t="n">
        <v>0.897</v>
      </c>
      <c r="H11" t="inlineStr">
        <is>
          <t>Sα 0.897 / MAE 0.032 (HRSOD S-measure, PGNet T1)</t>
        </is>
      </c>
      <c r="K11" t="inlineStr">
        <is>
          <t>✅ Cross-paper verified — HRSOD S-measure reported in PGNet CVPR22 (arXiv 2204.05041) Table 1; original method DASNet (2020).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F3Net</t>
        </is>
      </c>
      <c r="E12" t="inlineStr">
        <is>
          <t>2020</t>
        </is>
      </c>
      <c r="F12" t="inlineStr">
        <is>
          <t>✅ Cross-paper verified</t>
        </is>
      </c>
      <c r="G12" t="n">
        <v>0.897</v>
      </c>
      <c r="H12" t="inlineStr">
        <is>
          <t>Sα 0.897 / MAE 0.035 (HRSOD S-measure, PGNet T1)</t>
        </is>
      </c>
      <c r="K12" t="inlineStr">
        <is>
          <t>✅ Cross-paper verified — HRSOD S-measure reported in PGNet CVPR22 (arXiv 2204.05041) Table 1; original method F3Net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0.954</v>
      </c>
      <c r="H4" t="inlineStr">
        <is>
          <t>Sα 0.954 / MAE 0.010 (DAVIS-S S-measure, PGNet T1)</t>
        </is>
      </c>
      <c r="K4" t="inlineStr">
        <is>
          <t>✅ Standard verified — DAVIS-S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GCPANet</t>
        </is>
      </c>
      <c r="E5" t="inlineStr">
        <is>
          <t>2020</t>
        </is>
      </c>
      <c r="F5" t="inlineStr">
        <is>
          <t>✅ Cross-paper verified</t>
        </is>
      </c>
      <c r="G5" t="n">
        <v>0.929</v>
      </c>
      <c r="H5" t="inlineStr">
        <is>
          <t>Sα 0.929 / MAE 0.020 (DAVIS-S S-measure, PGNet T1)</t>
        </is>
      </c>
      <c r="K5" t="inlineStr">
        <is>
          <t>✅ Cross-paper verified — DAVIS-S S-measure reported in PGNet CVPR22 (arXiv 2204.05041) Table 1; original method GCPANet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PFSNet</t>
        </is>
      </c>
      <c r="E6" t="inlineStr">
        <is>
          <t>2021</t>
        </is>
      </c>
      <c r="F6" t="inlineStr">
        <is>
          <t>✅ Cross-paper verified</t>
        </is>
      </c>
      <c r="G6" t="n">
        <v>0.923</v>
      </c>
      <c r="H6" t="inlineStr">
        <is>
          <t>Sα 0.923 / MAE 0.019 (DAVIS-S S-measure, PGNet T1)</t>
        </is>
      </c>
      <c r="K6" t="inlineStr">
        <is>
          <t>✅ Cross-paper verified — DAVIS-S S-measure reported in PGNet CVPR22 (arXiv 2204.05041) Table 1; original method PFSNet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LDF</t>
        </is>
      </c>
      <c r="E7" t="inlineStr">
        <is>
          <t>2020</t>
        </is>
      </c>
      <c r="F7" t="inlineStr">
        <is>
          <t>✅ Cross-paper verified</t>
        </is>
      </c>
      <c r="G7" t="n">
        <v>0.922</v>
      </c>
      <c r="H7" t="inlineStr">
        <is>
          <t>Sα 0.922 / MAE 0.019 (DAVIS-S S-measure, PGNet T1)</t>
        </is>
      </c>
      <c r="K7" t="inlineStr">
        <is>
          <t>✅ Cross-paper verified — DAVIS-S S-measure reported in PGNet CVPR22 (arXiv 2204.05041) Table 1; original method LDF (2020).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DHQSOD</t>
        </is>
      </c>
      <c r="E8" t="inlineStr">
        <is>
          <t>2021</t>
        </is>
      </c>
      <c r="F8" t="inlineStr">
        <is>
          <t>✅ Cross-paper verified</t>
        </is>
      </c>
      <c r="G8" t="n">
        <v>0.92</v>
      </c>
      <c r="H8" t="inlineStr">
        <is>
          <t>Sα 0.920 / MAE 0.012 (DAVIS-S S-measure, PGNet T1)</t>
        </is>
      </c>
      <c r="K8" t="inlineStr">
        <is>
          <t>✅ Cross-paper verified — DAVIS-S S-measure reported in PGNet CVPR22 (arXiv 2204.05041) Table 1; original method DHQSOD (2021).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0.914</v>
      </c>
      <c r="H9" t="inlineStr">
        <is>
          <t>Sα 0.914 / MAE 0.020 (DAVIS-S S-measure, PGNet T1)</t>
        </is>
      </c>
      <c r="K9" t="inlineStr">
        <is>
          <t>✅ Cross-paper verified — DAVIS-S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0.911</v>
      </c>
      <c r="H10" t="inlineStr">
        <is>
          <t>Sα 0.911 / MAE 0.020 (DAVIS-S S-measure, PGNet T1)</t>
        </is>
      </c>
      <c r="K10" t="inlineStr">
        <is>
          <t>✅ Cross-paper verified — DAVIS-S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CTDNet</t>
        </is>
      </c>
      <c r="E11" t="inlineStr">
        <is>
          <t>2021</t>
        </is>
      </c>
      <c r="F11" t="inlineStr">
        <is>
          <t>✅ Cross-paper verified</t>
        </is>
      </c>
      <c r="G11" t="n">
        <v>0.911</v>
      </c>
      <c r="H11" t="inlineStr">
        <is>
          <t>Sα 0.911 / MAE 0.019 (DAVIS-S S-measure, PGNet T1)</t>
        </is>
      </c>
      <c r="K11" t="inlineStr">
        <is>
          <t>✅ Cross-paper verified — DAVIS-S S-measure reported in PGNet CVPR22 (arXiv 2204.05041) Table 1; original method CTDNet (2021).</t>
        </is>
      </c>
      <c r="L11" t="inlineStr">
        <is>
          <t>https://arxiv.org/abs/2204.05041</t>
        </is>
      </c>
    </row>
    <row r="12" ht="48" customHeight="1">
      <c r="A12" t="inlineStr">
        <is>
          <t>RGB Salient OD</t>
        </is>
      </c>
      <c r="B12" t="inlineStr">
        <is>
          <t>ITSD</t>
        </is>
      </c>
      <c r="E12" t="inlineStr">
        <is>
          <t>2020</t>
        </is>
      </c>
      <c r="F12" t="inlineStr">
        <is>
          <t>✅ Cross-paper verified</t>
        </is>
      </c>
      <c r="G12" t="n">
        <v>0.909</v>
      </c>
      <c r="H12" t="inlineStr">
        <is>
          <t>Sα 0.909 / MAE 0.022 (DAVIS-S S-measure, PGNet T1)</t>
        </is>
      </c>
      <c r="K12" t="inlineStr">
        <is>
          <t>✅ Cross-paper verified — DAVIS-S S-measure reported in PGNet CVPR22 (arXiv 2204.05041) Table 1; original method ITSD (2020).</t>
        </is>
      </c>
      <c r="L12" t="inlineStr">
        <is>
          <t>https://arxiv.org/abs/2204.05041</t>
        </is>
      </c>
    </row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  <hyperlink xmlns:r="http://schemas.openxmlformats.org/officeDocument/2006/relationships" ref="L12" r:id="rId13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t="inlineStr">
        <is>
          <t>RGB Salient OD</t>
        </is>
      </c>
      <c r="B4" t="inlineStr">
        <is>
          <t>PGNet</t>
        </is>
      </c>
      <c r="E4" t="inlineStr">
        <is>
          <t>2022</t>
        </is>
      </c>
      <c r="F4" t="inlineStr">
        <is>
          <t>✅ Standard verified</t>
        </is>
      </c>
      <c r="G4" t="n">
        <v>0.9350000000000001</v>
      </c>
      <c r="H4" t="inlineStr">
        <is>
          <t>Sα 0.935 / MAE 0.026 (UHRSD S-measure, PGNet T1)</t>
        </is>
      </c>
      <c r="K4" t="inlineStr">
        <is>
          <t>✅ Standard verified — UHRSD S-measure, PGNet CVPR22 (arXiv 2204.05041) Table 1.</t>
        </is>
      </c>
      <c r="L4" t="inlineStr">
        <is>
          <t>https://arxiv.org/abs/2204.05041</t>
        </is>
      </c>
    </row>
    <row r="5" ht="48" customHeight="1">
      <c r="A5" t="inlineStr">
        <is>
          <t>RGB Salient OD</t>
        </is>
      </c>
      <c r="B5" t="inlineStr">
        <is>
          <t>ITSD</t>
        </is>
      </c>
      <c r="E5" t="inlineStr">
        <is>
          <t>2020</t>
        </is>
      </c>
      <c r="F5" t="inlineStr">
        <is>
          <t>✅ Cross-paper verified</t>
        </is>
      </c>
      <c r="G5" t="n">
        <v>0.897</v>
      </c>
      <c r="H5" t="inlineStr">
        <is>
          <t>Sα 0.897 / MAE 0.045 (UHRSD S-measure, PGNet T1)</t>
        </is>
      </c>
      <c r="K5" t="inlineStr">
        <is>
          <t>✅ Cross-paper verified — UHRSD S-measure reported in PGNet CVPR22 (arXiv 2204.05041) Table 1; original method ITSD (2020).</t>
        </is>
      </c>
      <c r="L5" t="inlineStr">
        <is>
          <t>https://arxiv.org/abs/2204.05041</t>
        </is>
      </c>
    </row>
    <row r="6" ht="48" customHeight="1">
      <c r="A6" t="inlineStr">
        <is>
          <t>RGB Salient OD</t>
        </is>
      </c>
      <c r="B6" t="inlineStr">
        <is>
          <t>CTDNet</t>
        </is>
      </c>
      <c r="E6" t="inlineStr">
        <is>
          <t>2021</t>
        </is>
      </c>
      <c r="F6" t="inlineStr">
        <is>
          <t>✅ Cross-paper verified</t>
        </is>
      </c>
      <c r="G6" t="n">
        <v>0.897</v>
      </c>
      <c r="H6" t="inlineStr">
        <is>
          <t>Sα 0.897 / MAE 0.043 (UHRSD S-measure, PGNet T1)</t>
        </is>
      </c>
      <c r="K6" t="inlineStr">
        <is>
          <t>✅ Cross-paper verified — UHRSD S-measure reported in PGNet CVPR22 (arXiv 2204.05041) Table 1; original method CTDNet (2021).</t>
        </is>
      </c>
      <c r="L6" t="inlineStr">
        <is>
          <t>https://arxiv.org/abs/2204.05041</t>
        </is>
      </c>
    </row>
    <row r="7" ht="48" customHeight="1">
      <c r="A7" t="inlineStr">
        <is>
          <t>RGB Salient OD</t>
        </is>
      </c>
      <c r="B7" t="inlineStr">
        <is>
          <t>PFSNet</t>
        </is>
      </c>
      <c r="E7" t="inlineStr">
        <is>
          <t>2021</t>
        </is>
      </c>
      <c r="F7" t="inlineStr">
        <is>
          <t>✅ Cross-paper verified</t>
        </is>
      </c>
      <c r="G7" t="n">
        <v>0.897</v>
      </c>
      <c r="H7" t="inlineStr">
        <is>
          <t>Sα 0.897 / MAE 0.043 (UHRSD S-measure, PGNet T1)</t>
        </is>
      </c>
      <c r="K7" t="inlineStr">
        <is>
          <t>✅ Cross-paper verified — UHRSD S-measure reported in PGNet CVPR22 (arXiv 2204.05041) Table 1; original method PFSNet (2021).</t>
        </is>
      </c>
      <c r="L7" t="inlineStr">
        <is>
          <t>https://arxiv.org/abs/2204.05041</t>
        </is>
      </c>
    </row>
    <row r="8" ht="48" customHeight="1">
      <c r="A8" t="inlineStr">
        <is>
          <t>RGB Salient OD</t>
        </is>
      </c>
      <c r="B8" t="inlineStr">
        <is>
          <t>GCPANet</t>
        </is>
      </c>
      <c r="E8" t="inlineStr">
        <is>
          <t>2020</t>
        </is>
      </c>
      <c r="F8" t="inlineStr">
        <is>
          <t>✅ Cross-paper verified</t>
        </is>
      </c>
      <c r="G8" t="n">
        <v>0.896</v>
      </c>
      <c r="H8" t="inlineStr">
        <is>
          <t>Sα 0.896 / MAE 0.047 (UHRSD S-measure, PGNet T1)</t>
        </is>
      </c>
      <c r="K8" t="inlineStr">
        <is>
          <t>✅ Cross-paper verified — UHRSD S-measure reported in PGNet CVPR22 (arXiv 2204.05041) Table 1; original method GCPANet (2020).</t>
        </is>
      </c>
      <c r="L8" t="inlineStr">
        <is>
          <t>https://arxiv.org/abs/2204.05041</t>
        </is>
      </c>
    </row>
    <row r="9" ht="48" customHeight="1">
      <c r="A9" t="inlineStr">
        <is>
          <t>RGB Salient OD</t>
        </is>
      </c>
      <c r="B9" t="inlineStr">
        <is>
          <t>F3Net</t>
        </is>
      </c>
      <c r="E9" t="inlineStr">
        <is>
          <t>2020</t>
        </is>
      </c>
      <c r="F9" t="inlineStr">
        <is>
          <t>✅ Cross-paper verified</t>
        </is>
      </c>
      <c r="G9" t="n">
        <v>0.89</v>
      </c>
      <c r="H9" t="inlineStr">
        <is>
          <t>Sα 0.890 / MAE 0.046 (UHRSD S-measure, PGNet T1)</t>
        </is>
      </c>
      <c r="K9" t="inlineStr">
        <is>
          <t>✅ Cross-paper verified — UHRSD S-measure reported in PGNet CVPR22 (arXiv 2204.05041) Table 1; original method F3Net (2020).</t>
        </is>
      </c>
      <c r="L9" t="inlineStr">
        <is>
          <t>https://arxiv.org/abs/2204.05041</t>
        </is>
      </c>
    </row>
    <row r="10" ht="48" customHeight="1">
      <c r="A10" t="inlineStr">
        <is>
          <t>RGB Salient OD</t>
        </is>
      </c>
      <c r="B10" t="inlineStr">
        <is>
          <t>DASNet</t>
        </is>
      </c>
      <c r="E10" t="inlineStr">
        <is>
          <t>2020</t>
        </is>
      </c>
      <c r="F10" t="inlineStr">
        <is>
          <t>✅ Cross-paper verified</t>
        </is>
      </c>
      <c r="G10" t="n">
        <v>0.889</v>
      </c>
      <c r="H10" t="inlineStr">
        <is>
          <t>Sα 0.889 / MAE 0.045 (UHRSD S-measure, PGNet T1)</t>
        </is>
      </c>
      <c r="K10" t="inlineStr">
        <is>
          <t>✅ Cross-paper verified — UHRSD S-measure reported in PGNet CVPR22 (arXiv 2204.05041) Table 1; original method DASNet (2020).</t>
        </is>
      </c>
      <c r="L10" t="inlineStr">
        <is>
          <t>https://arxiv.org/abs/2204.05041</t>
        </is>
      </c>
    </row>
    <row r="11" ht="48" customHeight="1">
      <c r="A11" t="inlineStr">
        <is>
          <t>RGB Salient OD</t>
        </is>
      </c>
      <c r="B11" t="inlineStr">
        <is>
          <t>LDF</t>
        </is>
      </c>
      <c r="E11" t="inlineStr">
        <is>
          <t>2020</t>
        </is>
      </c>
      <c r="F11" t="inlineStr">
        <is>
          <t>✅ Cross-paper verified</t>
        </is>
      </c>
      <c r="G11" t="n">
        <v>0.888</v>
      </c>
      <c r="H11" t="inlineStr">
        <is>
          <t>Sα 0.888 / MAE 0.047 (UHRSD S-measure, PGNet T1)</t>
        </is>
      </c>
      <c r="K11" t="inlineStr">
        <is>
          <t>✅ Cross-paper verified — UHRSD S-measure reported in PGNet CVPR22 (arXiv 2204.05041) Table 1; original method LDF (2020).</t>
        </is>
      </c>
      <c r="L11" t="inlineStr">
        <is>
          <t>https://arxiv.org/abs/2204.05041</t>
        </is>
      </c>
    </row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L5" r:id="rId6"/>
    <hyperlink xmlns:r="http://schemas.openxmlformats.org/officeDocument/2006/relationships" ref="L6" r:id="rId7"/>
    <hyperlink xmlns:r="http://schemas.openxmlformats.org/officeDocument/2006/relationships" ref="L7" r:id="rId8"/>
    <hyperlink xmlns:r="http://schemas.openxmlformats.org/officeDocument/2006/relationships" ref="L8" r:id="rId9"/>
    <hyperlink xmlns:r="http://schemas.openxmlformats.org/officeDocument/2006/relationships" ref="L9" r:id="rId10"/>
    <hyperlink xmlns:r="http://schemas.openxmlformats.org/officeDocument/2006/relationships" ref="L10" r:id="rId11"/>
    <hyperlink xmlns:r="http://schemas.openxmlformats.org/officeDocument/2006/relationships" ref="L11" r:id="rId12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(1-shot)</t>
        </is>
      </c>
      <c r="E9" t="inlineStr">
        <is>
          <t>2022</t>
        </is>
      </c>
      <c r="F9" t="inlineStr">
        <is>
          <t>✅ Standard verified</t>
        </is>
      </c>
      <c r="G9" t="n">
        <v>5.6</v>
      </c>
      <c r="H9" t="inlineStr">
        <is>
          <t>nAP 1-shot=5.6</t>
        </is>
      </c>
      <c r="K9" t="inlineStr">
        <is>
          <t>✅ Standard verified — MS-COCO 1-shot novel AP=5.6;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(1-shot)</t>
        </is>
      </c>
      <c r="E10" t="inlineStr">
        <is>
          <t>2022</t>
        </is>
      </c>
      <c r="F10" t="inlineStr">
        <is>
          <t>✅ Cross-paper verified</t>
        </is>
      </c>
      <c r="G10" t="n">
        <v>5.1</v>
      </c>
      <c r="H10" t="inlineStr">
        <is>
          <t>nAP 1-shot=5.1</t>
        </is>
      </c>
      <c r="K10" t="inlineStr">
        <is>
          <t>✅ Cross-paper verified — MS-COCO 1-shot novel AP=5.1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(1-shot)</t>
        </is>
      </c>
      <c r="E11" t="inlineStr">
        <is>
          <t>2021</t>
        </is>
      </c>
      <c r="F11" t="inlineStr">
        <is>
          <t>✅ Cross-paper verified</t>
        </is>
      </c>
      <c r="G11" t="n">
        <v>4.9</v>
      </c>
      <c r="H11" t="inlineStr">
        <is>
          <t>nAP 1-shot=4.9</t>
        </is>
      </c>
      <c r="K11" t="inlineStr">
        <is>
          <t>✅ Cross-paper verified — MS-COCO 1-shot novel AP=4.9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(1-shot)</t>
        </is>
      </c>
      <c r="E12" t="inlineStr">
        <is>
          <t>2020</t>
        </is>
      </c>
      <c r="F12" t="inlineStr">
        <is>
          <t>✅ Cross-paper verified</t>
        </is>
      </c>
      <c r="G12" t="n">
        <v>4.2</v>
      </c>
      <c r="H12" t="inlineStr">
        <is>
          <t>nAP 1-shot=4.2</t>
        </is>
      </c>
      <c r="K12" t="inlineStr">
        <is>
          <t>✅ Cross-paper verified — MS-COCO 1-shot novel AP=4.2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t="inlineStr">
        <is>
          <t>Few-Shot OD</t>
        </is>
      </c>
      <c r="B9" t="inlineStr">
        <is>
          <t>FCT (5-shot)</t>
        </is>
      </c>
      <c r="E9" t="inlineStr">
        <is>
          <t>2022</t>
        </is>
      </c>
      <c r="F9" t="inlineStr">
        <is>
          <t>✅ Standard verified</t>
        </is>
      </c>
      <c r="G9" t="n">
        <v>14</v>
      </c>
      <c r="H9" t="inlineStr">
        <is>
          <t>nAP 5-shot=14.0</t>
        </is>
      </c>
      <c r="K9" t="inlineStr">
        <is>
          <t>✅ Standard verified — MS-COCO 5-shot novel AP=14.0; FCT CVPR22 (arXiv 2203.15021) Table 5.</t>
        </is>
      </c>
      <c r="L9" t="inlineStr">
        <is>
          <t>https://arxiv.org/abs/2203.15021</t>
        </is>
      </c>
    </row>
    <row r="10" ht="48" customHeight="1">
      <c r="A10" t="inlineStr">
        <is>
          <t>Few-Shot OD</t>
        </is>
      </c>
      <c r="B10" t="inlineStr">
        <is>
          <t>Meta Faster R-CNN (5-shot)</t>
        </is>
      </c>
      <c r="E10" t="inlineStr">
        <is>
          <t>2022</t>
        </is>
      </c>
      <c r="F10" t="inlineStr">
        <is>
          <t>✅ Cross-paper verified</t>
        </is>
      </c>
      <c r="G10" t="n">
        <v>10.8</v>
      </c>
      <c r="H10" t="inlineStr">
        <is>
          <t>nAP 5-shot=10.8</t>
        </is>
      </c>
      <c r="K10" t="inlineStr">
        <is>
          <t>✅ Cross-paper verified — MS-COCO 5-shot novel AP=10.8 reported in FCT CVPR22 Table 5; original method Meta Faster R-CNN (2022).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QA-FewDet (5-shot)</t>
        </is>
      </c>
      <c r="E11" t="inlineStr">
        <is>
          <t>2021</t>
        </is>
      </c>
      <c r="F11" t="inlineStr">
        <is>
          <t>✅ Cross-paper verified</t>
        </is>
      </c>
      <c r="G11" t="n">
        <v>9.699999999999999</v>
      </c>
      <c r="H11" t="inlineStr">
        <is>
          <t>nAP 5-shot=9.7</t>
        </is>
      </c>
      <c r="K11" t="inlineStr">
        <is>
          <t>✅ Cross-paper verified — MS-COCO 5-shot novel AP=9.7 reported in FCT CVPR22 Table 5; original method QA-FewDet (2021).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Attention-RPN (5-shot)</t>
        </is>
      </c>
      <c r="E12" t="inlineStr">
        <is>
          <t>2020</t>
        </is>
      </c>
      <c r="F12" t="inlineStr">
        <is>
          <t>✅ Cross-paper verified</t>
        </is>
      </c>
      <c r="G12" t="n">
        <v>8</v>
      </c>
      <c r="H12" t="inlineStr">
        <is>
          <t>nAP 5-shot=8.0</t>
        </is>
      </c>
      <c r="K12" t="inlineStr">
        <is>
          <t>✅ Cross-paper verified — MS-COCO 5-shot novel AP=8.0 reported in FCT CVPR22 Table 5; original method Attention-RPN (2020).</t>
        </is>
      </c>
      <c r="L12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L10" r:id="rId16"/>
    <hyperlink xmlns:r="http://schemas.openxmlformats.org/officeDocument/2006/relationships" ref="L11" r:id="rId17"/>
    <hyperlink xmlns:r="http://schemas.openxmlformats.org/officeDocument/2006/relationships" ref="L12" r:id="rId18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(30-shot)</t>
        </is>
      </c>
      <c r="E10" t="inlineStr">
        <is>
          <t>2022</t>
        </is>
      </c>
      <c r="F10" t="inlineStr">
        <is>
          <t>✅ Standard verified</t>
        </is>
      </c>
      <c r="G10" t="n">
        <v>21.4</v>
      </c>
      <c r="H10" t="inlineStr">
        <is>
          <t>nAP 30-shot=21.4</t>
        </is>
      </c>
      <c r="K10" t="inlineStr">
        <is>
          <t>✅ Standard verified — MS-COCO 30-shot novel AP=21.4;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(30-shot)</t>
        </is>
      </c>
      <c r="E11" t="inlineStr">
        <is>
          <t>2022</t>
        </is>
      </c>
      <c r="F11" t="inlineStr">
        <is>
          <t>✅ Cross-paper verified</t>
        </is>
      </c>
      <c r="G11" t="n">
        <v>16.6</v>
      </c>
      <c r="H11" t="inlineStr">
        <is>
          <t>nAP 30-shot=16.6</t>
        </is>
      </c>
      <c r="K11" t="inlineStr">
        <is>
          <t>✅ Cross-paper verified — MS-COCO 30-shot novel AP=16.6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(30-shot)</t>
        </is>
      </c>
      <c r="E12" t="inlineStr">
        <is>
          <t>2021</t>
        </is>
      </c>
      <c r="F12" t="inlineStr">
        <is>
          <t>✅ Cross-paper verified</t>
        </is>
      </c>
      <c r="G12" t="n">
        <v>16.5</v>
      </c>
      <c r="H12" t="inlineStr">
        <is>
          <t>nAP 30-shot=16.5</t>
        </is>
      </c>
      <c r="K12" t="inlineStr">
        <is>
          <t>✅ Cross-paper verified — MS-COCO 30-shot novel AP=16.5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(30-shot)</t>
        </is>
      </c>
      <c r="E13" t="inlineStr">
        <is>
          <t>2020</t>
        </is>
      </c>
      <c r="F13" t="inlineStr">
        <is>
          <t>✅ Cross-paper verified</t>
        </is>
      </c>
      <c r="G13" t="n">
        <v>13.5</v>
      </c>
      <c r="H13" t="inlineStr">
        <is>
          <t>nAP 30-shot=13.5</t>
        </is>
      </c>
      <c r="K13" t="inlineStr">
        <is>
          <t>✅ Cross-paper verified — MS-COCO 30-shot novel AP=13.5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(30-shot)</t>
        </is>
      </c>
      <c r="E14" t="inlineStr">
        <is>
          <t>2021</t>
        </is>
      </c>
      <c r="F14" t="inlineStr">
        <is>
          <t>✅ Cross-paper verified</t>
        </is>
      </c>
      <c r="G14" t="n">
        <v>14.7</v>
      </c>
      <c r="H14" t="inlineStr">
        <is>
          <t>nAP 30-shot=14.7</t>
        </is>
      </c>
      <c r="K14" t="inlineStr">
        <is>
          <t>✅ Cross-paper verified — MS-COCO 30-shot novel AP=14.7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t="inlineStr">
        <is>
          <t>Few-Shot OD</t>
        </is>
      </c>
      <c r="B10" t="inlineStr">
        <is>
          <t>FCT (10-shot)</t>
        </is>
      </c>
      <c r="E10" t="inlineStr">
        <is>
          <t>2022</t>
        </is>
      </c>
      <c r="F10" t="inlineStr">
        <is>
          <t>✅ Standard verified</t>
        </is>
      </c>
      <c r="G10" t="n">
        <v>17.1</v>
      </c>
      <c r="H10" t="inlineStr">
        <is>
          <t>nAP 10-shot=17.1</t>
        </is>
      </c>
      <c r="K10" t="inlineStr">
        <is>
          <t>✅ Standard verified — MS-COCO 10-shot novel AP=17.1; FCT CVPR22 (arXiv 2203.15021) Table 5.</t>
        </is>
      </c>
      <c r="L10" t="inlineStr">
        <is>
          <t>https://arxiv.org/abs/2203.15021</t>
        </is>
      </c>
    </row>
    <row r="11" ht="48" customHeight="1">
      <c r="A11" t="inlineStr">
        <is>
          <t>Few-Shot OD</t>
        </is>
      </c>
      <c r="B11" t="inlineStr">
        <is>
          <t>Meta Faster R-CNN (10-shot)</t>
        </is>
      </c>
      <c r="E11" t="inlineStr">
        <is>
          <t>2022</t>
        </is>
      </c>
      <c r="F11" t="inlineStr">
        <is>
          <t>✅ Cross-paper verified</t>
        </is>
      </c>
      <c r="G11" t="n">
        <v>12.7</v>
      </c>
      <c r="H11" t="inlineStr">
        <is>
          <t>nAP 10-shot=12.7</t>
        </is>
      </c>
      <c r="K11" t="inlineStr">
        <is>
          <t>✅ Cross-paper verified — MS-COCO 10-shot novel AP=12.7 reported in FCT CVPR22 Table 5; original method Meta Faster R-CNN (2022).</t>
        </is>
      </c>
      <c r="L11" t="inlineStr">
        <is>
          <t>https://arxiv.org/abs/2203.15021</t>
        </is>
      </c>
    </row>
    <row r="12" ht="48" customHeight="1">
      <c r="A12" t="inlineStr">
        <is>
          <t>Few-Shot OD</t>
        </is>
      </c>
      <c r="B12" t="inlineStr">
        <is>
          <t>QA-FewDet (10-shot)</t>
        </is>
      </c>
      <c r="E12" t="inlineStr">
        <is>
          <t>2021</t>
        </is>
      </c>
      <c r="F12" t="inlineStr">
        <is>
          <t>✅ Cross-paper verified</t>
        </is>
      </c>
      <c r="G12" t="n">
        <v>11.6</v>
      </c>
      <c r="H12" t="inlineStr">
        <is>
          <t>nAP 10-shot=11.6</t>
        </is>
      </c>
      <c r="K12" t="inlineStr">
        <is>
          <t>✅ Cross-paper verified — MS-COCO 10-shot novel AP=11.6 reported in FCT CVPR22 Table 5; original method QA-FewDet (2021).</t>
        </is>
      </c>
      <c r="L12" t="inlineStr">
        <is>
          <t>https://arxiv.org/abs/2203.15021</t>
        </is>
      </c>
    </row>
    <row r="13">
      <c r="A13" t="inlineStr">
        <is>
          <t>Few-Shot OD</t>
        </is>
      </c>
      <c r="B13" t="inlineStr">
        <is>
          <t>Attention-RPN (10-shot)</t>
        </is>
      </c>
      <c r="E13" t="inlineStr">
        <is>
          <t>2020</t>
        </is>
      </c>
      <c r="F13" t="inlineStr">
        <is>
          <t>✅ Cross-paper verified</t>
        </is>
      </c>
      <c r="G13" t="n">
        <v>9.6</v>
      </c>
      <c r="H13" t="inlineStr">
        <is>
          <t>nAP 10-shot=9.6</t>
        </is>
      </c>
      <c r="K13" t="inlineStr">
        <is>
          <t>✅ Cross-paper verified — MS-COCO 10-shot novel AP=9.6 reported in FCT CVPR22 Table 5; original method Attention-RPN (2020).</t>
        </is>
      </c>
      <c r="L13" t="inlineStr">
        <is>
          <t>https://arxiv.org/abs/2203.15021</t>
        </is>
      </c>
    </row>
    <row r="14">
      <c r="A14" t="inlineStr">
        <is>
          <t>Few-Shot OD</t>
        </is>
      </c>
      <c r="B14" t="inlineStr">
        <is>
          <t>SRR-FSD (10-shot)</t>
        </is>
      </c>
      <c r="E14" t="inlineStr">
        <is>
          <t>2021</t>
        </is>
      </c>
      <c r="F14" t="inlineStr">
        <is>
          <t>✅ Cross-paper verified</t>
        </is>
      </c>
      <c r="G14" t="n">
        <v>11.3</v>
      </c>
      <c r="H14" t="inlineStr">
        <is>
          <t>nAP 10-shot=11.3</t>
        </is>
      </c>
      <c r="K14" t="inlineStr">
        <is>
          <t>✅ Cross-paper verified — MS-COCO 10-shot novel AP=11.3 reported in FCT CVPR22 Table 5; original method SRR-FSD (2021).</t>
        </is>
      </c>
      <c r="L14" t="inlineStr">
        <is>
          <t>https://arxiv.org/abs/2203.15021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L11" r:id="rId18"/>
    <hyperlink xmlns:r="http://schemas.openxmlformats.org/officeDocument/2006/relationships" ref="L12" r:id="rId19"/>
    <hyperlink xmlns:r="http://schemas.openxmlformats.org/officeDocument/2006/relationships" ref="L13" r:id="rId20"/>
    <hyperlink xmlns:r="http://schemas.openxmlformats.org/officeDocument/2006/relationships" ref="L14" r:id="rId2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🟠 Zero-shot verified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🟠 Zero-shot verified — This result uses a different protocol and is not directly comparable to fully-supervised closed-set results.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🟠 Zero-shot verified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🟠 Zero-shot verified — This result uses a different protocol and is not directly comparable to fully-supervised closed-set results.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🟠 Zero-shot verified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🟠 Zero-shot verified — This result uses a different protocol and is not directly comparable to fully-supervised closed-set results.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🟣 Open-vocabulary verified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🟣 Open-vocabulary verified — This result uses a different protocol and is not directly comparable to fully-supervised closed-set results.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🟣 Open-vocabulary verified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🟣 Open-vocabulary verified — This result uses a different protocol and is not directly comparable to fully-supervised closed-set results.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🟠 Zero-shot verified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🟠 Zero-shot verified — This result uses a different protocol and is not directly comparable to fully-supervised closed-set results.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🟠 Zero-shot verified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🟠 Zero-shot verified — This result uses a different protocol and is not directly comparable to fully-supervised closed-set results.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🟣 Open-vocabulary verified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🟣 Open-vocabulary verified — This result uses a different protocol and is not directly comparable to fully-supervised closed-set results.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🟠 Zero-shot verified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🟠 Zero-shot verified — This result uses a different protocol and is not directly comparable to fully-supervised closed-set results.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🟠 Zero-shot verified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🟠 Zero-shot verified — This result uses a different protocol and is not directly comparable to fully-supervised closed-set results.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🟢 Few-shot verified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>🟢 Few-shot verified — This result uses a different protocol and is not directly comparable to fully-supervised closed-set results. ✅ 已驗證 (UniDetector CVPR23 paper text)：UniDetector OpenImages-trained 16.8 AP zero-shot on LVIS [Universal OD] ⚠️ 注意：此值為 AP_rare / 零樣本設定，非 overall val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>
      <c r="A12" t="inlineStr">
        <is>
          <t>Open-Vocabulary OD</t>
        </is>
      </c>
      <c r="B12" t="inlineStr">
        <is>
          <t>APE</t>
        </is>
      </c>
      <c r="E12" t="inlineStr">
        <is>
          <t>2024</t>
        </is>
      </c>
      <c r="F12" t="inlineStr">
        <is>
          <t>✅ Standard verified</t>
        </is>
      </c>
      <c r="G12" t="n">
        <v>59.8</v>
      </c>
      <c r="H12" t="inlineStr">
        <is>
          <t>ODinW13_AP_avg=59.8 | AP_med=66.9</t>
        </is>
      </c>
      <c r="K12" t="inlineStr">
        <is>
          <t>✅ Standard verified — APE CVPR24 (arXiv 2312.02153) Table 1, ODinW-13 zero-shot AP_avg.</t>
        </is>
      </c>
      <c r="L12" t="inlineStr">
        <is>
          <t>https://arxiv.org/abs/2312.02153</t>
        </is>
      </c>
    </row>
    <row r="13">
      <c r="A13" t="inlineStr">
        <is>
          <t>Open-Vocabulary OD</t>
        </is>
      </c>
      <c r="B13" t="inlineStr">
        <is>
          <t>MM-Grounding-DINO</t>
        </is>
      </c>
      <c r="E13" t="inlineStr">
        <is>
          <t>2024</t>
        </is>
      </c>
      <c r="F13" t="inlineStr">
        <is>
          <t>✅ Standard verified</t>
        </is>
      </c>
      <c r="G13" t="n">
        <v>53.3</v>
      </c>
      <c r="H13" t="inlineStr">
        <is>
          <t>ODinW13_AP_avg=53.3</t>
        </is>
      </c>
      <c r="K13" t="inlineStr">
        <is>
          <t>✅ Standard verified — MM-Grounding-DINO (arXiv 2401.02361) Table 6, ODinW-13 zero-shot AP.</t>
        </is>
      </c>
      <c r="L13" t="inlineStr">
        <is>
          <t>https://arxiv.org/abs/2401.02361</t>
        </is>
      </c>
    </row>
    <row r="14">
      <c r="A14" t="inlineStr">
        <is>
          <t>Open-Vocabulary OD</t>
        </is>
      </c>
      <c r="B14" t="inlineStr">
        <is>
          <t>GLIP (Swin-T)</t>
        </is>
      </c>
      <c r="E14" t="inlineStr">
        <is>
          <t>2022</t>
        </is>
      </c>
      <c r="F14" t="inlineStr">
        <is>
          <t>✅ Cross-paper verified</t>
        </is>
      </c>
      <c r="G14" t="n">
        <v>52.1</v>
      </c>
      <c r="H14" t="inlineStr">
        <is>
          <t>ODinW13_AP_avg=52.1 | AP_med=57.6</t>
        </is>
      </c>
      <c r="K14" t="inlineStr">
        <is>
          <t>✅ Cross-paper verified — reported in APE CVPR24 Table 1; ODinW-13 zero-shot, original GLIP (Swin-T).</t>
        </is>
      </c>
      <c r="L14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  <hyperlink xmlns:r="http://schemas.openxmlformats.org/officeDocument/2006/relationships" ref="L12" r:id="rId15"/>
    <hyperlink xmlns:r="http://schemas.openxmlformats.org/officeDocument/2006/relationships" ref="L13" r:id="rId16"/>
    <hyperlink xmlns:r="http://schemas.openxmlformats.org/officeDocument/2006/relationships" ref="L14" r:id="rId17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>
      <c r="A11" t="inlineStr">
        <is>
          <t>Open-Vocabulary OD</t>
        </is>
      </c>
      <c r="B11" t="inlineStr">
        <is>
          <t>APE</t>
        </is>
      </c>
      <c r="E11" t="inlineStr">
        <is>
          <t>2024</t>
        </is>
      </c>
      <c r="F11" t="inlineStr">
        <is>
          <t>✅ Standard verified</t>
        </is>
      </c>
      <c r="G11" t="n">
        <v>29.4</v>
      </c>
      <c r="H11" t="inlineStr">
        <is>
          <t>ODinW35_AP_avg=29.4 | AP_med=16.7</t>
        </is>
      </c>
      <c r="K11" t="inlineStr">
        <is>
          <t>✅ Standard verified — APE CVPR24 (arXiv 2312.02153) Table 1, ODinW-35 zero-shot AP_avg.</t>
        </is>
      </c>
      <c r="L11" t="inlineStr">
        <is>
          <t>https://arxiv.org/abs/2312.02153</t>
        </is>
      </c>
    </row>
    <row r="12" ht="48" customHeight="1">
      <c r="A12" t="inlineStr">
        <is>
          <t>Open-Vocabulary OD</t>
        </is>
      </c>
      <c r="B12" t="inlineStr">
        <is>
          <t>MM-Grounding-DINO</t>
        </is>
      </c>
      <c r="E12" t="inlineStr">
        <is>
          <t>2024</t>
        </is>
      </c>
      <c r="F12" t="inlineStr">
        <is>
          <t>✅ Standard verified</t>
        </is>
      </c>
      <c r="G12" t="n">
        <v>28.4</v>
      </c>
      <c r="H12" t="inlineStr">
        <is>
          <t>ODinW35_AP_avg=28.4</t>
        </is>
      </c>
      <c r="K12" t="inlineStr">
        <is>
          <t>✅ Standard verified — MM-Grounding-DINO (arXiv 2401.02361) Table 6, ODinW-35 zero-shot AP.</t>
        </is>
      </c>
      <c r="L12" t="inlineStr">
        <is>
          <t>https://arxiv.org/abs/2401.02361</t>
        </is>
      </c>
    </row>
    <row r="13">
      <c r="A13" t="inlineStr">
        <is>
          <t>Open-Vocabulary OD</t>
        </is>
      </c>
      <c r="B13" t="inlineStr">
        <is>
          <t>GLIP (Swin-T)</t>
        </is>
      </c>
      <c r="E13" t="inlineStr">
        <is>
          <t>2022</t>
        </is>
      </c>
      <c r="F13" t="inlineStr">
        <is>
          <t>✅ Cross-paper verified</t>
        </is>
      </c>
      <c r="G13" t="n">
        <v>23.4</v>
      </c>
      <c r="H13" t="inlineStr">
        <is>
          <t>ODinW35_AP_avg=23.4 | AP_med=11.0</t>
        </is>
      </c>
      <c r="K13" t="inlineStr">
        <is>
          <t>✅ Cross-paper verified — APE CVPR24 Table 1; ODinW-35 zero-shot, original GLIP (Swin-T).</t>
        </is>
      </c>
      <c r="L13" t="inlineStr">
        <is>
          <t>https://arxiv.org/abs/2312.02153</t>
        </is>
      </c>
    </row>
    <row r="14">
      <c r="A14" t="inlineStr">
        <is>
          <t>Open-Vocabulary OD</t>
        </is>
      </c>
      <c r="B14" t="inlineStr">
        <is>
          <t>OWL-ViT</t>
        </is>
      </c>
      <c r="E14" t="inlineStr">
        <is>
          <t>2022</t>
        </is>
      </c>
      <c r="F14" t="inlineStr">
        <is>
          <t>✅ Cross-paper verified</t>
        </is>
      </c>
      <c r="G14" t="n">
        <v>18.8</v>
      </c>
      <c r="H14" t="inlineStr">
        <is>
          <t>ODinW35_AP_avg=18.8 | AP_med=9.8</t>
        </is>
      </c>
      <c r="K14" t="inlineStr">
        <is>
          <t>✅ Cross-paper verified — APE CVPR24 Table 1; ODinW-35 zero-shot, original OWL-ViT.</t>
        </is>
      </c>
      <c r="L14" t="inlineStr">
        <is>
          <t>https://arxiv.org/abs/2312.02153</t>
        </is>
      </c>
    </row>
    <row r="15">
      <c r="A15" t="inlineStr">
        <is>
          <t>Open-Vocabulary OD</t>
        </is>
      </c>
      <c r="B15" t="inlineStr">
        <is>
          <t>OpenSeeD</t>
        </is>
      </c>
      <c r="E15" t="inlineStr">
        <is>
          <t>2023</t>
        </is>
      </c>
      <c r="F15" t="inlineStr">
        <is>
          <t>✅ Cross-paper verified</t>
        </is>
      </c>
      <c r="G15" t="n">
        <v>15.2</v>
      </c>
      <c r="H15" t="inlineStr">
        <is>
          <t>ODinW35_AP_avg=15.2 | AP_med=5.0</t>
        </is>
      </c>
      <c r="K15" t="inlineStr">
        <is>
          <t>✅ Cross-paper verified — APE CVPR24 Table 1; ODinW-35 zero-shot, original OpenSeeD.</t>
        </is>
      </c>
      <c r="L15" t="inlineStr">
        <is>
          <t>https://arxiv.org/abs/2312.02153</t>
        </is>
      </c>
    </row>
    <row r="16">
      <c r="A16" t="inlineStr">
        <is>
          <t>Open-Vocabulary OD</t>
        </is>
      </c>
      <c r="B16" t="inlineStr">
        <is>
          <t>MDETR</t>
        </is>
      </c>
      <c r="E16" t="inlineStr">
        <is>
          <t>2021</t>
        </is>
      </c>
      <c r="F16" t="inlineStr">
        <is>
          <t>✅ Cross-paper verified</t>
        </is>
      </c>
      <c r="G16" t="n">
        <v>10.7</v>
      </c>
      <c r="H16" t="inlineStr">
        <is>
          <t>ODinW35_AP_avg=10.7 | AP_med=3.0</t>
        </is>
      </c>
      <c r="K16" t="inlineStr">
        <is>
          <t>✅ Cross-paper verified — APE CVPR24 Table 1; ODinW-35 zero-shot, original MDETR.</t>
        </is>
      </c>
      <c r="L16" t="inlineStr">
        <is>
          <t>https://arxiv.org/abs/2312.02153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  <hyperlink xmlns:r="http://schemas.openxmlformats.org/officeDocument/2006/relationships" ref="L11" r:id="rId9"/>
    <hyperlink xmlns:r="http://schemas.openxmlformats.org/officeDocument/2006/relationships" ref="L12" r:id="rId10"/>
    <hyperlink xmlns:r="http://schemas.openxmlformats.org/officeDocument/2006/relationships" ref="L13" r:id="rId11"/>
    <hyperlink xmlns:r="http://schemas.openxmlformats.org/officeDocument/2006/relationships" ref="L14" r:id="rId12"/>
    <hyperlink xmlns:r="http://schemas.openxmlformats.org/officeDocument/2006/relationships" ref="L15" r:id="rId13"/>
    <hyperlink xmlns:r="http://schemas.openxmlformats.org/officeDocument/2006/relationships" ref="L16" r:id="rId14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  <row r="6">
      <c r="A6" t="inlineStr">
        <is>
          <t>Open-World OD</t>
        </is>
      </c>
      <c r="B6" t="inlineStr">
        <is>
          <t>PROB</t>
        </is>
      </c>
      <c r="E6" t="inlineStr">
        <is>
          <t>2023</t>
        </is>
      </c>
      <c r="F6" t="inlineStr">
        <is>
          <t>✅ Standard verified</t>
        </is>
      </c>
      <c r="G6" t="n">
        <v>19.4</v>
      </c>
      <c r="H6" t="inlineStr">
        <is>
          <t>M-OWODB_T1_U-Recall=19.4 | known-mAP=59.5</t>
        </is>
      </c>
      <c r="K6" t="inlineStr">
        <is>
          <t>✅ Standard verified — OWOD M-OWODB Task-1 U-Recall=19.4, known-mAP=59.5; PROB CVPR23 (arXiv 2212.01424) Table 1.</t>
        </is>
      </c>
      <c r="L6" t="inlineStr">
        <is>
          <t>https://arxiv.org/abs/2212.01424</t>
        </is>
      </c>
    </row>
    <row r="7">
      <c r="A7" t="inlineStr">
        <is>
          <t>Open-World OD</t>
        </is>
      </c>
      <c r="B7" t="inlineStr">
        <is>
          <t>2B-OCD</t>
        </is>
      </c>
      <c r="E7" t="inlineStr">
        <is>
          <t>2022</t>
        </is>
      </c>
      <c r="F7" t="inlineStr">
        <is>
          <t>✅ Cross-paper verified</t>
        </is>
      </c>
      <c r="G7" t="n">
        <v>12.1</v>
      </c>
      <c r="H7" t="inlineStr">
        <is>
          <t>M-OWODB_T1_U-Recall=12.1 | known-mAP=56.4</t>
        </is>
      </c>
      <c r="K7" t="inlineStr">
        <is>
          <t>✅ Cross-paper verified — M-OWODB Task-1 U-Recall=12.1/known-mAP=56.4 reported in PROB CVPR23 Table 1; original method 2B-OCD (2022).</t>
        </is>
      </c>
      <c r="L7" t="inlineStr">
        <is>
          <t>https://arxiv.org/abs/2212.01424</t>
        </is>
      </c>
    </row>
    <row r="8">
      <c r="A8" t="inlineStr">
        <is>
          <t>Open-World OD</t>
        </is>
      </c>
      <c r="B8" t="inlineStr">
        <is>
          <t>OCPL</t>
        </is>
      </c>
      <c r="E8" t="inlineStr">
        <is>
          <t>2022</t>
        </is>
      </c>
      <c r="F8" t="inlineStr">
        <is>
          <t>✅ Cross-paper verified</t>
        </is>
      </c>
      <c r="G8" t="n">
        <v>8.26</v>
      </c>
      <c r="H8" t="inlineStr">
        <is>
          <t>M-OWODB_T1_U-Recall=8.26 | known-mAP=56.6</t>
        </is>
      </c>
      <c r="K8" t="inlineStr">
        <is>
          <t>✅ Cross-paper verified — M-OWODB Task-1 U-Recall=8.26/known-mAP=56.6 reported in PROB CVPR23 Table 1; original method OCPL (2022).</t>
        </is>
      </c>
      <c r="L8" t="inlineStr">
        <is>
          <t>https://arxiv.org/abs/2212.01424</t>
        </is>
      </c>
    </row>
    <row r="9">
      <c r="A9" t="inlineStr">
        <is>
          <t>Open-World OD</t>
        </is>
      </c>
      <c r="B9" t="inlineStr">
        <is>
          <t>OW-DETR</t>
        </is>
      </c>
      <c r="E9" t="inlineStr">
        <is>
          <t>2022</t>
        </is>
      </c>
      <c r="F9" t="inlineStr">
        <is>
          <t>✅ Cross-paper verified</t>
        </is>
      </c>
      <c r="G9" t="n">
        <v>7.5</v>
      </c>
      <c r="H9" t="inlineStr">
        <is>
          <t>M-OWODB_T1_U-Recall=7.5 | known-mAP=59.2</t>
        </is>
      </c>
      <c r="K9" t="inlineStr">
        <is>
          <t>✅ Cross-paper verified — M-OWODB Task-1 U-Recall=7.5/known-mAP=59.2 reported in PROB CVPR23 Table 1; original method OW-DETR (2022).</t>
        </is>
      </c>
      <c r="L9" t="inlineStr">
        <is>
          <t>https://arxiv.org/abs/2212.01424</t>
        </is>
      </c>
    </row>
    <row r="10">
      <c r="A10" t="inlineStr">
        <is>
          <t>Open-World OD</t>
        </is>
      </c>
      <c r="B10" t="inlineStr">
        <is>
          <t>ORE</t>
        </is>
      </c>
      <c r="E10" t="inlineStr">
        <is>
          <t>2021</t>
        </is>
      </c>
      <c r="F10" t="inlineStr">
        <is>
          <t>✅ Cross-paper verified</t>
        </is>
      </c>
      <c r="G10" t="n">
        <v>4.9</v>
      </c>
      <c r="H10" t="inlineStr">
        <is>
          <t>M-OWODB_T1_U-Recall=4.9 | known-mAP=56.0</t>
        </is>
      </c>
      <c r="K10" t="inlineStr">
        <is>
          <t>✅ Cross-paper verified — M-OWODB Task-1 U-Recall=4.9/known-mAP=56.0 reported in PROB CVPR23 Table 1; original method ORE (2021).</t>
        </is>
      </c>
      <c r="L10" t="inlineStr">
        <is>
          <t>https://arxiv.org/abs/2212.01424</t>
        </is>
      </c>
    </row>
    <row r="11">
      <c r="A11" t="inlineStr">
        <is>
          <t>Open-World OD</t>
        </is>
      </c>
      <c r="B11" t="inlineStr">
        <is>
          <t>UC-OWOD</t>
        </is>
      </c>
      <c r="E11" t="inlineStr">
        <is>
          <t>2022</t>
        </is>
      </c>
      <c r="F11" t="inlineStr">
        <is>
          <t>✅ Cross-paper verified</t>
        </is>
      </c>
      <c r="G11" t="n">
        <v>2.4</v>
      </c>
      <c r="H11" t="inlineStr">
        <is>
          <t>M-OWODB_T1_U-Recall=2.4 | known-mAP=50.7</t>
        </is>
      </c>
      <c r="K11" t="inlineStr">
        <is>
          <t>✅ Cross-paper verified — M-OWODB Task-1 U-Recall=2.4/known-mAP=50.7 reported in PROB CVPR23 Table 1; original method UC-OWOD (2022).</t>
        </is>
      </c>
      <c r="L11" t="inlineStr">
        <is>
          <t>https://arxiv.org/abs/2212.01424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  <row r="7">
      <c r="A7" t="inlineStr">
        <is>
          <t>Tiny-Object OD</t>
        </is>
      </c>
      <c r="B7" t="inlineStr">
        <is>
          <t>CFINet</t>
        </is>
      </c>
      <c r="E7" t="inlineStr">
        <is>
          <t>2023</t>
        </is>
      </c>
      <c r="F7" t="inlineStr">
        <is>
          <t>✅ Standard verified</t>
        </is>
      </c>
      <c r="G7" t="n">
        <v>30.7</v>
      </c>
      <c r="H7" t="inlineStr">
        <is>
          <t>SODA-D_AP=30.7 | AP50=60.8</t>
        </is>
      </c>
      <c r="K7" t="inlineStr">
        <is>
          <t>✅ Standard verified — SODA-D test AP=30.7 (small-object); CFINet ICCV23 (arXiv 2308.09534) Table 2.</t>
        </is>
      </c>
      <c r="L7" t="inlineStr">
        <is>
          <t>https://arxiv.org/abs/2308.09534</t>
        </is>
      </c>
    </row>
    <row r="8">
      <c r="A8" t="inlineStr">
        <is>
          <t>Tiny-Object OD</t>
        </is>
      </c>
      <c r="B8" t="inlineStr">
        <is>
          <t>RFLA</t>
        </is>
      </c>
      <c r="E8" t="inlineStr">
        <is>
          <t>2022</t>
        </is>
      </c>
      <c r="F8" t="inlineStr">
        <is>
          <t>✅ Cross-paper verified</t>
        </is>
      </c>
      <c r="G8" t="n">
        <v>29.7</v>
      </c>
      <c r="H8" t="inlineStr">
        <is>
          <t>SODA-D_AP=29.7 | AP50=60.2</t>
        </is>
      </c>
      <c r="K8" t="inlineStr">
        <is>
          <t>✅ Cross-paper verified — SODA-D test AP=29.7 reported in CFINet ICCV23 Table 2; original method RFLA (2022).</t>
        </is>
      </c>
      <c r="L8" t="inlineStr">
        <is>
          <t>https://arxiv.org/abs/2308.09534</t>
        </is>
      </c>
    </row>
    <row r="9">
      <c r="A9" t="inlineStr">
        <is>
          <t>Tiny-Object OD</t>
        </is>
      </c>
      <c r="B9" t="inlineStr">
        <is>
          <t>DyHead</t>
        </is>
      </c>
      <c r="E9" t="inlineStr">
        <is>
          <t>2021</t>
        </is>
      </c>
      <c r="F9" t="inlineStr">
        <is>
          <t>✅ Cross-paper verified</t>
        </is>
      </c>
      <c r="G9" t="n">
        <v>27.5</v>
      </c>
      <c r="H9" t="inlineStr">
        <is>
          <t>SODA-D_AP=27.5 | AP50=51.0</t>
        </is>
      </c>
      <c r="K9" t="inlineStr">
        <is>
          <t>✅ Cross-paper verified — SODA-D test AP=27.5 reported in CFINet ICCV23 Table 2; original method DyHead (2021).</t>
        </is>
      </c>
      <c r="L9" t="inlineStr">
        <is>
          <t>https://arxiv.org/abs/2308.09534</t>
        </is>
      </c>
    </row>
    <row r="10">
      <c r="A10" t="inlineStr">
        <is>
          <t>Tiny-Object OD</t>
        </is>
      </c>
      <c r="B10" t="inlineStr">
        <is>
          <t>ATSS</t>
        </is>
      </c>
      <c r="E10" t="inlineStr">
        <is>
          <t>2020</t>
        </is>
      </c>
      <c r="F10" t="inlineStr">
        <is>
          <t>✅ Cross-paper verified</t>
        </is>
      </c>
      <c r="G10" t="n">
        <v>26.8</v>
      </c>
      <c r="H10" t="inlineStr">
        <is>
          <t>SODA-D_AP=26.8 | AP50=55.6</t>
        </is>
      </c>
      <c r="K10" t="inlineStr">
        <is>
          <t>✅ Cross-paper verified — SODA-D test AP=26.8 reported in CFINet ICCV23 Table 2; original method ATSS (2020).</t>
        </is>
      </c>
      <c r="L10" t="inlineStr">
        <is>
          <t>https://arxiv.org/abs/2308.09534</t>
        </is>
      </c>
    </row>
    <row r="11">
      <c r="A11" t="inlineStr">
        <is>
          <t>Tiny-Object OD</t>
        </is>
      </c>
      <c r="B11" t="inlineStr">
        <is>
          <t>YOLOX</t>
        </is>
      </c>
      <c r="E11" t="inlineStr">
        <is>
          <t>2021</t>
        </is>
      </c>
      <c r="F11" t="inlineStr">
        <is>
          <t>✅ Cross-paper verified</t>
        </is>
      </c>
      <c r="G11" t="n">
        <v>26.7</v>
      </c>
      <c r="H11" t="inlineStr">
        <is>
          <t>SODA-D_AP=26.7 | AP50=53.4</t>
        </is>
      </c>
      <c r="K11" t="inlineStr">
        <is>
          <t>✅ Cross-paper verified — SODA-D test AP=26.7 reported in CFINet ICCV23 Table 2; original method YOLOX (2021).</t>
        </is>
      </c>
      <c r="L11" t="inlineStr">
        <is>
          <t>https://arxiv.org/abs/2308.09534</t>
        </is>
      </c>
    </row>
    <row r="12">
      <c r="A12" t="inlineStr">
        <is>
          <t>Tiny-Object OD</t>
        </is>
      </c>
      <c r="B12" t="inlineStr">
        <is>
          <t>Sparse R-CNN</t>
        </is>
      </c>
      <c r="E12" t="inlineStr">
        <is>
          <t>2021</t>
        </is>
      </c>
      <c r="F12" t="inlineStr">
        <is>
          <t>✅ Cross-paper verified</t>
        </is>
      </c>
      <c r="G12" t="n">
        <v>24.2</v>
      </c>
      <c r="H12" t="inlineStr">
        <is>
          <t>SODA-D_AP=24.2 | AP50=50.3</t>
        </is>
      </c>
      <c r="K12" t="inlineStr">
        <is>
          <t>✅ Cross-paper verified — SODA-D test AP=24.2 reported in CFINet ICCV23 Table 2; original method Sparse R-CNN (2021).</t>
        </is>
      </c>
      <c r="L12" t="inlineStr">
        <is>
          <t>https://arxiv.org/abs/2308.09534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  <row r="5">
      <c r="A5" t="inlineStr">
        <is>
          <t>Incremental OD</t>
        </is>
      </c>
      <c r="B5" t="inlineStr">
        <is>
          <t>BPF</t>
        </is>
      </c>
      <c r="E5" t="inlineStr">
        <is>
          <t>2023</t>
        </is>
      </c>
      <c r="F5" t="inlineStr">
        <is>
          <t>✅ Cross-paper verified</t>
        </is>
      </c>
      <c r="G5" t="n">
        <v>74.09999999999999</v>
      </c>
      <c r="H5" t="inlineStr">
        <is>
          <t>VOC 19+1 All mAP=74.1</t>
        </is>
      </c>
      <c r="K5" t="inlineStr">
        <is>
          <t>✅ Cross-paper verified — PASCAL VOC 2007 incremental 19+1 All mAP=74.1 reported in RGR CVPR25 Table 1; original method BPF (2023).</t>
        </is>
      </c>
      <c r="L5" t="inlineStr">
        <is>
          <t>https://openaccess.thecvf.com/content/CVPR2025/html/Zhang_Revisiting_Generative_Replay_for_Class_Incremental_Object_Detection_CVPR_2025_paper.html</t>
        </is>
      </c>
    </row>
    <row r="6">
      <c r="A6" t="inlineStr">
        <is>
          <t>Incremental OD</t>
        </is>
      </c>
      <c r="B6" t="inlineStr">
        <is>
          <t>PseudoRM</t>
        </is>
      </c>
      <c r="E6" t="inlineStr">
        <is>
          <t>2022</t>
        </is>
      </c>
      <c r="F6" t="inlineStr">
        <is>
          <t>✅ Cross-paper verified</t>
        </is>
      </c>
      <c r="G6" t="n">
        <v>72.59999999999999</v>
      </c>
      <c r="H6" t="inlineStr">
        <is>
          <t>VOC 19+1 All mAP=72.6</t>
        </is>
      </c>
      <c r="K6" t="inlineStr">
        <is>
          <t>✅ Cross-paper verified — PASCAL VOC 2007 incremental 19+1 All mAP=72.6 reported in RGR CVPR25 Table 1; original method PseudoRM (2022).</t>
        </is>
      </c>
      <c r="L6" t="inlineStr">
        <is>
          <t>https://openaccess.thecvf.com/content/CVPR2025/html/Zhang_Revisiting_Generative_Replay_for_Class_Incremental_Object_Detection_CVPR_2025_paper.html</t>
        </is>
      </c>
    </row>
    <row r="7">
      <c r="A7" t="inlineStr">
        <is>
          <t>Incremental OD</t>
        </is>
      </c>
      <c r="B7" t="inlineStr">
        <is>
          <t>PROB (incremental)</t>
        </is>
      </c>
      <c r="E7" t="inlineStr">
        <is>
          <t>2023</t>
        </is>
      </c>
      <c r="F7" t="inlineStr">
        <is>
          <t>✅ Cross-paper verified</t>
        </is>
      </c>
      <c r="G7" t="n">
        <v>72.59999999999999</v>
      </c>
      <c r="H7" t="inlineStr">
        <is>
          <t>VOC 19+1 All mAP=72.6</t>
        </is>
      </c>
      <c r="K7" t="inlineStr">
        <is>
          <t>✅ Cross-paper verified — PASCAL VOC 2007 incremental 19+1 All mAP=72.6 reported in RGR CVPR25 Table 1; original method PROB (incremental) (2023).</t>
        </is>
      </c>
      <c r="L7" t="inlineStr">
        <is>
          <t>https://openaccess.thecvf.com/content/CVPR2025/html/Zhang_Revisiting_Generative_Replay_for_Class_Incremental_Object_Detection_CVPR_2025_paper.html</t>
        </is>
      </c>
    </row>
    <row r="8">
      <c r="A8" t="inlineStr">
        <is>
          <t>Incremental OD</t>
        </is>
      </c>
      <c r="B8" t="inlineStr">
        <is>
          <t>ABR</t>
        </is>
      </c>
      <c r="E8" t="inlineStr">
        <is>
          <t>2023</t>
        </is>
      </c>
      <c r="F8" t="inlineStr">
        <is>
          <t>✅ Cross-paper verified</t>
        </is>
      </c>
      <c r="G8" t="n">
        <v>70.90000000000001</v>
      </c>
      <c r="H8" t="inlineStr">
        <is>
          <t>VOC 19+1 All mAP=70.9</t>
        </is>
      </c>
      <c r="K8" t="inlineStr">
        <is>
          <t>✅ Cross-paper verified — PASCAL VOC 2007 incremental 19+1 All mAP=70.9 reported in RGR CVPR25 Table 1; original method ABR (2023).</t>
        </is>
      </c>
      <c r="L8" t="inlineStr">
        <is>
          <t>https://openaccess.thecvf.com/content/CVPR2025/html/Zhang_Revisiting_Generative_Replay_for_Class_Incremental_Object_Detection_CVPR_2025_paper.html</t>
        </is>
      </c>
    </row>
    <row r="9">
      <c r="A9" t="inlineStr">
        <is>
          <t>Incremental OD</t>
        </is>
      </c>
      <c r="B9" t="inlineStr">
        <is>
          <t>MMA</t>
        </is>
      </c>
      <c r="E9" t="inlineStr">
        <is>
          <t>2023</t>
        </is>
      </c>
      <c r="F9" t="inlineStr">
        <is>
          <t>✅ Cross-paper verified</t>
        </is>
      </c>
      <c r="G9" t="n">
        <v>70.7</v>
      </c>
      <c r="H9" t="inlineStr">
        <is>
          <t>VOC 19+1 All mAP=70.7</t>
        </is>
      </c>
      <c r="K9" t="inlineStr">
        <is>
          <t>✅ Cross-paper verified — PASCAL VOC 2007 incremental 19+1 All mAP=70.7 reported in RGR CVPR25 Table 1; original method MMA (2023).</t>
        </is>
      </c>
      <c r="L9" t="inlineStr">
        <is>
          <t>https://openaccess.thecvf.com/content/CVPR2025/html/Zhang_Revisiting_Generative_Replay_for_Class_Incremental_Object_Detection_CVPR_2025_paper.html</t>
        </is>
      </c>
    </row>
    <row r="10">
      <c r="A10" t="inlineStr">
        <is>
          <t>Incremental OD</t>
        </is>
      </c>
      <c r="B10" t="inlineStr">
        <is>
          <t>ILOD-Meta</t>
        </is>
      </c>
      <c r="E10" t="inlineStr">
        <is>
          <t>2021</t>
        </is>
      </c>
      <c r="F10" t="inlineStr">
        <is>
          <t>✅ Cross-paper verified</t>
        </is>
      </c>
      <c r="G10" t="n">
        <v>70.2</v>
      </c>
      <c r="H10" t="inlineStr">
        <is>
          <t>VOC 19+1 All mAP=70.2</t>
        </is>
      </c>
      <c r="K10" t="inlineStr">
        <is>
          <t>✅ Cross-paper verified — PASCAL VOC 2007 incremental 19+1 All mAP=70.2 reported in RGR CVPR25 Table 1; original method ILOD-Meta (2021).</t>
        </is>
      </c>
      <c r="L10" t="inlineStr">
        <is>
          <t>https://openaccess.thecvf.com/content/CVPR2025/html/Zhang_Revisiting_Generative_Replay_for_Class_Incremental_Object_Detection_CVPR_2025_paper.html</t>
        </is>
      </c>
    </row>
    <row r="11">
      <c r="A11" t="inlineStr">
        <is>
          <t>Incremental OD</t>
        </is>
      </c>
      <c r="B11" t="inlineStr">
        <is>
          <t>OW-DETR (incremental)</t>
        </is>
      </c>
      <c r="E11" t="inlineStr">
        <is>
          <t>2022</t>
        </is>
      </c>
      <c r="F11" t="inlineStr">
        <is>
          <t>✅ Cross-paper verified</t>
        </is>
      </c>
      <c r="G11" t="n">
        <v>69.8</v>
      </c>
      <c r="H11" t="inlineStr">
        <is>
          <t>VOC 19+1 All mAP=69.8</t>
        </is>
      </c>
      <c r="K11" t="inlineStr">
        <is>
          <t>✅ Cross-paper verified — PASCAL VOC 2007 incremental 19+1 All mAP=69.8 reported in RGR CVPR25 Table 1; original method OW-DETR (incremental) (2022).</t>
        </is>
      </c>
      <c r="L11" t="inlineStr">
        <is>
          <t>https://openaccess.thecvf.com/content/CVPR2025/html/Zhang_Revisiting_Generative_Replay_for_Class_Incremental_Object_Detection_CVPR_2025_paper.html</t>
        </is>
      </c>
    </row>
    <row r="12">
      <c r="A12" t="inlineStr">
        <is>
          <t>Incremental OD</t>
        </is>
      </c>
      <c r="B12" t="inlineStr">
        <is>
          <t>MVC</t>
        </is>
      </c>
      <c r="E12" t="inlineStr">
        <is>
          <t>2022</t>
        </is>
      </c>
      <c r="F12" t="inlineStr">
        <is>
          <t>✅ Cross-paper verified</t>
        </is>
      </c>
      <c r="G12" t="n">
        <v>69.7</v>
      </c>
      <c r="H12" t="inlineStr">
        <is>
          <t>VOC 19+1 All mAP=69.7</t>
        </is>
      </c>
      <c r="K12" t="inlineStr">
        <is>
          <t>✅ Cross-paper verified — PASCAL VOC 2007 incremental 19+1 All mAP=69.7 reported in RGR CVPR25 Table 1; original method MVC (2022).</t>
        </is>
      </c>
      <c r="L12" t="inlineStr">
        <is>
          <t>https://openaccess.thecvf.com/content/CVPR2025/html/Zhang_Revisiting_Generative_Replay_for_Class_Incremental_Object_Detection_CVPR_2025_paper.html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  <row r="8">
      <c r="A8" t="inlineStr">
        <is>
          <t>Oriented-RS OD</t>
        </is>
      </c>
      <c r="B8" t="inlineStr">
        <is>
          <t>LSKNet-S</t>
        </is>
      </c>
      <c r="E8" t="inlineStr">
        <is>
          <t>2023</t>
        </is>
      </c>
      <c r="F8" t="inlineStr">
        <is>
          <t>✅ Standard verified</t>
        </is>
      </c>
      <c r="G8" t="n">
        <v>81.64</v>
      </c>
      <c r="H8" t="inlineStr">
        <is>
          <t>DOTA-v1.0_mAP=81.64 (multi-scale, oriented)</t>
        </is>
      </c>
      <c r="K8" t="inlineStr">
        <is>
          <t>✅ Standard verified — DOTA-v1.0 oriented mAP (multi-scale)=81.64; LSKNet ICCV23 (arXiv 2303.09030) Table 9.</t>
        </is>
      </c>
      <c r="L8" t="inlineStr">
        <is>
          <t>https://arxiv.org/abs/2303.09030</t>
        </is>
      </c>
    </row>
    <row r="9">
      <c r="A9" t="inlineStr">
        <is>
          <t>Oriented-RS OD</t>
        </is>
      </c>
      <c r="B9" t="inlineStr">
        <is>
          <t>RVSA</t>
        </is>
      </c>
      <c r="E9" t="inlineStr">
        <is>
          <t>2022</t>
        </is>
      </c>
      <c r="F9" t="inlineStr">
        <is>
          <t>✅ Cross-paper verified</t>
        </is>
      </c>
      <c r="G9" t="n">
        <v>81.23999999999999</v>
      </c>
      <c r="H9" t="inlineStr">
        <is>
          <t>DOTA-v1.0_mAP=81.24 (multi-scale, oriented)</t>
        </is>
      </c>
      <c r="K9" t="inlineStr">
        <is>
          <t>✅ Cross-paper verified — DOTA-v1.0 oriented mAP (MS)=81.24 reported in LSKNet ICCV23 Table 9; original method RVSA (2022).</t>
        </is>
      </c>
      <c r="L9" t="inlineStr">
        <is>
          <t>https://arxiv.org/abs/2303.09030</t>
        </is>
      </c>
    </row>
    <row r="10">
      <c r="A10" t="inlineStr">
        <is>
          <t>Oriented-RS OD</t>
        </is>
      </c>
      <c r="B10" t="inlineStr">
        <is>
          <t>KFIoU</t>
        </is>
      </c>
      <c r="E10" t="inlineStr">
        <is>
          <t>2022</t>
        </is>
      </c>
      <c r="F10" t="inlineStr">
        <is>
          <t>✅ Cross-paper verified</t>
        </is>
      </c>
      <c r="G10" t="n">
        <v>80.93000000000001</v>
      </c>
      <c r="H10" t="inlineStr">
        <is>
          <t>DOTA-v1.0_mAP=80.93 (multi-scale, oriented)</t>
        </is>
      </c>
      <c r="K10" t="inlineStr">
        <is>
          <t>✅ Cross-paper verified — DOTA-v1.0 oriented mAP (MS)=80.93 reported in LSKNet ICCV23 Table 9; original method KFIoU (2022).</t>
        </is>
      </c>
      <c r="L10" t="inlineStr">
        <is>
          <t>https://arxiv.org/abs/2303.09030</t>
        </is>
      </c>
    </row>
    <row r="11">
      <c r="A11" t="inlineStr">
        <is>
          <t>Oriented-RS OD</t>
        </is>
      </c>
      <c r="B11" t="inlineStr">
        <is>
          <t>Oriented R-CNN</t>
        </is>
      </c>
      <c r="E11" t="inlineStr">
        <is>
          <t>2021</t>
        </is>
      </c>
      <c r="F11" t="inlineStr">
        <is>
          <t>✅ Cross-paper verified</t>
        </is>
      </c>
      <c r="G11" t="n">
        <v>80.87</v>
      </c>
      <c r="H11" t="inlineStr">
        <is>
          <t>DOTA-v1.0_mAP=80.87 (multi-scale, oriented)</t>
        </is>
      </c>
      <c r="K11" t="inlineStr">
        <is>
          <t>✅ Cross-paper verified — DOTA-v1.0 oriented mAP (MS)=80.87 reported in LSKNet ICCV23 Table 9; original method Oriented R-CNN (2021).</t>
        </is>
      </c>
      <c r="L11" t="inlineStr">
        <is>
          <t>https://arxiv.org/abs/2303.09030</t>
        </is>
      </c>
    </row>
    <row r="12">
      <c r="A12" t="inlineStr">
        <is>
          <t>Oriented-RS OD</t>
        </is>
      </c>
      <c r="B12" t="inlineStr">
        <is>
          <t>AOPG</t>
        </is>
      </c>
      <c r="E12" t="inlineStr">
        <is>
          <t>2022</t>
        </is>
      </c>
      <c r="F12" t="inlineStr">
        <is>
          <t>✅ Cross-paper verified</t>
        </is>
      </c>
      <c r="G12" t="n">
        <v>80.66</v>
      </c>
      <c r="H12" t="inlineStr">
        <is>
          <t>DOTA-v1.0_mAP=80.66 (multi-scale, oriented)</t>
        </is>
      </c>
      <c r="K12" t="inlineStr">
        <is>
          <t>✅ Cross-paper verified — DOTA-v1.0 oriented mAP (MS)=80.66 reported in LSKNet ICCV23 Table 9; original method AOPG (2022).</t>
        </is>
      </c>
      <c r="L12" t="inlineStr">
        <is>
          <t>https://arxiv.org/abs/2303.09030</t>
        </is>
      </c>
    </row>
    <row r="13">
      <c r="A13" t="inlineStr">
        <is>
          <t>Oriented-RS OD</t>
        </is>
      </c>
      <c r="B13" t="inlineStr">
        <is>
          <t>ReDet</t>
        </is>
      </c>
      <c r="E13" t="inlineStr">
        <is>
          <t>2021</t>
        </is>
      </c>
      <c r="F13" t="inlineStr">
        <is>
          <t>✅ Cross-paper verified</t>
        </is>
      </c>
      <c r="G13" t="n">
        <v>80.09999999999999</v>
      </c>
      <c r="H13" t="inlineStr">
        <is>
          <t>DOTA-v1.0_mAP=80.1 (multi-scale, oriented)</t>
        </is>
      </c>
      <c r="K13" t="inlineStr">
        <is>
          <t>✅ Cross-paper verified — DOTA-v1.0 oriented mAP (MS)=80.1 reported in LSKNet ICCV23 Table 9; original method ReDet (2021).</t>
        </is>
      </c>
      <c r="L13" t="inlineStr">
        <is>
          <t>https://arxiv.org/abs/2303.09030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  <row r="5">
      <c r="A5" t="inlineStr">
        <is>
          <t>Referring OD</t>
        </is>
      </c>
      <c r="B5" t="inlineStr">
        <is>
          <t>UNINEXT-H</t>
        </is>
      </c>
      <c r="E5" t="inlineStr">
        <is>
          <t>2023</t>
        </is>
      </c>
      <c r="F5" t="inlineStr">
        <is>
          <t>✅ Standard verified</t>
        </is>
      </c>
      <c r="G5" t="n">
        <v>92.64</v>
      </c>
      <c r="H5" t="inlineStr">
        <is>
          <t>RefCOCO_val=92.64 | testA=94.33 | testB=91.46</t>
        </is>
      </c>
      <c r="K5" t="inlineStr">
        <is>
          <t>✅ Standard verified — RefCOCO REC val Acc@0.5=92.64 (testA=94.33/testB=91.46); UNINEXT CVPR23 (arXiv 2303.06674) Table 3.</t>
        </is>
      </c>
      <c r="L5" t="inlineStr">
        <is>
          <t>https://arxiv.org/abs/2303.06674</t>
        </is>
      </c>
    </row>
    <row r="6">
      <c r="A6" t="inlineStr">
        <is>
          <t>Referring OD</t>
        </is>
      </c>
      <c r="B6" t="inlineStr">
        <is>
          <t>UNINEXT-L</t>
        </is>
      </c>
      <c r="E6" t="inlineStr">
        <is>
          <t>2023</t>
        </is>
      </c>
      <c r="F6" t="inlineStr">
        <is>
          <t>✅ Standard verified</t>
        </is>
      </c>
      <c r="G6" t="n">
        <v>91.43000000000001</v>
      </c>
      <c r="H6" t="inlineStr">
        <is>
          <t>RefCOCO_val=91.43 | testA=93.73 | testB=88.93</t>
        </is>
      </c>
      <c r="K6" t="inlineStr">
        <is>
          <t>✅ Standard verified — RefCOCO REC val Acc@0.5=91.43 (testA=93.73/testB=88.93); UNINEXT CVPR23 (arXiv 2303.06674) Table 3.</t>
        </is>
      </c>
      <c r="L6" t="inlineStr">
        <is>
          <t>https://arxiv.org/abs/2303.06674</t>
        </is>
      </c>
    </row>
    <row r="7">
      <c r="A7" t="inlineStr">
        <is>
          <t>Referring OD</t>
        </is>
      </c>
      <c r="B7" t="inlineStr">
        <is>
          <t>UNINEXT-R50</t>
        </is>
      </c>
      <c r="E7" t="inlineStr">
        <is>
          <t>2023</t>
        </is>
      </c>
      <c r="F7" t="inlineStr">
        <is>
          <t>✅ Standard verified</t>
        </is>
      </c>
      <c r="G7" t="n">
        <v>89.72</v>
      </c>
      <c r="H7" t="inlineStr">
        <is>
          <t>RefCOCO_val=89.72 | testA=91.52 | testB=86.93</t>
        </is>
      </c>
      <c r="K7" t="inlineStr">
        <is>
          <t>✅ Standard verified — RefCOCO REC val Acc@0.5=89.72 (testA=91.52/testB=86.93); UNINEXT CVPR23 (arXiv 2303.06674) Table 3.</t>
        </is>
      </c>
      <c r="L7" t="inlineStr">
        <is>
          <t>https://arxiv.org/abs/2303.06674</t>
        </is>
      </c>
    </row>
    <row r="8">
      <c r="A8" t="inlineStr">
        <is>
          <t>Referring OD</t>
        </is>
      </c>
      <c r="B8" t="inlineStr">
        <is>
          <t>SeqTR</t>
        </is>
      </c>
      <c r="E8" t="inlineStr">
        <is>
          <t>2022</t>
        </is>
      </c>
      <c r="F8" t="inlineStr">
        <is>
          <t>✅ Cross-paper verified</t>
        </is>
      </c>
      <c r="G8" t="n">
        <v>87</v>
      </c>
      <c r="H8" t="inlineStr">
        <is>
          <t>RefCOCO_val=87.0 | testA=90.15 | testB=83.59</t>
        </is>
      </c>
      <c r="K8" t="inlineStr">
        <is>
          <t>✅ Cross-paper verified — RefCOCO REC val Acc@0.5=87.0 reported in UNINEXT CVPR23 Table 3; original method SeqTR (2022).</t>
        </is>
      </c>
      <c r="L8" t="inlineStr">
        <is>
          <t>https://arxiv.org/abs/2303.06674</t>
        </is>
      </c>
    </row>
    <row r="9">
      <c r="A9" t="inlineStr">
        <is>
          <t>Referring OD</t>
        </is>
      </c>
      <c r="B9" t="inlineStr">
        <is>
          <t>MDETR</t>
        </is>
      </c>
      <c r="E9" t="inlineStr">
        <is>
          <t>2021</t>
        </is>
      </c>
      <c r="F9" t="inlineStr">
        <is>
          <t>✅ Cross-paper verified</t>
        </is>
      </c>
      <c r="G9" t="n">
        <v>86.75</v>
      </c>
      <c r="H9" t="inlineStr">
        <is>
          <t>RefCOCO_val=86.75 | testA=89.58 | testB=81.41</t>
        </is>
      </c>
      <c r="K9" t="inlineStr">
        <is>
          <t>✅ Cross-paper verified — RefCOCO REC val Acc@0.5=86.75 reported in UNINEXT CVPR23 Table 3; original method MDETR (2021).</t>
        </is>
      </c>
      <c r="L9" t="inlineStr">
        <is>
          <t>https://arxiv.org/abs/2303.06674</t>
        </is>
      </c>
    </row>
    <row r="10">
      <c r="A10" t="inlineStr">
        <is>
          <t>Referring OD</t>
        </is>
      </c>
      <c r="B10" t="inlineStr">
        <is>
          <t>VILLA</t>
        </is>
      </c>
      <c r="E10" t="inlineStr">
        <is>
          <t>2020</t>
        </is>
      </c>
      <c r="F10" t="inlineStr">
        <is>
          <t>✅ Cross-paper verified</t>
        </is>
      </c>
      <c r="G10" t="n">
        <v>82.39</v>
      </c>
      <c r="H10" t="inlineStr">
        <is>
          <t>RefCOCO_val=82.39 | testA=87.48 | testB=76.17</t>
        </is>
      </c>
      <c r="K10" t="inlineStr">
        <is>
          <t>✅ Cross-paper verified — RefCOCO REC val Acc@0.5=82.39 reported in UNINEXT CVPR23 Table 3; original method VILLA (2020).</t>
        </is>
      </c>
      <c r="L10" t="inlineStr">
        <is>
          <t>https://arxiv.org/abs/2303.06674</t>
        </is>
      </c>
    </row>
    <row r="11">
      <c r="A11" t="inlineStr">
        <is>
          <t>Referring OD</t>
        </is>
      </c>
      <c r="B11" t="inlineStr">
        <is>
          <t>RefTR</t>
        </is>
      </c>
      <c r="E11" t="inlineStr">
        <is>
          <t>2021</t>
        </is>
      </c>
      <c r="F11" t="inlineStr">
        <is>
          <t>✅ Cross-paper verified</t>
        </is>
      </c>
      <c r="G11" t="n">
        <v>82.23</v>
      </c>
      <c r="H11" t="inlineStr">
        <is>
          <t>RefCOCO_val=82.23 | testA=85.59 | testB=76.57</t>
        </is>
      </c>
      <c r="K11" t="inlineStr">
        <is>
          <t>✅ Cross-paper verified — RefCOCO REC val Acc@0.5=82.23 reported in UNINEXT CVPR23 Table 3; original method RefTR (2021).</t>
        </is>
      </c>
      <c r="L11" t="inlineStr">
        <is>
          <t>https://arxiv.org/abs/2303.06674</t>
        </is>
      </c>
    </row>
    <row r="12">
      <c r="A12" t="inlineStr">
        <is>
          <t>Referring OD</t>
        </is>
      </c>
      <c r="B12" t="inlineStr">
        <is>
          <t>UNITER</t>
        </is>
      </c>
      <c r="E12" t="inlineStr">
        <is>
          <t>2020</t>
        </is>
      </c>
      <c r="F12" t="inlineStr">
        <is>
          <t>✅ Cross-paper verified</t>
        </is>
      </c>
      <c r="G12" t="n">
        <v>81.41</v>
      </c>
      <c r="H12" t="inlineStr">
        <is>
          <t>RefCOCO_val=81.41 | testA=87.04 | testB=74.17</t>
        </is>
      </c>
      <c r="K12" t="inlineStr">
        <is>
          <t>✅ Cross-paper verified — RefCOCO REC val Acc@0.5=81.41 reported in UNINEXT CVPR23 Table 3; original method UNITER (2020).</t>
        </is>
      </c>
      <c r="L12" t="inlineStr">
        <is>
          <t>https://arxiv.org/abs/2303.06674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  <row r="7">
      <c r="A7" t="inlineStr">
        <is>
          <t>Security-Robustness OD</t>
        </is>
      </c>
      <c r="B7" t="inlineStr">
        <is>
          <t>Ad-YOLO</t>
        </is>
      </c>
      <c r="E7" t="inlineStr">
        <is>
          <t>2021</t>
        </is>
      </c>
      <c r="F7" t="inlineStr">
        <is>
          <t>✅ Standard verified</t>
        </is>
      </c>
      <c r="G7" t="n">
        <v>86.91</v>
      </c>
      <c r="H7" t="inlineStr">
        <is>
          <t>AP=86.91 under patch attack (INRIA)</t>
        </is>
      </c>
      <c r="K7" t="inlineStr">
        <is>
          <t>✅ Standard verified — adversarial-OD defense, AP=86.91 under patch attack (INRIA); original paper Ad-YOLO (2021). Heterogeneous metric — NOT cross-comparable with other rows.</t>
        </is>
      </c>
      <c r="L7" t="inlineStr">
        <is>
          <t>https://arxiv.org/abs/2103.08860</t>
        </is>
      </c>
    </row>
    <row r="8">
      <c r="A8" t="inlineStr">
        <is>
          <t>Security-Robustness OD</t>
        </is>
      </c>
      <c r="B8" t="inlineStr">
        <is>
          <t>ObjectSeeker</t>
        </is>
      </c>
      <c r="E8" t="inlineStr">
        <is>
          <t>2022</t>
        </is>
      </c>
      <c r="F8" t="inlineStr">
        <is>
          <t>✅ Standard verified</t>
        </is>
      </c>
      <c r="G8" t="n">
        <v>58.8</v>
      </c>
      <c r="H8" t="inlineStr">
        <is>
          <t>certified robust AP=58.8 (far-patch, PASCAL VOC)</t>
        </is>
      </c>
      <c r="K8" t="inlineStr">
        <is>
          <t>✅ Standard verified — adversarial-OD defense, certified robust AP=58.8 (far-patch, PASCAL VOC); original paper ObjectSeeker (2022). Heterogeneous metric — NOT cross-comparable with other rows.</t>
        </is>
      </c>
      <c r="L8" t="inlineStr">
        <is>
          <t>https://arxiv.org/abs/2202.01811</t>
        </is>
      </c>
    </row>
    <row r="9">
      <c r="A9" t="inlineStr">
        <is>
          <t>Security-Robustness OD</t>
        </is>
      </c>
      <c r="B9" t="inlineStr">
        <is>
          <t>SAC</t>
        </is>
      </c>
      <c r="E9" t="inlineStr">
        <is>
          <t>2021</t>
        </is>
      </c>
      <c r="F9" t="inlineStr">
        <is>
          <t>✅ Standard verified</t>
        </is>
      </c>
      <c r="G9" t="n">
        <v>44.5</v>
      </c>
      <c r="H9" t="inlineStr">
        <is>
          <t>patch-defense clean mAP=44.5 (+30.6 mAP under 100x100 patch attack)</t>
        </is>
      </c>
      <c r="K9" t="inlineStr">
        <is>
          <t>✅ Standard verified — adversarial-OD defense, patch-defense clean mAP=44.5 (+30.6 mAP under 100x100 patch attack); original paper SAC (2021). Heterogeneous metric — NOT cross-comparable with other rows.</t>
        </is>
      </c>
      <c r="L9" t="inlineStr">
        <is>
          <t>https://arxiv.org/abs/2112.04532</t>
        </is>
      </c>
    </row>
    <row r="10">
      <c r="A10" t="inlineStr">
        <is>
          <t>Security-Robustness OD</t>
        </is>
      </c>
      <c r="B10" t="inlineStr">
        <is>
          <t>PatchZero</t>
        </is>
      </c>
      <c r="E10" t="inlineStr">
        <is>
          <t>2022</t>
        </is>
      </c>
      <c r="F10" t="inlineStr">
        <is>
          <t>✅ Standard verified</t>
        </is>
      </c>
      <c r="G10" t="n">
        <v>41.5</v>
      </c>
      <c r="H10" t="inlineStr">
        <is>
          <t>robust AP=41.5 under adversarial patch attack</t>
        </is>
      </c>
      <c r="K10" t="inlineStr">
        <is>
          <t>✅ Standard verified — adversarial-OD defense, robust AP=41.5 under adversarial patch attack; original paper PatchZero (2022). Heterogeneous metric — NOT cross-comparable with other rows.</t>
        </is>
      </c>
      <c r="L10" t="inlineStr">
        <is>
          <t>https://arxiv.org/abs/2207.01795</t>
        </is>
      </c>
    </row>
    <row r="11">
      <c r="A11" t="inlineStr">
        <is>
          <t>Security-Robustness OD</t>
        </is>
      </c>
      <c r="B11" t="inlineStr">
        <is>
          <t>DetectorGuard</t>
        </is>
      </c>
      <c r="E11" t="inlineStr">
        <is>
          <t>2021</t>
        </is>
      </c>
      <c r="F11" t="inlineStr">
        <is>
          <t>✅ Standard verified</t>
        </is>
      </c>
      <c r="G11" t="n">
        <v>28.6</v>
      </c>
      <c r="H11" t="inlineStr">
        <is>
          <t>provable/certified robustness=28.6% (PASCAL VOC)</t>
        </is>
      </c>
      <c r="K11" t="inlineStr">
        <is>
          <t>✅ Standard verified — adversarial-OD defense, provable/certified robustness=28.6% (PASCAL VOC); original paper DetectorGuard (2021). Heterogeneous metric — NOT cross-comparable with other rows.</t>
        </is>
      </c>
      <c r="L11" t="inlineStr">
        <is>
          <t>https://arxiv.org/abs/2102.02956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  <row r="4">
      <c r="A4" t="inlineStr">
        <is>
          <t>Co-SOD &amp; Ranking</t>
        </is>
      </c>
      <c r="B4" t="inlineStr">
        <is>
          <t>GCoNet+</t>
        </is>
      </c>
      <c r="E4" t="inlineStr">
        <is>
          <t>2023</t>
        </is>
      </c>
      <c r="F4" t="inlineStr">
        <is>
          <t>✅ Standard verified</t>
        </is>
      </c>
      <c r="G4" t="n">
        <v>0.843</v>
      </c>
      <c r="H4" t="inlineStr">
        <is>
          <t>CoSOD3k_Sm=0.843 | CoCA_Sm=0.738 | CoSal2015_Sm=0.881</t>
        </is>
      </c>
      <c r="K4" t="inlineStr">
        <is>
          <t>✅ Standard verified — co-SOD, GCoNet+ TPAMI23 (arXiv 2205.15469) Table 3; CoSOD3k S-measure=0.843.</t>
        </is>
      </c>
      <c r="L4" t="inlineStr">
        <is>
          <t>https://arxiv.org/abs/2205.15469</t>
        </is>
      </c>
    </row>
    <row r="5">
      <c r="A5" t="inlineStr">
        <is>
          <t>Co-SOD &amp; Ranking</t>
        </is>
      </c>
      <c r="B5" t="inlineStr">
        <is>
          <t>CoADNet</t>
        </is>
      </c>
      <c r="E5" t="inlineStr">
        <is>
          <t>2020</t>
        </is>
      </c>
      <c r="F5" t="inlineStr">
        <is>
          <t>✅ Cross-paper verified</t>
        </is>
      </c>
      <c r="G5" t="n">
        <v>0.824</v>
      </c>
      <c r="H5" t="inlineStr">
        <is>
          <t>CoSOD3k_Sm=0.824 | CoSal2015_Sm=0.824</t>
        </is>
      </c>
      <c r="K5" t="inlineStr">
        <is>
          <t>✅ Cross-paper verified — co-SOD CoSOD3k S-measure=0.824 reported in GCoNet+ TPAMI23 Table 3; original method CoADNet (2020).</t>
        </is>
      </c>
      <c r="L5" t="inlineStr">
        <is>
          <t>https://arxiv.org/abs/2205.15469</t>
        </is>
      </c>
    </row>
    <row r="6">
      <c r="A6" t="inlineStr">
        <is>
          <t>Co-SOD &amp; Ranking</t>
        </is>
      </c>
      <c r="B6" t="inlineStr">
        <is>
          <t>UFO</t>
        </is>
      </c>
      <c r="E6" t="inlineStr">
        <is>
          <t>2022</t>
        </is>
      </c>
      <c r="F6" t="inlineStr">
        <is>
          <t>✅ Cross-paper verified</t>
        </is>
      </c>
      <c r="G6" t="n">
        <v>0.819</v>
      </c>
      <c r="H6" t="inlineStr">
        <is>
          <t>CoSOD3k_Sm=0.819 | CoCA_Sm=0.697 | CoSal2015_Sm=0.860</t>
        </is>
      </c>
      <c r="K6" t="inlineStr">
        <is>
          <t>✅ Cross-paper verified — co-SOD CoSOD3k S-measure=0.819 reported in GCoNet+ TPAMI23 Table 3; original method UFO (2022).</t>
        </is>
      </c>
      <c r="L6" t="inlineStr">
        <is>
          <t>https://arxiv.org/abs/2205.15469</t>
        </is>
      </c>
    </row>
    <row r="7">
      <c r="A7" t="inlineStr">
        <is>
          <t>Co-SOD &amp; Ranking</t>
        </is>
      </c>
      <c r="B7" t="inlineStr">
        <is>
          <t>DCFM</t>
        </is>
      </c>
      <c r="E7" t="inlineStr">
        <is>
          <t>2022</t>
        </is>
      </c>
      <c r="F7" t="inlineStr">
        <is>
          <t>✅ Cross-paper verified</t>
        </is>
      </c>
      <c r="G7" t="n">
        <v>0.8100000000000001</v>
      </c>
      <c r="H7" t="inlineStr">
        <is>
          <t>CoSOD3k_Sm=0.810 | CoCA_Sm=0.710 | CoSal2015_Sm=0.838</t>
        </is>
      </c>
      <c r="K7" t="inlineStr">
        <is>
          <t>✅ Cross-paper verified — co-SOD CoSOD3k S-measure=0.810 reported in GCoNet+ TPAMI23 Table 3; original method DCFM (2022).</t>
        </is>
      </c>
      <c r="L7" t="inlineStr">
        <is>
          <t>https://arxiv.org/abs/2205.15469</t>
        </is>
      </c>
    </row>
    <row r="8">
      <c r="A8" t="inlineStr">
        <is>
          <t>Co-SOD &amp; Ranking</t>
        </is>
      </c>
      <c r="B8" t="inlineStr">
        <is>
          <t>GCoNet</t>
        </is>
      </c>
      <c r="E8" t="inlineStr">
        <is>
          <t>2021</t>
        </is>
      </c>
      <c r="F8" t="inlineStr">
        <is>
          <t>✅ Cross-paper verified</t>
        </is>
      </c>
      <c r="G8" t="n">
        <v>0.802</v>
      </c>
      <c r="H8" t="inlineStr">
        <is>
          <t>CoSOD3k_Sm=0.802 | CoCA_Sm=0.673 | CoSal2015_Sm=0.845</t>
        </is>
      </c>
      <c r="K8" t="inlineStr">
        <is>
          <t>✅ Cross-paper verified — co-SOD CoSOD3k S-measure=0.802 reported in GCoNet+ TPAMI23 Table 3; original method GCoNet (2021).</t>
        </is>
      </c>
      <c r="L8" t="inlineStr">
        <is>
          <t>https://arxiv.org/abs/2205.15469</t>
        </is>
      </c>
    </row>
    <row r="9">
      <c r="A9" t="inlineStr">
        <is>
          <t>Co-SOD &amp; Ranking</t>
        </is>
      </c>
      <c r="B9" t="inlineStr">
        <is>
          <t>CADC</t>
        </is>
      </c>
      <c r="E9" t="inlineStr">
        <is>
          <t>2021</t>
        </is>
      </c>
      <c r="F9" t="inlineStr">
        <is>
          <t>✅ Cross-paper verified</t>
        </is>
      </c>
      <c r="G9" t="n">
        <v>0.801</v>
      </c>
      <c r="H9" t="inlineStr">
        <is>
          <t>CoSOD3k_Sm=0.801 | CoCA_Sm=0.681 | CoSal2015_Sm=0.866</t>
        </is>
      </c>
      <c r="K9" t="inlineStr">
        <is>
          <t>✅ Cross-paper verified — co-SOD CoSOD3k S-measure=0.801 reported in GCoNet+ TPAMI23 Table 3; original method CADC (2021).</t>
        </is>
      </c>
      <c r="L9" t="inlineStr">
        <is>
          <t>https://arxiv.org/abs/2205.15469</t>
        </is>
      </c>
    </row>
    <row r="10">
      <c r="A10" t="inlineStr">
        <is>
          <t>Co-SOD &amp; Ranking</t>
        </is>
      </c>
      <c r="B10" t="inlineStr">
        <is>
          <t>GICD</t>
        </is>
      </c>
      <c r="E10" t="inlineStr">
        <is>
          <t>2020</t>
        </is>
      </c>
      <c r="F10" t="inlineStr">
        <is>
          <t>✅ Cross-paper verified</t>
        </is>
      </c>
      <c r="G10" t="n">
        <v>0.797</v>
      </c>
      <c r="H10" t="inlineStr">
        <is>
          <t>CoSOD3k_Sm=0.797 | CoCA_Sm=0.658 | CoSal2015_Sm=0.844</t>
        </is>
      </c>
      <c r="K10" t="inlineStr">
        <is>
          <t>✅ Cross-paper verified — co-SOD CoSOD3k S-measure=0.797 reported in GCoNet+ TPAMI23 Table 3; original method GICD (2020).</t>
        </is>
      </c>
      <c r="L10" t="inlineStr">
        <is>
          <t>https://arxiv.org/abs/2205.15469</t>
        </is>
      </c>
    </row>
    <row r="11">
      <c r="A11" t="inlineStr">
        <is>
          <t>Co-SOD &amp; Ranking</t>
        </is>
      </c>
      <c r="B11" t="inlineStr">
        <is>
          <t>DeepACG</t>
        </is>
      </c>
      <c r="E11" t="inlineStr">
        <is>
          <t>2021</t>
        </is>
      </c>
      <c r="F11" t="inlineStr">
        <is>
          <t>✅ Cross-paper verified</t>
        </is>
      </c>
      <c r="G11" t="n">
        <v>0.792</v>
      </c>
      <c r="H11" t="inlineStr">
        <is>
          <t>CoSOD3k_Sm=0.792 | CoCA_Sm=0.688 | CoSal2015_Sm=0.854</t>
        </is>
      </c>
      <c r="K11" t="inlineStr">
        <is>
          <t>✅ Cross-paper verified — co-SOD CoSOD3k S-measure=0.792 reported in GCoNet+ TPAMI23 Table 3; original method DeepACG (2021).</t>
        </is>
      </c>
      <c r="L11" t="inlineStr">
        <is>
          <t>https://arxiv.org/abs/2205.15469</t>
        </is>
      </c>
    </row>
    <row r="12">
      <c r="A12" t="inlineStr">
        <is>
          <t>Co-SOD &amp; Ranking</t>
        </is>
      </c>
      <c r="B12" t="inlineStr">
        <is>
          <t>GCAGC</t>
        </is>
      </c>
      <c r="E12" t="inlineStr">
        <is>
          <t>2020</t>
        </is>
      </c>
      <c r="F12" t="inlineStr">
        <is>
          <t>✅ Cross-paper verified</t>
        </is>
      </c>
      <c r="G12" t="n">
        <v>0.785</v>
      </c>
      <c r="H12" t="inlineStr">
        <is>
          <t>CoSOD3k_Sm=0.785 | CoCA_Sm=0.669 | CoSal2015_Sm=0.817</t>
        </is>
      </c>
      <c r="K12" t="inlineStr">
        <is>
          <t>✅ Cross-paper verified — co-SOD CoSOD3k S-measure=0.785 reported in GCoNet+ TPAMI23 Table 3; original method GCAGC (2020).</t>
        </is>
      </c>
      <c r="L12" t="inlineStr">
        <is>
          <t>https://arxiv.org/abs/2205.15469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  <row r="5">
      <c r="A5" t="inlineStr">
        <is>
          <t>CD-FSOD</t>
        </is>
      </c>
      <c r="B5" t="inlineStr">
        <is>
          <t>DE-ViT-FT</t>
        </is>
      </c>
      <c r="E5" t="inlineStr">
        <is>
          <t>2023</t>
        </is>
      </c>
      <c r="F5" t="inlineStr">
        <is>
          <t>✅ Cross-paper verified</t>
        </is>
      </c>
      <c r="G5" t="n">
        <v>49.2</v>
      </c>
      <c r="H5" t="inlineStr">
        <is>
          <t>ArTaxOr_10shot=49.2 | Avg=25.2</t>
        </is>
      </c>
      <c r="K5" t="inlineStr">
        <is>
          <t>✅ Cross-paper verified — CD-FSOD 10-shot ArTaxOr mAP=49.2 (Avg=25.2) reported in CD-ViTO (arXiv 2402.03094) Table 1; original method DE-ViT-FT (2023).</t>
        </is>
      </c>
      <c r="L5" t="inlineStr">
        <is>
          <t>https://arxiv.org/abs/2402.03094</t>
        </is>
      </c>
    </row>
    <row r="6">
      <c r="A6" t="inlineStr">
        <is>
          <t>CD-FSOD</t>
        </is>
      </c>
      <c r="B6" t="inlineStr">
        <is>
          <t>ViTDeT-FT</t>
        </is>
      </c>
      <c r="E6" t="inlineStr">
        <is>
          <t>2023</t>
        </is>
      </c>
      <c r="F6" t="inlineStr">
        <is>
          <t>✅ Cross-paper verified</t>
        </is>
      </c>
      <c r="G6" t="n">
        <v>23.4</v>
      </c>
      <c r="H6" t="inlineStr">
        <is>
          <t>ArTaxOr_10shot=23.4 | Avg=19.4</t>
        </is>
      </c>
      <c r="K6" t="inlineStr">
        <is>
          <t>✅ Cross-paper verified — CD-FSOD 10-shot ArTaxOr mAP=23.4 (Avg=19.4) reported in CD-ViTO (arXiv 2402.03094) Table 1; original method ViTDeT-FT (2023).</t>
        </is>
      </c>
      <c r="L6" t="inlineStr">
        <is>
          <t>https://arxiv.org/abs/2402.03094</t>
        </is>
      </c>
    </row>
    <row r="7">
      <c r="A7" t="inlineStr">
        <is>
          <t>CD-FSOD</t>
        </is>
      </c>
      <c r="B7" t="inlineStr">
        <is>
          <t>Distill-CDFSOD</t>
        </is>
      </c>
      <c r="E7" t="inlineStr">
        <is>
          <t>2024</t>
        </is>
      </c>
      <c r="F7" t="inlineStr">
        <is>
          <t>✅ Cross-paper verified</t>
        </is>
      </c>
      <c r="G7" t="n">
        <v>18.1</v>
      </c>
      <c r="H7" t="inlineStr">
        <is>
          <t>ArTaxOr_10shot=18.1 | Avg=20.5</t>
        </is>
      </c>
      <c r="K7" t="inlineStr">
        <is>
          <t>✅ Cross-paper verified — CD-FSOD 10-shot ArTaxOr mAP=18.1 (Avg=20.5) reported in CD-ViTO (arXiv 2402.03094) Table 1; original method Distill-CDFSOD (2024).</t>
        </is>
      </c>
      <c r="L7" t="inlineStr">
        <is>
          <t>https://arxiv.org/abs/2402.03094</t>
        </is>
      </c>
    </row>
    <row r="8">
      <c r="A8" t="inlineStr">
        <is>
          <t>CD-FSOD</t>
        </is>
      </c>
      <c r="B8" t="inlineStr">
        <is>
          <t>FSCE (CD)</t>
        </is>
      </c>
      <c r="E8" t="inlineStr">
        <is>
          <t>2021</t>
        </is>
      </c>
      <c r="F8" t="inlineStr">
        <is>
          <t>✅ Cross-paper verified</t>
        </is>
      </c>
      <c r="G8" t="n">
        <v>15.9</v>
      </c>
      <c r="H8" t="inlineStr">
        <is>
          <t>ArTaxOr_10shot=15.9 | Avg=12.0</t>
        </is>
      </c>
      <c r="K8" t="inlineStr">
        <is>
          <t>✅ Cross-paper verified — CD-FSOD 10-shot ArTaxOr mAP=15.9 (Avg=12.0) reported in CD-ViTO (arXiv 2402.03094) Table 1; original method FSCE (CD) (2021).</t>
        </is>
      </c>
      <c r="L8" t="inlineStr">
        <is>
          <t>https://arxiv.org/abs/2402.03094</t>
        </is>
      </c>
    </row>
    <row r="9">
      <c r="A9" t="inlineStr">
        <is>
          <t>CD-FSOD</t>
        </is>
      </c>
      <c r="B9" t="inlineStr">
        <is>
          <t>TFA w/cos (CD)</t>
        </is>
      </c>
      <c r="E9" t="inlineStr">
        <is>
          <t>2020</t>
        </is>
      </c>
      <c r="F9" t="inlineStr">
        <is>
          <t>✅ Cross-paper verified</t>
        </is>
      </c>
      <c r="G9" t="n">
        <v>14.8</v>
      </c>
      <c r="H9" t="inlineStr">
        <is>
          <t>ArTaxOr_10shot=14.8 | Avg=11.8</t>
        </is>
      </c>
      <c r="K9" t="inlineStr">
        <is>
          <t>✅ Cross-paper verified — CD-FSOD 10-shot ArTaxOr mAP=14.8 (Avg=11.8) reported in CD-ViTO (arXiv 2402.03094) Table 1; original method TFA w/cos (CD) (2020).</t>
        </is>
      </c>
      <c r="L9" t="inlineStr">
        <is>
          <t>https://arxiv.org/abs/2402.03094</t>
        </is>
      </c>
    </row>
    <row r="10">
      <c r="A10" t="inlineStr">
        <is>
          <t>CD-FSOD</t>
        </is>
      </c>
      <c r="B10" t="inlineStr">
        <is>
          <t>Detic-FT</t>
        </is>
      </c>
      <c r="E10" t="inlineStr">
        <is>
          <t>2022</t>
        </is>
      </c>
      <c r="F10" t="inlineStr">
        <is>
          <t>✅ Cross-paper verified</t>
        </is>
      </c>
      <c r="G10" t="n">
        <v>12</v>
      </c>
      <c r="H10" t="inlineStr">
        <is>
          <t>ArTaxOr_10shot=12.0 | Avg=16.5</t>
        </is>
      </c>
      <c r="K10" t="inlineStr">
        <is>
          <t>✅ Cross-paper verified — CD-FSOD 10-shot ArTaxOr mAP=12.0 (Avg=16.5) reported in CD-ViTO (arXiv 2402.03094) Table 1; original method Detic-FT (2022).</t>
        </is>
      </c>
      <c r="L10" t="inlineStr">
        <is>
          <t>https://arxiv.org/abs/2402.03094</t>
        </is>
      </c>
    </row>
    <row r="11">
      <c r="A11" t="inlineStr">
        <is>
          <t>CD-FSOD</t>
        </is>
      </c>
      <c r="B11" t="inlineStr">
        <is>
          <t>DE-ViT</t>
        </is>
      </c>
      <c r="E11" t="inlineStr">
        <is>
          <t>2023</t>
        </is>
      </c>
      <c r="F11" t="inlineStr">
        <is>
          <t>✅ Cross-paper verified</t>
        </is>
      </c>
      <c r="G11" t="n">
        <v>9.199999999999999</v>
      </c>
      <c r="H11" t="inlineStr">
        <is>
          <t>ArTaxOr_10shot=9.2 | Avg=5.9</t>
        </is>
      </c>
      <c r="K11" t="inlineStr">
        <is>
          <t>✅ Cross-paper verified — CD-FSOD 10-shot ArTaxOr mAP=9.2 (Avg=5.9) reported in CD-ViTO (arXiv 2402.03094) Table 1; original method DE-ViT (2023).</t>
        </is>
      </c>
      <c r="L11" t="inlineStr">
        <is>
          <t>https://arxiv.org/abs/2402.03094</t>
        </is>
      </c>
    </row>
    <row r="12">
      <c r="A12" t="inlineStr">
        <is>
          <t>CD-FSOD</t>
        </is>
      </c>
      <c r="B12" t="inlineStr">
        <is>
          <t>Detic</t>
        </is>
      </c>
      <c r="E12" t="inlineStr">
        <is>
          <t>2022</t>
        </is>
      </c>
      <c r="F12" t="inlineStr">
        <is>
          <t>✅ Cross-paper verified</t>
        </is>
      </c>
      <c r="G12" t="n">
        <v>0.6</v>
      </c>
      <c r="H12" t="inlineStr">
        <is>
          <t>ArTaxOr_10shot=0.6 | Avg=2.2</t>
        </is>
      </c>
      <c r="K12" t="inlineStr">
        <is>
          <t>✅ Cross-paper verified — CD-FSOD 10-shot ArTaxOr mAP=0.6 (Avg=2.2) reported in CD-ViTO (arXiv 2402.03094) Table 1; original method Detic (2022).</t>
        </is>
      </c>
      <c r="L12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  <row r="3">
      <c r="A3" t="inlineStr">
        <is>
          <t>Event-Camera OD</t>
        </is>
      </c>
      <c r="B3" t="inlineStr">
        <is>
          <t>RVT-B</t>
        </is>
      </c>
      <c r="E3" t="inlineStr">
        <is>
          <t>2023</t>
        </is>
      </c>
      <c r="F3" t="inlineStr">
        <is>
          <t>✅ Standard verified</t>
        </is>
      </c>
      <c r="G3" t="n">
        <v>47.2</v>
      </c>
      <c r="H3" t="inlineStr">
        <is>
          <t>Gen1_mAP=47.2 | 1Mpx_mAP=47.4</t>
        </is>
      </c>
      <c r="K3" t="inlineStr">
        <is>
          <t>✅ Standard verified — event-camera Gen1 mAP=47.2 / 1Mpx 47.4; RVT CVPR23 (arXiv 2212.05598) Table 6.</t>
        </is>
      </c>
      <c r="L3" t="inlineStr">
        <is>
          <t>https://arxiv.org/abs/2212.05598</t>
        </is>
      </c>
    </row>
    <row r="4">
      <c r="A4" t="inlineStr">
        <is>
          <t>Event-Camera OD</t>
        </is>
      </c>
      <c r="B4" t="inlineStr">
        <is>
          <t>ASTMNet</t>
        </is>
      </c>
      <c r="E4" t="inlineStr">
        <is>
          <t>2022</t>
        </is>
      </c>
      <c r="F4" t="inlineStr">
        <is>
          <t>✅ Cross-paper verified</t>
        </is>
      </c>
      <c r="G4" t="n">
        <v>46.7</v>
      </c>
      <c r="H4" t="inlineStr">
        <is>
          <t>Gen1_mAP=46.7 | 1Mpx_mAP=48.3</t>
        </is>
      </c>
      <c r="K4" t="inlineStr">
        <is>
          <t>✅ Cross-paper verified — Gen1 mAP=46.7 reported in RVT CVPR23 Table 6; original method ASTMNet (2022).</t>
        </is>
      </c>
      <c r="L4" t="inlineStr">
        <is>
          <t>https://arxiv.org/abs/2212.05598</t>
        </is>
      </c>
    </row>
    <row r="5">
      <c r="A5" t="inlineStr">
        <is>
          <t>Event-Camera OD</t>
        </is>
      </c>
      <c r="B5" t="inlineStr">
        <is>
          <t>RVT-S</t>
        </is>
      </c>
      <c r="E5" t="inlineStr">
        <is>
          <t>2023</t>
        </is>
      </c>
      <c r="F5" t="inlineStr">
        <is>
          <t>✅ Standard verified</t>
        </is>
      </c>
      <c r="G5" t="n">
        <v>46.5</v>
      </c>
      <c r="H5" t="inlineStr">
        <is>
          <t>Gen1_mAP=46.5 | 1Mpx_mAP=44.1</t>
        </is>
      </c>
      <c r="K5" t="inlineStr">
        <is>
          <t>✅ Standard verified — event-camera Gen1 mAP=46.5 / 1Mpx 44.1; RVT CVPR23 (arXiv 2212.05598) Table 6.</t>
        </is>
      </c>
      <c r="L5" t="inlineStr">
        <is>
          <t>https://arxiv.org/abs/2212.05598</t>
        </is>
      </c>
    </row>
    <row r="6">
      <c r="A6" t="inlineStr">
        <is>
          <t>Event-Camera OD</t>
        </is>
      </c>
      <c r="B6" t="inlineStr">
        <is>
          <t>RVT-T</t>
        </is>
      </c>
      <c r="E6" t="inlineStr">
        <is>
          <t>2023</t>
        </is>
      </c>
      <c r="F6" t="inlineStr">
        <is>
          <t>✅ Standard verified</t>
        </is>
      </c>
      <c r="G6" t="n">
        <v>44.1</v>
      </c>
      <c r="H6" t="inlineStr">
        <is>
          <t>Gen1_mAP=44.1 | 1Mpx_mAP=41.5</t>
        </is>
      </c>
      <c r="K6" t="inlineStr">
        <is>
          <t>✅ Standard verified — event-camera Gen1 mAP=44.1 / 1Mpx 41.5; RVT CVPR23 (arXiv 2212.05598) Table 6.</t>
        </is>
      </c>
      <c r="L6" t="inlineStr">
        <is>
          <t>https://arxiv.org/abs/2212.05598</t>
        </is>
      </c>
    </row>
    <row r="7">
      <c r="A7" t="inlineStr">
        <is>
          <t>Event-Camera OD</t>
        </is>
      </c>
      <c r="B7" t="inlineStr">
        <is>
          <t>RED</t>
        </is>
      </c>
      <c r="E7" t="inlineStr">
        <is>
          <t>2020</t>
        </is>
      </c>
      <c r="F7" t="inlineStr">
        <is>
          <t>✅ Cross-paper verified</t>
        </is>
      </c>
      <c r="G7" t="n">
        <v>40</v>
      </c>
      <c r="H7" t="inlineStr">
        <is>
          <t>Gen1_mAP=40.0 | 1Mpx_mAP=43.0</t>
        </is>
      </c>
      <c r="K7" t="inlineStr">
        <is>
          <t>✅ Cross-paper verified — Gen1 mAP=40.0 reported in RVT CVPR23 Table 6; original method RED (2020).</t>
        </is>
      </c>
      <c r="L7" t="inlineStr">
        <is>
          <t>https://arxiv.org/abs/2212.05598</t>
        </is>
      </c>
    </row>
    <row r="8">
      <c r="A8" t="inlineStr">
        <is>
          <t>Event-Camera OD</t>
        </is>
      </c>
      <c r="B8" t="inlineStr">
        <is>
          <t>MatrixLSTM</t>
        </is>
      </c>
      <c r="E8" t="inlineStr">
        <is>
          <t>2020</t>
        </is>
      </c>
      <c r="F8" t="inlineStr">
        <is>
          <t>✅ Cross-paper verified</t>
        </is>
      </c>
      <c r="G8" t="n">
        <v>31</v>
      </c>
      <c r="H8" t="inlineStr">
        <is>
          <t>Gen1_mAP=31.0</t>
        </is>
      </c>
      <c r="K8" t="inlineStr">
        <is>
          <t>✅ Cross-paper verified — Gen1 mAP=31.0 reported in RVT CVPR23 Table 6; original method MatrixLSTM (2020).</t>
        </is>
      </c>
      <c r="L8" t="inlineStr">
        <is>
          <t>https://arxiv.org/abs/2212.05598</t>
        </is>
      </c>
    </row>
    <row r="9">
      <c r="A9" t="inlineStr">
        <is>
          <t>Event-Camera OD</t>
        </is>
      </c>
      <c r="B9" t="inlineStr">
        <is>
          <t>Inception+SSD</t>
        </is>
      </c>
      <c r="E9" t="inlineStr">
        <is>
          <t>2020</t>
        </is>
      </c>
      <c r="F9" t="inlineStr">
        <is>
          <t>✅ Cross-paper verified</t>
        </is>
      </c>
      <c r="G9" t="n">
        <v>30.1</v>
      </c>
      <c r="H9" t="inlineStr">
        <is>
          <t>Gen1_mAP=30.1 | 1Mpx_mAP=34.0</t>
        </is>
      </c>
      <c r="K9" t="inlineStr">
        <is>
          <t>✅ Cross-paper verified — Gen1 mAP=30.1 reported in RVT CVPR23 Table 6; original method Inception+SSD (2020).</t>
        </is>
      </c>
      <c r="L9" t="inlineStr">
        <is>
          <t>https://arxiv.org/abs/2212.05598</t>
        </is>
      </c>
    </row>
    <row r="10">
      <c r="A10" t="inlineStr">
        <is>
          <t>Event-Camera OD</t>
        </is>
      </c>
      <c r="B10" t="inlineStr">
        <is>
          <t>Spiking DenseNet</t>
        </is>
      </c>
      <c r="E10" t="inlineStr">
        <is>
          <t>2021</t>
        </is>
      </c>
      <c r="F10" t="inlineStr">
        <is>
          <t>✅ Cross-paper verified</t>
        </is>
      </c>
      <c r="G10" t="n">
        <v>18.9</v>
      </c>
      <c r="H10" t="inlineStr">
        <is>
          <t>Gen1_mAP=18.9</t>
        </is>
      </c>
      <c r="K10" t="inlineStr">
        <is>
          <t>✅ Cross-paper verified — Gen1 mAP=18.9 reported in RVT CVPR23 Table 6; original method Spiking DenseNet (2021).</t>
        </is>
      </c>
      <c r="L10" t="inlineStr">
        <is>
          <t>https://arxiv.org/abs/2212.05598</t>
        </is>
      </c>
    </row>
    <row r="11">
      <c r="A11" t="inlineStr">
        <is>
          <t>Event-Camera OD</t>
        </is>
      </c>
      <c r="B11" t="inlineStr">
        <is>
          <t>AEGNN</t>
        </is>
      </c>
      <c r="E11" t="inlineStr">
        <is>
          <t>2022</t>
        </is>
      </c>
      <c r="F11" t="inlineStr">
        <is>
          <t>✅ Cross-paper verified</t>
        </is>
      </c>
      <c r="G11" t="n">
        <v>16.3</v>
      </c>
      <c r="H11" t="inlineStr">
        <is>
          <t>Gen1_mAP=16.3</t>
        </is>
      </c>
      <c r="K11" t="inlineStr">
        <is>
          <t>✅ Cross-paper verified — Gen1 mAP=16.3 reported in RVT CVPR23 Table 6; original method AEGNN (2022).</t>
        </is>
      </c>
      <c r="L11" t="inlineStr">
        <is>
          <t>https://arxiv.org/abs/2212.05598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  <row r="7">
      <c r="A7" t="inlineStr">
        <is>
          <t>Thermal-Multispectral OD</t>
        </is>
      </c>
      <c r="B7" t="inlineStr">
        <is>
          <t>ICAFusion</t>
        </is>
      </c>
      <c r="E7" t="inlineStr">
        <is>
          <t>2023</t>
        </is>
      </c>
      <c r="F7" t="inlineStr">
        <is>
          <t>✅ Standard verified</t>
        </is>
      </c>
      <c r="G7" t="n">
        <v>79.2</v>
      </c>
      <c r="H7" t="inlineStr">
        <is>
          <t>FLIR_mAP50=79.2 | mAP=41.4</t>
        </is>
      </c>
      <c r="K7" t="inlineStr">
        <is>
          <t>✅ Standard verified — FLIR mAP50=79.2; ICAFusion (arXiv 2308.07504) Table 10.</t>
        </is>
      </c>
      <c r="L7" t="inlineStr">
        <is>
          <t>https://arxiv.org/abs/2308.07504</t>
        </is>
      </c>
    </row>
    <row r="8">
      <c r="A8" t="inlineStr">
        <is>
          <t>Thermal-Multispectral OD</t>
        </is>
      </c>
      <c r="B8" t="inlineStr">
        <is>
          <t>CFT</t>
        </is>
      </c>
      <c r="E8" t="inlineStr">
        <is>
          <t>2021</t>
        </is>
      </c>
      <c r="F8" t="inlineStr">
        <is>
          <t>✅ Cross-paper verified</t>
        </is>
      </c>
      <c r="G8" t="n">
        <v>78.3</v>
      </c>
      <c r="H8" t="inlineStr">
        <is>
          <t>FLIR_mAP50=78.3 | mAP=40.2</t>
        </is>
      </c>
      <c r="K8" t="inlineStr">
        <is>
          <t>✅ Cross-paper verified — FLIR mAP50=78.3 reported in ICAFusion Table 10; original method CFT (2021).</t>
        </is>
      </c>
      <c r="L8" t="inlineStr">
        <is>
          <t>https://arxiv.org/abs/2308.07504</t>
        </is>
      </c>
    </row>
    <row r="9">
      <c r="A9" t="inlineStr">
        <is>
          <t>Thermal-Multispectral OD</t>
        </is>
      </c>
      <c r="B9" t="inlineStr">
        <is>
          <t>BU-LTT</t>
        </is>
      </c>
      <c r="E9" t="inlineStr">
        <is>
          <t>2021</t>
        </is>
      </c>
      <c r="F9" t="inlineStr">
        <is>
          <t>✅ Cross-paper verified</t>
        </is>
      </c>
      <c r="G9" t="n">
        <v>73.2</v>
      </c>
      <c r="H9" t="inlineStr">
        <is>
          <t>FLIR_mAP50=73.2</t>
        </is>
      </c>
      <c r="K9" t="inlineStr">
        <is>
          <t>✅ Cross-paper verified — FLIR mAP50=73.2 reported in ICAFusion Table 10; original method BU-LTT (2021).</t>
        </is>
      </c>
      <c r="L9" t="inlineStr">
        <is>
          <t>https://arxiv.org/abs/2308.07504</t>
        </is>
      </c>
    </row>
    <row r="10">
      <c r="A10" t="inlineStr">
        <is>
          <t>Thermal-Multispectral OD</t>
        </is>
      </c>
      <c r="B10" t="inlineStr">
        <is>
          <t>BU-ATT</t>
        </is>
      </c>
      <c r="E10" t="inlineStr">
        <is>
          <t>2021</t>
        </is>
      </c>
      <c r="F10" t="inlineStr">
        <is>
          <t>✅ Cross-paper verified</t>
        </is>
      </c>
      <c r="G10" t="n">
        <v>73.09999999999999</v>
      </c>
      <c r="H10" t="inlineStr">
        <is>
          <t>FLIR_mAP50=73.1</t>
        </is>
      </c>
      <c r="K10" t="inlineStr">
        <is>
          <t>✅ Cross-paper verified — FLIR mAP50=73.1 reported in ICAFusion Table 10; original method BU-ATT (2021).</t>
        </is>
      </c>
      <c r="L10" t="inlineStr">
        <is>
          <t>https://arxiv.org/abs/2308.07504</t>
        </is>
      </c>
    </row>
    <row r="11">
      <c r="A11" t="inlineStr">
        <is>
          <t>Thermal-Multispectral OD</t>
        </is>
      </c>
      <c r="B11" t="inlineStr">
        <is>
          <t>GAFF</t>
        </is>
      </c>
      <c r="E11" t="inlineStr">
        <is>
          <t>2021</t>
        </is>
      </c>
      <c r="F11" t="inlineStr">
        <is>
          <t>✅ Cross-paper verified</t>
        </is>
      </c>
      <c r="G11" t="n">
        <v>72.90000000000001</v>
      </c>
      <c r="H11" t="inlineStr">
        <is>
          <t>FLIR_mAP50=72.9 | mAP=37.3</t>
        </is>
      </c>
      <c r="K11" t="inlineStr">
        <is>
          <t>✅ Cross-paper verified — FLIR mAP50=72.9 reported in ICAFusion Table 10; original method GAFF (2021).</t>
        </is>
      </c>
      <c r="L11" t="inlineStr">
        <is>
          <t>https://arxiv.org/abs/2308.07504</t>
        </is>
      </c>
    </row>
    <row r="12">
      <c r="A12" t="inlineStr">
        <is>
          <t>Thermal-Multispectral OD</t>
        </is>
      </c>
      <c r="B12" t="inlineStr">
        <is>
          <t>CFR</t>
        </is>
      </c>
      <c r="E12" t="inlineStr">
        <is>
          <t>2020</t>
        </is>
      </c>
      <c r="F12" t="inlineStr">
        <is>
          <t>✅ Cross-paper verified</t>
        </is>
      </c>
      <c r="G12" t="n">
        <v>72.40000000000001</v>
      </c>
      <c r="H12" t="inlineStr">
        <is>
          <t>FLIR_mAP50=72.4</t>
        </is>
      </c>
      <c r="K12" t="inlineStr">
        <is>
          <t>✅ Cross-paper verified — FLIR mAP50=72.4 reported in ICAFusion Table 10; original method CFR (2020).</t>
        </is>
      </c>
      <c r="L12" t="inlineStr">
        <is>
          <t>https://arxiv.org/abs/2308.07504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  <row r="9">
      <c r="A9" t="inlineStr">
        <is>
          <t>Camouflaged OD</t>
        </is>
      </c>
      <c r="B9" t="inlineStr">
        <is>
          <t>FSPNet</t>
        </is>
      </c>
      <c r="E9" t="inlineStr">
        <is>
          <t>2023</t>
        </is>
      </c>
      <c r="F9" t="inlineStr">
        <is>
          <t>✅ Standard verified</t>
        </is>
      </c>
      <c r="G9" t="n">
        <v>0.851</v>
      </c>
      <c r="H9" t="inlineStr">
        <is>
          <t>COD10K_Sm=0.851 | CAMO_Sm=0.856 | NC4K_Sm=0.879 | MAE=0.026</t>
        </is>
      </c>
      <c r="K9" t="inlineStr">
        <is>
          <t>✅ Standard verified — camouflaged OD, FSPNet CVPR23 (arXiv 2303.14816) Table 1; COD10K S-measure=0.851.</t>
        </is>
      </c>
      <c r="L9" t="inlineStr">
        <is>
          <t>https://arxiv.org/abs/2303.14816</t>
        </is>
      </c>
    </row>
    <row r="10">
      <c r="A10" t="inlineStr">
        <is>
          <t>Camouflaged OD</t>
        </is>
      </c>
      <c r="B10" t="inlineStr">
        <is>
          <t>ZoomNet</t>
        </is>
      </c>
      <c r="E10" t="inlineStr">
        <is>
          <t>2022</t>
        </is>
      </c>
      <c r="F10" t="inlineStr">
        <is>
          <t>✅ Cross-paper verified</t>
        </is>
      </c>
      <c r="G10" t="n">
        <v>0.838</v>
      </c>
      <c r="H10" t="inlineStr">
        <is>
          <t>COD10K_Sm=0.838 | CAMO_Sm=0.820 | NC4K_Sm=0.853 | MAE=0.029</t>
        </is>
      </c>
      <c r="K10" t="inlineStr">
        <is>
          <t>✅ Cross-paper verified — COD10K S-measure=0.838 reported in FSPNet CVPR23 Table 1; original method ZoomNet (2022).</t>
        </is>
      </c>
      <c r="L10" t="inlineStr">
        <is>
          <t>https://arxiv.org/abs/2303.14816</t>
        </is>
      </c>
    </row>
    <row r="11">
      <c r="A11" t="inlineStr">
        <is>
          <t>Camouflaged OD</t>
        </is>
      </c>
      <c r="B11" t="inlineStr">
        <is>
          <t>SegMaR</t>
        </is>
      </c>
      <c r="E11" t="inlineStr">
        <is>
          <t>2022</t>
        </is>
      </c>
      <c r="F11" t="inlineStr">
        <is>
          <t>✅ Cross-paper verified</t>
        </is>
      </c>
      <c r="G11" t="n">
        <v>0.833</v>
      </c>
      <c r="H11" t="inlineStr">
        <is>
          <t>COD10K_Sm=0.833 | CAMO_Sm=0.815 | NC4K_Sm=0.841 | MAE=0.034</t>
        </is>
      </c>
      <c r="K11" t="inlineStr">
        <is>
          <t>✅ Cross-paper verified — COD10K S-measure=0.833 reported in FSPNet CVPR23 Table 1; original method SegMaR (2022).</t>
        </is>
      </c>
      <c r="L11" t="inlineStr">
        <is>
          <t>https://arxiv.org/abs/2303.14816</t>
        </is>
      </c>
    </row>
    <row r="12">
      <c r="A12" t="inlineStr">
        <is>
          <t>Camouflaged OD</t>
        </is>
      </c>
      <c r="B12" t="inlineStr">
        <is>
          <t>BGNet</t>
        </is>
      </c>
      <c r="E12" t="inlineStr">
        <is>
          <t>2022</t>
        </is>
      </c>
      <c r="F12" t="inlineStr">
        <is>
          <t>✅ Cross-paper verified</t>
        </is>
      </c>
      <c r="G12" t="n">
        <v>0.831</v>
      </c>
      <c r="H12" t="inlineStr">
        <is>
          <t>COD10K_Sm=0.831 | CAMO_Sm=0.812 | NC4K_Sm=0.851 | MAE=0.033</t>
        </is>
      </c>
      <c r="K12" t="inlineStr">
        <is>
          <t>✅ Cross-paper verified — COD10K S-measure=0.831 reported in FSPNet CVPR23 Table 1; original method BGNet (2022).</t>
        </is>
      </c>
      <c r="L12" t="inlineStr">
        <is>
          <t>https://arxiv.org/abs/2303.14816</t>
        </is>
      </c>
    </row>
    <row r="13">
      <c r="A13" t="inlineStr">
        <is>
          <t>Camouflaged OD</t>
        </is>
      </c>
      <c r="B13" t="inlineStr">
        <is>
          <t>OCE-Net</t>
        </is>
      </c>
      <c r="E13" t="inlineStr">
        <is>
          <t>2022</t>
        </is>
      </c>
      <c r="F13" t="inlineStr">
        <is>
          <t>✅ Cross-paper verified</t>
        </is>
      </c>
      <c r="G13" t="n">
        <v>0.827</v>
      </c>
      <c r="H13" t="inlineStr">
        <is>
          <t>COD10K_Sm=0.827 | CAMO_Sm=0.802 | NC4K_Sm=0.853 | MAE=0.033</t>
        </is>
      </c>
      <c r="K13" t="inlineStr">
        <is>
          <t>✅ Cross-paper verified — COD10K S-measure=0.827 reported in FSPNet CVPR23 Table 1; original method OCE-Net (2022).</t>
        </is>
      </c>
      <c r="L13" t="inlineStr">
        <is>
          <t>https://arxiv.org/abs/2303.14816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2026-05-31T15:12:00Z</dcterms:modified>
  <cp:lastModifiedBy>Bill Chuang</cp:lastModifiedBy>
</cp:coreProperties>
</file>