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illt\Claude_Project\OD_Reaserch\"/>
    </mc:Choice>
  </mc:AlternateContent>
  <xr:revisionPtr revIDLastSave="0" documentId="13_ncr:1_{92F65907-F660-486A-8FFB-D4000C7D59A3}" xr6:coauthVersionLast="47" xr6:coauthVersionMax="47" xr10:uidLastSave="{00000000-0000-0000-0000-000000000000}"/>
  <bookViews>
    <workbookView xWindow="-96" yWindow="-96" windowWidth="30912" windowHeight="16752" tabRatio="923" activeTab="1" xr2:uid="{00000000-000D-0000-FFFF-FFFF00000000}"/>
  </bookViews>
  <sheets>
    <sheet name="OD all papers" sheetId="1" r:id="rId1"/>
    <sheet name="Index" sheetId="2" r:id="rId2"/>
    <sheet name="COCO test-dev" sheetId="3" r:id="rId3"/>
    <sheet name="COCO minival" sheetId="4" r:id="rId4"/>
    <sheet name="COCO 2017 val" sheetId="5" r:id="rId5"/>
    <sheet name="COCO 2017" sheetId="6" r:id="rId6"/>
    <sheet name="COCO-O" sheetId="7" r:id="rId7"/>
    <sheet name="PASCAL VOC 2007" sheetId="8" r:id="rId8"/>
    <sheet name="CrowdHuman" sheetId="9" r:id="rId9"/>
    <sheet name="GraZPEDWRI-DX" sheetId="10" r:id="rId10"/>
    <sheet name="CPPE-5" sheetId="11" r:id="rId11"/>
    <sheet name="Waymo 2D" sheetId="12" r:id="rId12"/>
    <sheet name="Argoverse-HD FS Val" sheetId="13" r:id="rId13"/>
    <sheet name="Argoverse-HD DO Val" sheetId="14" r:id="rId14"/>
    <sheet name="Argoverse-HD DO Test" sheetId="15" r:id="rId15"/>
    <sheet name="Argoverse-HD FS Test" sheetId="16" r:id="rId16"/>
    <sheet name="DUTS-TE" sheetId="17" r:id="rId17"/>
    <sheet name="DUT-OMRON" sheetId="18" r:id="rId18"/>
    <sheet name="ECSSD" sheetId="19" r:id="rId19"/>
    <sheet name="HKU-IS" sheetId="20" r:id="rId20"/>
    <sheet name="PASCAL-S" sheetId="21" r:id="rId21"/>
    <sheet name="HRSOD" sheetId="22" r:id="rId22"/>
    <sheet name="DAVIS-S" sheetId="23" r:id="rId23"/>
    <sheet name="UHRSD" sheetId="24" r:id="rId24"/>
    <sheet name="SBU-Refine" sheetId="25" r:id="rId25"/>
    <sheet name="ISTD" sheetId="26" r:id="rId26"/>
    <sheet name="CAMO-FS" sheetId="27" r:id="rId27"/>
    <sheet name="PASCAL VOC 2007 15+5" sheetId="28" r:id="rId28"/>
    <sheet name="MS-COCO 1-shot" sheetId="29" r:id="rId29"/>
    <sheet name="MS-COCO 5-shot" sheetId="30" r:id="rId30"/>
    <sheet name="MS-COCO 10-shot" sheetId="31" r:id="rId31"/>
    <sheet name="MS-COCO 30-shot" sheetId="32" r:id="rId32"/>
    <sheet name="COCO 2017 FSOD" sheetId="33" r:id="rId33"/>
    <sheet name="LVIS v1.0 val" sheetId="34" r:id="rId34"/>
    <sheet name="LVIS v1.0 test-dev" sheetId="35" r:id="rId35"/>
    <sheet name="ODinW-13" sheetId="36" r:id="rId36"/>
    <sheet name="ODinW-35" sheetId="37" r:id="rId37"/>
  </sheets>
  <definedNames>
    <definedName name="_xlnm._FilterDatabase" localSheetId="14" hidden="1">'Argoverse-HD DO Test'!$A$1:$M$12</definedName>
    <definedName name="_xlnm._FilterDatabase" localSheetId="13" hidden="1">'Argoverse-HD DO Val'!$A$1:$M$12</definedName>
    <definedName name="_xlnm._FilterDatabase" localSheetId="15" hidden="1">'Argoverse-HD FS Test'!$A$1:$M$12</definedName>
    <definedName name="_xlnm._FilterDatabase" localSheetId="12" hidden="1">'Argoverse-HD FS Val'!$A$1:$M$12</definedName>
    <definedName name="_xlnm._FilterDatabase" localSheetId="26" hidden="1">'CAMO-FS'!$A$1:$M$12</definedName>
    <definedName name="_xlnm._FilterDatabase" localSheetId="5" hidden="1">'COCO 2017'!$A$1:$M$13</definedName>
    <definedName name="_xlnm._FilterDatabase" localSheetId="32" hidden="1">'COCO 2017 FSOD'!$A$1:$M$12</definedName>
    <definedName name="_xlnm._FilterDatabase" localSheetId="4" hidden="1">'COCO 2017 val'!$A$1:$M$13</definedName>
    <definedName name="_xlnm._FilterDatabase" localSheetId="3" hidden="1">'COCO minival'!$A$1:$M$12</definedName>
    <definedName name="_xlnm._FilterDatabase" localSheetId="2" hidden="1">'COCO test-dev'!$A$1:$M$13</definedName>
    <definedName name="_xlnm._FilterDatabase" localSheetId="6" hidden="1">'COCO-O'!$A$1:$M$12</definedName>
    <definedName name="_xlnm._FilterDatabase" localSheetId="10" hidden="1">'CPPE-5'!$A$1:$M$12</definedName>
    <definedName name="_xlnm._FilterDatabase" localSheetId="8" hidden="1">CrowdHuman!$A$1:$M$12</definedName>
    <definedName name="_xlnm._FilterDatabase" localSheetId="22" hidden="1">'DAVIS-S'!$A$1:$M$13</definedName>
    <definedName name="_xlnm._FilterDatabase" localSheetId="17" hidden="1">'DUT-OMRON'!$A$1:$M$13</definedName>
    <definedName name="_xlnm._FilterDatabase" localSheetId="16" hidden="1">'DUTS-TE'!$A$1:$M$13</definedName>
    <definedName name="_xlnm._FilterDatabase" localSheetId="18" hidden="1">ECSSD!$A$1:$M$13</definedName>
    <definedName name="_xlnm._FilterDatabase" localSheetId="9" hidden="1">'GraZPEDWRI-DX'!$A$1:$M$12</definedName>
    <definedName name="_xlnm._FilterDatabase" localSheetId="19" hidden="1">'HKU-IS'!$A$1:$M$13</definedName>
    <definedName name="_xlnm._FilterDatabase" localSheetId="21" hidden="1">HRSOD!$A$1:$M$13</definedName>
    <definedName name="_xlnm._FilterDatabase" localSheetId="1" hidden="1">Index!$A$1:$E$36</definedName>
    <definedName name="_xlnm._FilterDatabase" localSheetId="25" hidden="1">ISTD!$A$1:$M$13</definedName>
    <definedName name="_xlnm._FilterDatabase" localSheetId="34" hidden="1">'LVIS v1.0 test-dev'!$A$1:$M$12</definedName>
    <definedName name="_xlnm._FilterDatabase" localSheetId="33" hidden="1">'LVIS v1.0 val'!$A$1:$M$12</definedName>
    <definedName name="_xlnm._FilterDatabase" localSheetId="30" hidden="1">'MS-COCO 10-shot'!$A$1:$M$12</definedName>
    <definedName name="_xlnm._FilterDatabase" localSheetId="28" hidden="1">'MS-COCO 1-shot'!$A$1:$M$12</definedName>
    <definedName name="_xlnm._FilterDatabase" localSheetId="31" hidden="1">'MS-COCO 30-shot'!$A$1:$M$12</definedName>
    <definedName name="_xlnm._FilterDatabase" localSheetId="29" hidden="1">'MS-COCO 5-shot'!$A$1:$M$12</definedName>
    <definedName name="_xlnm._FilterDatabase" localSheetId="0" hidden="1">'OD all papers'!$A$1:$H$84</definedName>
    <definedName name="_xlnm._FilterDatabase" localSheetId="35" hidden="1">'ODinW-13'!$A$1:$M$12</definedName>
    <definedName name="_xlnm._FilterDatabase" localSheetId="36" hidden="1">'ODinW-35'!$A$1:$M$12</definedName>
    <definedName name="_xlnm._FilterDatabase" localSheetId="7" hidden="1">'PASCAL VOC 2007'!$A$1:$M$12</definedName>
    <definedName name="_xlnm._FilterDatabase" localSheetId="27" hidden="1">'PASCAL VOC 2007 15+5'!$A$1:$M$12</definedName>
    <definedName name="_xlnm._FilterDatabase" localSheetId="20" hidden="1">'PASCAL-S'!$A$1:$M$13</definedName>
    <definedName name="_xlnm._FilterDatabase" localSheetId="24" hidden="1">'SBU-Refine'!$A$1:$M$13</definedName>
    <definedName name="_xlnm._FilterDatabase" localSheetId="23" hidden="1">UHRSD!$A$1:$M$13</definedName>
    <definedName name="_xlnm._FilterDatabase" localSheetId="11" hidden="1">'Waymo 2D'!$A$1:$M$12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2" l="1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<sst xmlns="http://schemas.openxmlformats.org/spreadsheetml/2006/main" count="6421" uniqueCount="1330">
  <si>
    <t>類別</t>
  </si>
  <si>
    <t>方法</t>
  </si>
  <si>
    <t>作者</t>
  </si>
  <si>
    <t>發表</t>
  </si>
  <si>
    <t>年月</t>
  </si>
  <si>
    <t>備註(特色/based)</t>
  </si>
  <si>
    <t>連結</t>
  </si>
  <si>
    <t>GitHub</t>
  </si>
  <si>
    <t>Real-Time OD</t>
  </si>
  <si>
    <t>RF-DETR (Large)</t>
  </si>
  <si>
    <t>Roboflow</t>
  </si>
  <si>
    <t>ICLR</t>
  </si>
  <si>
    <t>2026-04</t>
  </si>
  <si>
    <t>First RT model &gt;60 AP on COCO; DINOv2 backbone; ICLR 2026</t>
  </si>
  <si>
    <t>https://arxiv.org/abs/2511.09554</t>
  </si>
  <si>
    <t>https://github.com/roboflow/rf-detr</t>
  </si>
  <si>
    <t>RF-DETR (Nano)</t>
  </si>
  <si>
    <t>Nano variant; ICLR 2026</t>
  </si>
  <si>
    <t>YOLO26 (l)</t>
  </si>
  <si>
    <t>Ultralytics</t>
  </si>
  <si>
    <t>Official Docs</t>
  </si>
  <si>
    <t>2026-01</t>
  </si>
  <si>
    <t>NMS-free; ProgLoss + STAL; MuSGD optimizer; Released 2026-01-14</t>
  </si>
  <si>
    <t>https://docs.ultralytics.com/models/yolo26/</t>
  </si>
  <si>
    <t>https://github.com/ultralytics/ultralytics</t>
  </si>
  <si>
    <t>YOLO26 (n)</t>
  </si>
  <si>
    <t>Nano variant; CPU-friendly</t>
  </si>
  <si>
    <t>RT-DETRv4 (X)</t>
  </si>
  <si>
    <t>RT-DETRs</t>
  </si>
  <si>
    <t>arXiv</t>
  </si>
  <si>
    <t>2025-10</t>
  </si>
  <si>
    <t>Vision Foundation Models distillation (DSI+GAM)</t>
  </si>
  <si>
    <t>https://arxiv.org/abs/2510.25257</t>
  </si>
  <si>
    <t>https://github.com/RT-DETRs/RT-DETRv4</t>
  </si>
  <si>
    <t>RGB Salient OD</t>
  </si>
  <si>
    <t>S3OD (synthetic)</t>
  </si>
  <si>
    <t>Various</t>
  </si>
  <si>
    <t>Generalizable SOD with synthetic data</t>
  </si>
  <si>
    <t>https://arxiv.org/abs/2510.21605</t>
  </si>
  <si>
    <t>https://github.com/</t>
  </si>
  <si>
    <t>DEIMv2 (DINOv3)</t>
  </si>
  <si>
    <t>Huang et al.</t>
  </si>
  <si>
    <t>2025-09</t>
  </si>
  <si>
    <t>Real-time meets DINOv3; latest 2025 update</t>
  </si>
  <si>
    <t>https://arxiv.org/abs/2509.20787</t>
  </si>
  <si>
    <t>https://github.com/Intellindust-AI-Lab/DEIMv2</t>
  </si>
  <si>
    <t>YOLO-Master</t>
  </si>
  <si>
    <t>2025 community alias; To verify (multiple repos use this name)</t>
  </si>
  <si>
    <t>https://github.com/topics/yolo-master</t>
  </si>
  <si>
    <t>DEIM-D-FINE-X</t>
  </si>
  <si>
    <t>CVPR</t>
  </si>
  <si>
    <t>2025-06</t>
  </si>
  <si>
    <t>Improved matching for fast convergence</t>
  </si>
  <si>
    <t>https://arxiv.org/abs/2412.04234</t>
  </si>
  <si>
    <t>https://github.com/Intellindust-AI-Lab/DEIM</t>
  </si>
  <si>
    <t>YOLOv13-X</t>
  </si>
  <si>
    <t>iMoonLab</t>
  </si>
  <si>
    <t>Hypergraph adaptive correlation enhancement (HyperACE)</t>
  </si>
  <si>
    <t>https://arxiv.org/abs/2506.17733</t>
  </si>
  <si>
    <t>https://github.com/iMoonLab/yolov13</t>
  </si>
  <si>
    <t>DEIM-D-FINE-L</t>
  </si>
  <si>
    <t>Dense O2O + MAL</t>
  </si>
  <si>
    <t>Few-Shot OD</t>
  </si>
  <si>
    <t>NTIRE 2025 CD-FSOD top method</t>
  </si>
  <si>
    <t>Various teams</t>
  </si>
  <si>
    <t>CVPR Workshop</t>
  </si>
  <si>
    <t>NTIRE 2025 challenge</t>
  </si>
  <si>
    <t>https://arxiv.org/abs/2504.10685</t>
  </si>
  <si>
    <t>https://github.com/lovelyqian/NTIRE2025_CDFSOD</t>
  </si>
  <si>
    <t>D-FINE-X</t>
  </si>
  <si>
    <t>Peng et al.</t>
  </si>
  <si>
    <t>2025-04</t>
  </si>
  <si>
    <t>Fine-grained distribution refinement; ICLR 2025 Spotlight</t>
  </si>
  <si>
    <t>https://arxiv.org/abs/2410.13842</t>
  </si>
  <si>
    <t>https://github.com/Peterande/D-FINE</t>
  </si>
  <si>
    <t>D-FINE-L</t>
  </si>
  <si>
    <t>Fine-grained distribution refinement</t>
  </si>
  <si>
    <t>YOLOv12-X</t>
  </si>
  <si>
    <t>Tian et al.</t>
  </si>
  <si>
    <t>NeurIPS</t>
  </si>
  <si>
    <t>2025-02</t>
  </si>
  <si>
    <t>Attention-centric; area attention</t>
  </si>
  <si>
    <t>https://arxiv.org/abs/2502.12524</t>
  </si>
  <si>
    <t>https://github.com/sunsmarterjie/yolov12</t>
  </si>
  <si>
    <t>RT-DETRv3-R101</t>
  </si>
  <si>
    <t>Wang et al.</t>
  </si>
  <si>
    <t>WACV</t>
  </si>
  <si>
    <t>Hierarchical dense positive supervision; WACV 2025 Oral</t>
  </si>
  <si>
    <t>https://arxiv.org/abs/2409.08475</t>
  </si>
  <si>
    <t>https://github.com/clxia12/RT-DETRv3</t>
  </si>
  <si>
    <t>UGRAN</t>
  </si>
  <si>
    <t>TIP</t>
  </si>
  <si>
    <t>Uncertainty-guided refinement; TIP 2025; To verify</t>
  </si>
  <si>
    <t>https://github.com/I2-Multimedia-Lab/UGRAN</t>
  </si>
  <si>
    <t>FII-DETR</t>
  </si>
  <si>
    <t>Information Fusion</t>
  </si>
  <si>
    <t>2025-01</t>
  </si>
  <si>
    <t>Fully information interaction DETR</t>
  </si>
  <si>
    <t>https://www.sciencedirect.com/science/article/abs/pii/S1566253525007900</t>
  </si>
  <si>
    <t>YOLOv10-X</t>
  </si>
  <si>
    <t>2024-12</t>
  </si>
  <si>
    <t>NMS-free; consistent dual assignment</t>
  </si>
  <si>
    <t>https://arxiv.org/abs/2405.14458</t>
  </si>
  <si>
    <t>https://github.com/THU-MIG/yolov10</t>
  </si>
  <si>
    <t>General OD</t>
  </si>
  <si>
    <t>DINO-X</t>
  </si>
  <si>
    <t>IDEA Research</t>
  </si>
  <si>
    <t>2024-11</t>
  </si>
  <si>
    <t>Successor to Grounding DINO 1.5; To verify on COCO test-dev</t>
  </si>
  <si>
    <t>https://arxiv.org/abs/2411.14347</t>
  </si>
  <si>
    <t>https://github.com/IDEA-Research/DINO-X-API</t>
  </si>
  <si>
    <t>Grounding DINO</t>
  </si>
  <si>
    <t>Liu et al.</t>
  </si>
  <si>
    <t>ECCV</t>
  </si>
  <si>
    <t>2024-10</t>
  </si>
  <si>
    <t>Open-set zero-shot; ECCV 2024</t>
  </si>
  <si>
    <t>https://arxiv.org/abs/2303.05499</t>
  </si>
  <si>
    <t>https://github.com/IDEA-Research/GroundingDINO</t>
  </si>
  <si>
    <t>CD-ViTO</t>
  </si>
  <si>
    <t>Fu et al.</t>
  </si>
  <si>
    <t>Cross-domain FSOD; learnable instance + domain prompter</t>
  </si>
  <si>
    <t>https://arxiv.org/abs/2402.03094</t>
  </si>
  <si>
    <t>https://github.com/lovelyqian/CDFSOD-benchmark</t>
  </si>
  <si>
    <t>Relation-DETR (FocalNet-L)</t>
  </si>
  <si>
    <t>Hou et al.</t>
  </si>
  <si>
    <t>2024-09</t>
  </si>
  <si>
    <t>Explicit position relation prior; ECCV 2024 Oral</t>
  </si>
  <si>
    <t>https://arxiv.org/abs/2407.11699</t>
  </si>
  <si>
    <t>https://github.com/xiuqhou/Relation-DETR</t>
  </si>
  <si>
    <t>YOLOv9-E</t>
  </si>
  <si>
    <t>PGI + GELAN</t>
  </si>
  <si>
    <t>https://arxiv.org/abs/2402.13616</t>
  </si>
  <si>
    <t>https://github.com/WongKinYiu/yolov9</t>
  </si>
  <si>
    <t>YOLO11x</t>
  </si>
  <si>
    <t>C3K2 + C2PSA</t>
  </si>
  <si>
    <t>https://docs.ultralytics.com/models/yolo11/</t>
  </si>
  <si>
    <t>RT-DETRv2-R101</t>
  </si>
  <si>
    <t>Lv et al.</t>
  </si>
  <si>
    <t>2024-07</t>
  </si>
  <si>
    <t>Bag of freebies tweaks</t>
  </si>
  <si>
    <t>https://arxiv.org/abs/2407.17140</t>
  </si>
  <si>
    <t>https://github.com/lyuwenyu/RT-DETR</t>
  </si>
  <si>
    <t>RT-DETR-R101</t>
  </si>
  <si>
    <t>Zhao et al.</t>
  </si>
  <si>
    <t>2024-06</t>
  </si>
  <si>
    <t>First real-time DETR</t>
  </si>
  <si>
    <t>https://arxiv.org/abs/2304.08069</t>
  </si>
  <si>
    <t>MVANet</t>
  </si>
  <si>
    <t>Yu et al.</t>
  </si>
  <si>
    <t>Multi-view aggregation; SOTA-tier 2024</t>
  </si>
  <si>
    <t>https://arxiv.org/abs/2404.07445</t>
  </si>
  <si>
    <t>https://github.com/qianyu-dlut/MVANet</t>
  </si>
  <si>
    <t>VSCode</t>
  </si>
  <si>
    <t>Luo et al.</t>
  </si>
  <si>
    <t>2D prompt joint salient/camouflaged</t>
  </si>
  <si>
    <t>https://arxiv.org/abs/2311.15011</t>
  </si>
  <si>
    <t>https://github.com/Sssssuperior/VSCode</t>
  </si>
  <si>
    <t>FM-FSOD</t>
  </si>
  <si>
    <t>Han et al.</t>
  </si>
  <si>
    <t>Foundation-model FSOD</t>
  </si>
  <si>
    <t>https://arxiv.org/abs/2402.10433</t>
  </si>
  <si>
    <t>https://github.com/han-tianyu/FM-FSOD</t>
  </si>
  <si>
    <t>Grounding DINO 1.5 Pro</t>
  </si>
  <si>
    <t>Ren et al.</t>
  </si>
  <si>
    <t>2024-05</t>
  </si>
  <si>
    <t>Open-set; SOTA on COCO zero-shot, LVIS, ODinW</t>
  </si>
  <si>
    <t>https://arxiv.org/abs/2405.10300</t>
  </si>
  <si>
    <t>https://github.com/IDEA-Research/Grounding-DINO-1.5-API</t>
  </si>
  <si>
    <t>Strong open-set; SOTA on ODinW</t>
  </si>
  <si>
    <t>BiRefNet</t>
  </si>
  <si>
    <t>Zheng et al.</t>
  </si>
  <si>
    <t>CAAI AIR</t>
  </si>
  <si>
    <t>2024-04</t>
  </si>
  <si>
    <t>Bilateral reference; SOTA HR SOD</t>
  </si>
  <si>
    <t>https://arxiv.org/abs/2401.03407</t>
  </si>
  <si>
    <t>https://github.com/ZhengPeng7/BiRefNet</t>
  </si>
  <si>
    <t>hANMCL</t>
  </si>
  <si>
    <t>Hierarchical attention + multi-correlation</t>
  </si>
  <si>
    <t>https://arxiv.org/abs/2404.00700</t>
  </si>
  <si>
    <t>Co-DETR (ViT-L)</t>
  </si>
  <si>
    <t>Zong et al.</t>
  </si>
  <si>
    <t>ICCV</t>
  </si>
  <si>
    <t>2023-10</t>
  </si>
  <si>
    <t>First ≥66 AP on COCO test-dev; collaborative hybrid assignments</t>
  </si>
  <si>
    <t>https://arxiv.org/abs/2211.12860</t>
  </si>
  <si>
    <t>https://github.com/Sense-X/Co-DETR</t>
  </si>
  <si>
    <t>EVA-02 (Det)</t>
  </si>
  <si>
    <t>Fang et al.</t>
  </si>
  <si>
    <t>arXiv→IVC</t>
  </si>
  <si>
    <t>ViT-L visual rep; SOTA-tier</t>
  </si>
  <si>
    <t>https://arxiv.org/abs/2303.11331</t>
  </si>
  <si>
    <t>https://github.com/baaivision/EVA</t>
  </si>
  <si>
    <t>M3Net</t>
  </si>
  <si>
    <t>Yuan et al.</t>
  </si>
  <si>
    <t>Multi-level mixed-attention</t>
  </si>
  <si>
    <t>https://arxiv.org/abs/2309.08365</t>
  </si>
  <si>
    <t>https://github.com/I2-Multimedia-Lab/M3Net</t>
  </si>
  <si>
    <t>InternImage-H</t>
  </si>
  <si>
    <t>2023-06</t>
  </si>
  <si>
    <t>Large-scale deformable conv; first ≥65 AP</t>
  </si>
  <si>
    <t>https://arxiv.org/abs/2211.05778</t>
  </si>
  <si>
    <t>https://github.com/OpenGVLab/InternImage</t>
  </si>
  <si>
    <t>YOLOv7-X</t>
  </si>
  <si>
    <t>E-ELAN backbone</t>
  </si>
  <si>
    <t>https://arxiv.org/abs/2207.02696</t>
  </si>
  <si>
    <t>https://github.com/WongKinYiu/yolov7</t>
  </si>
  <si>
    <t>UniFS (UniDetector)</t>
  </si>
  <si>
    <t>Universal open-vocab detector</t>
  </si>
  <si>
    <t>https://arxiv.org/abs/2303.11749</t>
  </si>
  <si>
    <t>https://github.com/zhenyuw16/UniDetector</t>
  </si>
  <si>
    <t>YOLO-NAS-L</t>
  </si>
  <si>
    <t>Deci</t>
  </si>
  <si>
    <t>2023-05</t>
  </si>
  <si>
    <t>Neural-arch search YOLO</t>
  </si>
  <si>
    <t>https://github.com/Deci-AI/super-gradients</t>
  </si>
  <si>
    <t>DINO (Swin-L)</t>
  </si>
  <si>
    <t>Zhang et al.</t>
  </si>
  <si>
    <t>2023-03</t>
  </si>
  <si>
    <t>SOTA query-based DETR family; Paper-reported result</t>
  </si>
  <si>
    <t>https://arxiv.org/abs/2203.03605</t>
  </si>
  <si>
    <t>https://github.com/IDEA-Research/DINO</t>
  </si>
  <si>
    <t>ICON-S (Swin)</t>
  </si>
  <si>
    <t>Zhuge et al.</t>
  </si>
  <si>
    <t>TPAMI</t>
  </si>
  <si>
    <t>Integrity learning</t>
  </si>
  <si>
    <t>https://arxiv.org/abs/2111.13409</t>
  </si>
  <si>
    <t>https://github.com/mczhuge/ICON</t>
  </si>
  <si>
    <t>YOLOv8x</t>
  </si>
  <si>
    <t>Jocher et al.</t>
  </si>
  <si>
    <t>2023-01</t>
  </si>
  <si>
    <t>Anchor-free; Ultralytics</t>
  </si>
  <si>
    <t>https://docs.ultralytics.com/models/yolov8/</t>
  </si>
  <si>
    <t>RTMDet-X</t>
  </si>
  <si>
    <t>Lyu et al.</t>
  </si>
  <si>
    <t>2022-12</t>
  </si>
  <si>
    <t>OpenMMLab RT detector</t>
  </si>
  <si>
    <t>https://arxiv.org/abs/2212.07784</t>
  </si>
  <si>
    <t>https://github.com/open-mmlab/mmdetection</t>
  </si>
  <si>
    <t>DAMO-YOLO-l</t>
  </si>
  <si>
    <t>Xu et al.</t>
  </si>
  <si>
    <t>NAS backbone</t>
  </si>
  <si>
    <t>https://arxiv.org/abs/2211.15444</t>
  </si>
  <si>
    <t>https://github.com/tinyvision/damo-yolo</t>
  </si>
  <si>
    <t>InSPyReNet</t>
  </si>
  <si>
    <t>Kim et al.</t>
  </si>
  <si>
    <t>ACCV</t>
  </si>
  <si>
    <t>Image pyramid; high-res</t>
  </si>
  <si>
    <t>https://arxiv.org/abs/2209.09475</t>
  </si>
  <si>
    <t>https://github.com/plemeri/InSPyReNet</t>
  </si>
  <si>
    <t>ViTDet (ViT-H, MAE)</t>
  </si>
  <si>
    <t>Li et al.</t>
  </si>
  <si>
    <t>2022-09</t>
  </si>
  <si>
    <t>Plain ViT backbone for detection</t>
  </si>
  <si>
    <t>https://arxiv.org/abs/2203.16527</t>
  </si>
  <si>
    <t>https://github.com/facebookresearch/detectron2</t>
  </si>
  <si>
    <t>MaxViT-XL Cascade</t>
  </si>
  <si>
    <t>Tu et al.</t>
  </si>
  <si>
    <t>Multi-axis attention</t>
  </si>
  <si>
    <t>https://arxiv.org/abs/2204.01697</t>
  </si>
  <si>
    <t>https://github.com/google-research/maxvit</t>
  </si>
  <si>
    <t>YOLOv6-L</t>
  </si>
  <si>
    <t>Industry-grade RT detector</t>
  </si>
  <si>
    <t>https://arxiv.org/abs/2209.02976</t>
  </si>
  <si>
    <t>https://github.com/meituan/YOLOv6</t>
  </si>
  <si>
    <t>EDN</t>
  </si>
  <si>
    <t>Wu et al.</t>
  </si>
  <si>
    <t>2022-08</t>
  </si>
  <si>
    <t>Extremely-downsampled net</t>
  </si>
  <si>
    <t>https://arxiv.org/abs/2012.13093</t>
  </si>
  <si>
    <t>https://github.com/yuhuan-wu/EDN</t>
  </si>
  <si>
    <t>Meta-DETR</t>
  </si>
  <si>
    <t>Inter-class correlational meta-learning</t>
  </si>
  <si>
    <t>https://arxiv.org/abs/2208.00219</t>
  </si>
  <si>
    <t>https://github.com/ZhangGongjie/Meta-DETR</t>
  </si>
  <si>
    <t>PP-YOLOE+ (X)</t>
  </si>
  <si>
    <t>2022-07</t>
  </si>
  <si>
    <t>Baidu PaddleDetection</t>
  </si>
  <si>
    <t>https://arxiv.org/abs/2203.16250</t>
  </si>
  <si>
    <t>https://github.com/PaddlePaddle/PaddleDetection</t>
  </si>
  <si>
    <t>DETReg</t>
  </si>
  <si>
    <t>Bar et al.</t>
  </si>
  <si>
    <t>2022-06</t>
  </si>
  <si>
    <t>Self-supervised pre-training</t>
  </si>
  <si>
    <t>https://arxiv.org/abs/2106.04550</t>
  </si>
  <si>
    <t>https://github.com/amirbar/DETReg</t>
  </si>
  <si>
    <t>ConvNeXt-XL Cascade</t>
  </si>
  <si>
    <t>2022-03</t>
  </si>
  <si>
    <t>Pure ConvNet baseline</t>
  </si>
  <si>
    <t>https://arxiv.org/abs/2201.03545</t>
  </si>
  <si>
    <t>https://github.com/facebookresearch/ConvNeXt</t>
  </si>
  <si>
    <t>DN-DETR</t>
  </si>
  <si>
    <t>Denoising training; Paper-reported result</t>
  </si>
  <si>
    <t>https://arxiv.org/abs/2203.01305</t>
  </si>
  <si>
    <t>https://github.com/IDEA-Research/DN-DETR</t>
  </si>
  <si>
    <t>DAB-DETR</t>
  </si>
  <si>
    <t>Anchor box query; Paper-reported result</t>
  </si>
  <si>
    <t>https://arxiv.org/abs/2201.12329</t>
  </si>
  <si>
    <t>https://github.com/IDEA-Research/DAB-DETR</t>
  </si>
  <si>
    <t>NanoDet-Plus-m</t>
  </si>
  <si>
    <t>RangiLyu</t>
  </si>
  <si>
    <t>2021-12</t>
  </si>
  <si>
    <t>Mobile/edge tiny detector</t>
  </si>
  <si>
    <t>https://github.com/RangiLyu/nanodet</t>
  </si>
  <si>
    <t>VST</t>
  </si>
  <si>
    <t>2021-10</t>
  </si>
  <si>
    <t>Visual saliency transformer</t>
  </si>
  <si>
    <t>https://arxiv.org/abs/2104.12099</t>
  </si>
  <si>
    <t>https://github.com/nnizhang/VST</t>
  </si>
  <si>
    <t>DeFRCN</t>
  </si>
  <si>
    <t>Qiao et al.</t>
  </si>
  <si>
    <t>Decoupled Faster R-CNN; strong baseline</t>
  </si>
  <si>
    <t>https://arxiv.org/abs/2108.09017</t>
  </si>
  <si>
    <t>https://github.com/er-muyue/DeFRCN</t>
  </si>
  <si>
    <t>Swin-L Cascade Mask R-CNN</t>
  </si>
  <si>
    <t>2021-08</t>
  </si>
  <si>
    <t>Swin transformer backbone</t>
  </si>
  <si>
    <t>https://arxiv.org/abs/2103.14030</t>
  </si>
  <si>
    <t>https://github.com/microsoft/Swin-Transformer</t>
  </si>
  <si>
    <t>YOLOX-X</t>
  </si>
  <si>
    <t>Ge et al.</t>
  </si>
  <si>
    <t>Anchor-free YOLO baseline</t>
  </si>
  <si>
    <t>https://arxiv.org/abs/2107.08430</t>
  </si>
  <si>
    <t>https://github.com/Megvii-BaseDetection/YOLOX</t>
  </si>
  <si>
    <t>FSCE</t>
  </si>
  <si>
    <t>Sun et al.</t>
  </si>
  <si>
    <t>2021-06</t>
  </si>
  <si>
    <t>Contrastive proposal encoding</t>
  </si>
  <si>
    <t>https://arxiv.org/abs/2103.05950</t>
  </si>
  <si>
    <t>https://github.com/megvii-research/FSCE</t>
  </si>
  <si>
    <t>Deformable DETR (R50)</t>
  </si>
  <si>
    <t>Zhu et al.</t>
  </si>
  <si>
    <t>2021-05</t>
  </si>
  <si>
    <t>Sparse attention; faster convergence; Paper-reported result</t>
  </si>
  <si>
    <t>https://arxiv.org/abs/2010.04159</t>
  </si>
  <si>
    <t>https://github.com/fundamentalvision/Deformable-DETR</t>
  </si>
  <si>
    <t>PoolNet+</t>
  </si>
  <si>
    <t>2021-04</t>
  </si>
  <si>
    <t>Pool-based aggregation</t>
  </si>
  <si>
    <t>https://arxiv.org/abs/1904.09569</t>
  </si>
  <si>
    <t>https://github.com/backseason/PoolNet</t>
  </si>
  <si>
    <t>Sparse R-CNN (R101)</t>
  </si>
  <si>
    <t>2021-01</t>
  </si>
  <si>
    <t>End-to-end set prediction; Paper-reported result</t>
  </si>
  <si>
    <t>https://arxiv.org/abs/2011.12450</t>
  </si>
  <si>
    <t>https://github.com/PeizeSun/SparseR-CNN</t>
  </si>
  <si>
    <t>DETR (R101)</t>
  </si>
  <si>
    <t>Carion et al.</t>
  </si>
  <si>
    <t>2020-09</t>
  </si>
  <si>
    <t>First end-to-end transformer detector; Paper-reported result</t>
  </si>
  <si>
    <t>https://arxiv.org/abs/2005.12872</t>
  </si>
  <si>
    <t>https://github.com/facebookresearch/detr</t>
  </si>
  <si>
    <t>MPSR</t>
  </si>
  <si>
    <t>2020-08</t>
  </si>
  <si>
    <t>Multi-scale positive samples</t>
  </si>
  <si>
    <t>https://arxiv.org/abs/2007.09384</t>
  </si>
  <si>
    <t>https://github.com/jiaxi-wu/MPSR</t>
  </si>
  <si>
    <t>TFA w/cos</t>
  </si>
  <si>
    <t>ICML</t>
  </si>
  <si>
    <t>2020-07</t>
  </si>
  <si>
    <t>Two-stage fine-tuning baseline</t>
  </si>
  <si>
    <t>https://arxiv.org/abs/2003.06957</t>
  </si>
  <si>
    <t>https://github.com/ucbdrive/few-shot-object-detection</t>
  </si>
  <si>
    <t>EfficientDet-D7</t>
  </si>
  <si>
    <t>Tan et al.</t>
  </si>
  <si>
    <t>2020-06</t>
  </si>
  <si>
    <t>BiFPN compound scaling</t>
  </si>
  <si>
    <t>https://arxiv.org/abs/1911.09070</t>
  </si>
  <si>
    <t>https://github.com/google/automl/tree/master/efficientdet</t>
  </si>
  <si>
    <t>YOLOv5-x</t>
  </si>
  <si>
    <t>Anchor-based YOLO; widely used baseline</t>
  </si>
  <si>
    <t>https://github.com/ultralytics/yolov5</t>
  </si>
  <si>
    <t>MINet</t>
  </si>
  <si>
    <t>Pang et al.</t>
  </si>
  <si>
    <t>Multi-scale interactive</t>
  </si>
  <si>
    <t>https://arxiv.org/abs/2007.09062</t>
  </si>
  <si>
    <t>https://github.com/lartpang/MINet</t>
  </si>
  <si>
    <t>U^2-Net</t>
  </si>
  <si>
    <t>Qin et al.</t>
  </si>
  <si>
    <t>PR</t>
  </si>
  <si>
    <t>2020-05</t>
  </si>
  <si>
    <t>Nested U-blocks</t>
  </si>
  <si>
    <t>https://arxiv.org/abs/2005.09007</t>
  </si>
  <si>
    <t>https://github.com/xuebinqin/U-2-Net</t>
  </si>
  <si>
    <t>Meta R-CNN</t>
  </si>
  <si>
    <t>Yan et al.</t>
  </si>
  <si>
    <t>2019-10</t>
  </si>
  <si>
    <t>Class-agnostic meta-learning</t>
  </si>
  <si>
    <t>https://arxiv.org/abs/1909.13032</t>
  </si>
  <si>
    <t>https://github.com/yanxp/MetaR-CNN</t>
  </si>
  <si>
    <t>FSRW</t>
  </si>
  <si>
    <t>Kang et al.</t>
  </si>
  <si>
    <t>Reweighting features</t>
  </si>
  <si>
    <t>https://arxiv.org/abs/1812.01866</t>
  </si>
  <si>
    <t>https://github.com/bingykang/Fewshot_Detection</t>
  </si>
  <si>
    <t>BASNet</t>
  </si>
  <si>
    <t>2019-06</t>
  </si>
  <si>
    <t>Boundary-aware. RGB SOD uses S/E/F/MAE not COCO mAP.</t>
  </si>
  <si>
    <t>https://arxiv.org/abs/1904.07857</t>
  </si>
  <si>
    <t>https://github.com/xuebinqin/BASNet</t>
  </si>
  <si>
    <t>CPD-R</t>
  </si>
  <si>
    <t>Cascaded partial decoder</t>
  </si>
  <si>
    <t>https://arxiv.org/abs/1904.08739</t>
  </si>
  <si>
    <t>https://github.com/wuzhe71/CPD</t>
  </si>
  <si>
    <t>CenterNet</t>
  </si>
  <si>
    <t>Zhou et al.</t>
  </si>
  <si>
    <t>2019-04</t>
  </si>
  <si>
    <t>Keypoint-based anchor-free; Paper-reported result</t>
  </si>
  <si>
    <t>https://arxiv.org/abs/1904.07850</t>
  </si>
  <si>
    <t>https://github.com/xingyizhou/CenterNet</t>
  </si>
  <si>
    <t>FCOS (R101)</t>
  </si>
  <si>
    <t>Anchor-free one-stage; Paper-reported result</t>
  </si>
  <si>
    <t>https://arxiv.org/abs/1904.01355</t>
  </si>
  <si>
    <t>https://github.com/tianzhi0549/FCOS</t>
  </si>
  <si>
    <t>Cascade R-CNN (R101-FPN)</t>
  </si>
  <si>
    <t>Cai &amp; Vasconcelos</t>
  </si>
  <si>
    <t>2018-06</t>
  </si>
  <si>
    <t>Multi-stage IoU; Paper-reported result</t>
  </si>
  <si>
    <t>https://arxiv.org/abs/1712.00726</t>
  </si>
  <si>
    <t>https://github.com/zhaoweicai/cascade-rcnn</t>
  </si>
  <si>
    <t>RetinaNet (R101)</t>
  </si>
  <si>
    <t>Lin et al.</t>
  </si>
  <si>
    <t>2017-10</t>
  </si>
  <si>
    <t>One-stage anchor-based; focal loss; Paper-reported result</t>
  </si>
  <si>
    <t>https://arxiv.org/abs/1708.02002</t>
  </si>
  <si>
    <t>https://github.com/facebookresearch/Detectron</t>
  </si>
  <si>
    <t>Mask R-CNN (R50-FPN)</t>
  </si>
  <si>
    <t>He et al.</t>
  </si>
  <si>
    <t>Two-stage; box+mask head; baseline; Paper-reported result</t>
  </si>
  <si>
    <t>https://arxiv.org/abs/1703.06870</t>
  </si>
  <si>
    <t>https://github.com/facebookresearch/maskrcnn-benchmark</t>
  </si>
  <si>
    <t>Faster R-CNN (R50-FPN)</t>
  </si>
  <si>
    <t>2015-06</t>
  </si>
  <si>
    <t>Two-stage anchor-based; baseline still widely cited; Paper-reported result</t>
  </si>
  <si>
    <t>https://arxiv.org/abs/1506.01497</t>
  </si>
  <si>
    <t>https://github.com/rbgirshick/py-faster-rcnn</t>
  </si>
  <si>
    <t>分類 / Category</t>
  </si>
  <si>
    <t>資料集 Sheet</t>
  </si>
  <si>
    <t>主要排序指標 Primary Metric</t>
  </si>
  <si>
    <t>補充指標 Supplementary</t>
  </si>
  <si>
    <t>備註 Notes</t>
  </si>
  <si>
    <t>COCO box AP / mAP (IoU 0.50:0.95)</t>
  </si>
  <si>
    <t>AP50, AP75</t>
  </si>
  <si>
    <t>Standard supervised benchmark</t>
  </si>
  <si>
    <t>COCO box AP</t>
  </si>
  <si>
    <t>Different split from test-dev — do not mix</t>
  </si>
  <si>
    <t>val2017</t>
  </si>
  <si>
    <t>Combined 2017 train/val results</t>
  </si>
  <si>
    <t>Effective robustness AP</t>
  </si>
  <si>
    <t>Out-of-distribution; numbers not comparable to standard COCO</t>
  </si>
  <si>
    <t>mAP@0.5 (AP50)</t>
  </si>
  <si>
    <t>AP50 is the dataset's primary metric — not COCO mAP</t>
  </si>
  <si>
    <t>AP / log-MR</t>
  </si>
  <si>
    <t>JI, MR-2</t>
  </si>
  <si>
    <t>Crowd detection metric; MR lower is better</t>
  </si>
  <si>
    <t>mAP@0.5</t>
  </si>
  <si>
    <t>Pediatric wrist X-ray; AP50-style metric</t>
  </si>
  <si>
    <t>Medical PPE detection; AP50-style</t>
  </si>
  <si>
    <t>Waymo 2D AP</t>
  </si>
  <si>
    <t>Waymo Open Dataset 2D detection (NOT 3D)</t>
  </si>
  <si>
    <t>Streaming AP (sAP)</t>
  </si>
  <si>
    <t>FPS, latency, hardware</t>
  </si>
  <si>
    <t>Full-Stack Val split</t>
  </si>
  <si>
    <t>Detection-Only Val split</t>
  </si>
  <si>
    <t>Detection-Only Test split</t>
  </si>
  <si>
    <t>Full-Stack Test split</t>
  </si>
  <si>
    <t>S-measure / Fβ / E-measure / MAE</t>
  </si>
  <si>
    <t>S/E/F higher better; MAE lower better</t>
  </si>
  <si>
    <t>S / Fβ / E / MAE</t>
  </si>
  <si>
    <t>Same metric set as DUTS-TE</t>
  </si>
  <si>
    <t>High-resolution SOD</t>
  </si>
  <si>
    <t>Sequence-derived SOD</t>
  </si>
  <si>
    <t>Ultra-high-res SOD</t>
  </si>
  <si>
    <t>Shadow detection adjacent; verify per paper</t>
  </si>
  <si>
    <t>AP (CD-FSOD setting)</t>
  </si>
  <si>
    <t>Grouped here per user spec; CAMO-FS uses AP not S/E/F/MAE — comparability flagged</t>
  </si>
  <si>
    <t>mAP / base AP / novel AP</t>
  </si>
  <si>
    <t>Class-incremental 15+5 split; do not mix splits</t>
  </si>
  <si>
    <t>novel AP</t>
  </si>
  <si>
    <t>AP50</t>
  </si>
  <si>
    <t>1-shot setting must not mix with other shots</t>
  </si>
  <si>
    <t>5-shot setting must not mix with other shots</t>
  </si>
  <si>
    <t>10-shot setting must not mix with other shots</t>
  </si>
  <si>
    <t>30-shot setting must not mix with other shots</t>
  </si>
  <si>
    <t>AP</t>
  </si>
  <si>
    <t>Generic COCO 2017 FSOD setting; verify shot setting per paper</t>
  </si>
  <si>
    <t>AP / AP_rare</t>
  </si>
  <si>
    <t>Long-tail; AP_rare is the FSOD-relevant slice</t>
  </si>
  <si>
    <t>test-dev split; do not mix with val</t>
  </si>
  <si>
    <t>AP (avg of 13 datasets)</t>
  </si>
  <si>
    <t>Zero-shot vs fine-tuned — flag separately</t>
  </si>
  <si>
    <t>Object Detection in the Wild — 13 dataset suite</t>
  </si>
  <si>
    <t>AP (avg of 35 datasets)</t>
  </si>
  <si>
    <t>Object Detection in the Wild — 35 dataset suite</t>
  </si>
  <si>
    <t>狀態</t>
  </si>
  <si>
    <t>mAP</t>
  </si>
  <si>
    <t>FPS</t>
  </si>
  <si>
    <t>params</t>
  </si>
  <si>
    <t>Published</t>
  </si>
  <si>
    <t>66.0</t>
  </si>
  <si>
    <t>AP 66.0</t>
  </si>
  <si>
    <t>N/A</t>
  </si>
  <si>
    <t>304M</t>
  </si>
  <si>
    <t>Papers with Code leaderboard; first ≥66 AP</t>
  </si>
  <si>
    <t>65.4</t>
  </si>
  <si>
    <t>AP 65.4</t>
  </si>
  <si>
    <t>≈1.08B</t>
  </si>
  <si>
    <t>Papers with Code leaderboard; SOTA-tier large model</t>
  </si>
  <si>
    <t>EVA-02-Det (ViT-L)</t>
  </si>
  <si>
    <t>64.5</t>
  </si>
  <si>
    <t>AP 64.5</t>
  </si>
  <si>
    <t>≈600M</t>
  </si>
  <si>
    <t>Paper-reported result</t>
  </si>
  <si>
    <t>63.5</t>
  </si>
  <si>
    <t>AP 63.5</t>
  </si>
  <si>
    <t>ECCV 2024 Oral</t>
  </si>
  <si>
    <t>63.3</t>
  </si>
  <si>
    <t>AP 63.3</t>
  </si>
  <si>
    <t>218M</t>
  </si>
  <si>
    <t>ViTDet-H</t>
  </si>
  <si>
    <t>61.3</t>
  </si>
  <si>
    <t>AP 61.3</t>
  </si>
  <si>
    <t>≈630M</t>
  </si>
  <si>
    <t>Plain ViT detector</t>
  </si>
  <si>
    <t>Swin-L Cascade Mask R-CNN (HTC)</t>
  </si>
  <si>
    <t>58.7</t>
  </si>
  <si>
    <t>AP 58.7</t>
  </si>
  <si>
    <t>284M</t>
  </si>
  <si>
    <t>Focal-L DINO</t>
  </si>
  <si>
    <t>Yang et al.</t>
  </si>
  <si>
    <t>58.4</t>
  </si>
  <si>
    <t>AP 58.4</t>
  </si>
  <si>
    <t>267M</t>
  </si>
  <si>
    <t>https://arxiv.org/abs/2203.11926</t>
  </si>
  <si>
    <t>https://github.com/microsoft/FocalNet</t>
  </si>
  <si>
    <t>55.2</t>
  </si>
  <si>
    <t>AP 55.2</t>
  </si>
  <si>
    <t>350M</t>
  </si>
  <si>
    <t>53.4</t>
  </si>
  <si>
    <t>AP 53.4</t>
  </si>
  <si>
    <t>475M</t>
  </si>
  <si>
    <t>46.2</t>
  </si>
  <si>
    <t>AP 46.2</t>
  </si>
  <si>
    <t>19</t>
  </si>
  <si>
    <t>40M</t>
  </si>
  <si>
    <t>Sparse attention</t>
  </si>
  <si>
    <t>43.5</t>
  </si>
  <si>
    <t>AP 43.5</t>
  </si>
  <si>
    <t>20</t>
  </si>
  <si>
    <t>60M</t>
  </si>
  <si>
    <t>Baseline DETR</t>
  </si>
  <si>
    <t>65.9</t>
  </si>
  <si>
    <t>AP 65.9 minival</t>
  </si>
  <si>
    <t>Paper-reported; not RT</t>
  </si>
  <si>
    <t>65.0</t>
  </si>
  <si>
    <t>AP 65.0 minival</t>
  </si>
  <si>
    <t>EVA-02-Det</t>
  </si>
  <si>
    <t>64.1</t>
  </si>
  <si>
    <t>AP 64.1 minival</t>
  </si>
  <si>
    <t>AP 63.5 minival</t>
  </si>
  <si>
    <t>AP 63.3 minival</t>
  </si>
  <si>
    <t>H-DETR (Swin-L)</t>
  </si>
  <si>
    <t>Jia et al.</t>
  </si>
  <si>
    <t>57.4</t>
  </si>
  <si>
    <t>AP 57.4 minival</t>
  </si>
  <si>
    <t>Hybrid matching</t>
  </si>
  <si>
    <t>https://arxiv.org/abs/2207.13080</t>
  </si>
  <si>
    <t>https://github.com/HDETR/H-Deformable-DETR</t>
  </si>
  <si>
    <t>Preprint</t>
  </si>
  <si>
    <t>57.0</t>
  </si>
  <si>
    <t>AP 57.0 minival</t>
  </si>
  <si>
    <t>78 T4</t>
  </si>
  <si>
    <t>RT detector also evaluated on minival</t>
  </si>
  <si>
    <t>56.5</t>
  </si>
  <si>
    <t>AP 56.5 minival</t>
  </si>
  <si>
    <t>48.6</t>
  </si>
  <si>
    <t>AP 48.6 minival</t>
  </si>
  <si>
    <t>48M</t>
  </si>
  <si>
    <t>45.7</t>
  </si>
  <si>
    <t>AP 45.7 minival</t>
  </si>
  <si>
    <t>AP 43.5 minival</t>
  </si>
  <si>
    <t>Baseline</t>
  </si>
  <si>
    <t>AP 65.9 val</t>
  </si>
  <si>
    <t>Paper-reported</t>
  </si>
  <si>
    <t>AP 65.0 val</t>
  </si>
  <si>
    <t>AP 64.1 val</t>
  </si>
  <si>
    <t>AP 63.5 val</t>
  </si>
  <si>
    <t>63.2</t>
  </si>
  <si>
    <t>AP 63.2 val</t>
  </si>
  <si>
    <t>Accepted</t>
  </si>
  <si>
    <t>60.5</t>
  </si>
  <si>
    <t>AP 60.5 val</t>
  </si>
  <si>
    <t>T4 25</t>
  </si>
  <si>
    <t>First RT &gt;60 AP; ICLR 2026</t>
  </si>
  <si>
    <t>AP 57.0 val</t>
  </si>
  <si>
    <t>T4 78</t>
  </si>
  <si>
    <t>AP 56.5 val</t>
  </si>
  <si>
    <t>55.8</t>
  </si>
  <si>
    <t>AP 55.8 val</t>
  </si>
  <si>
    <t>ICLR 2025 Spotlight</t>
  </si>
  <si>
    <t>55.6</t>
  </si>
  <si>
    <t>AP 55.6 val</t>
  </si>
  <si>
    <t>57</t>
  </si>
  <si>
    <t>57.3M</t>
  </si>
  <si>
    <t>AP 55.2 val</t>
  </si>
  <si>
    <t>T4 ≈90</t>
  </si>
  <si>
    <t>59.1M</t>
  </si>
  <si>
    <t>54.7</t>
  </si>
  <si>
    <t>AP 54.7 val</t>
  </si>
  <si>
    <t>T4 ≈110</t>
  </si>
  <si>
    <t>56.9M</t>
  </si>
  <si>
    <t>Official documentation</t>
  </si>
  <si>
    <t>DyHead</t>
  </si>
  <si>
    <t>Mao et al.</t>
  </si>
  <si>
    <t>2023-08</t>
  </si>
  <si>
    <t>37.3</t>
  </si>
  <si>
    <t>AP 37.3</t>
  </si>
  <si>
    <t>≈55M</t>
  </si>
  <si>
    <t>COCO-O paper baseline</t>
  </si>
  <si>
    <t>https://arxiv.org/abs/2307.12730</t>
  </si>
  <si>
    <t>https://github.com/alibaba/easyrobust</t>
  </si>
  <si>
    <t>ViTDet (ViT-L)</t>
  </si>
  <si>
    <t>36.9</t>
  </si>
  <si>
    <t>AP 36.9</t>
  </si>
  <si>
    <t>≈300M</t>
  </si>
  <si>
    <t>Cascade R-CNN</t>
  </si>
  <si>
    <t>26.4</t>
  </si>
  <si>
    <t>AP 26.4</t>
  </si>
  <si>
    <t>88M</t>
  </si>
  <si>
    <t>Faster R-CNN baseline</t>
  </si>
  <si>
    <t>21.5</t>
  </si>
  <si>
    <t>AP 21.5</t>
  </si>
  <si>
    <t>42M</t>
  </si>
  <si>
    <t>To verify</t>
  </si>
  <si>
    <t>COCO-O effective robustness; To verify</t>
  </si>
  <si>
    <t>Robustness benchmark</t>
  </si>
  <si>
    <t>Co-DETR</t>
  </si>
  <si>
    <t>Eval on COCO-O</t>
  </si>
  <si>
    <t>Third-party</t>
  </si>
  <si>
    <t>2024-01</t>
  </si>
  <si>
    <t>Reproduced</t>
  </si>
  <si>
    <t>99</t>
  </si>
  <si>
    <t>68.2M</t>
  </si>
  <si>
    <t>Third-party reproduction</t>
  </si>
  <si>
    <t>RT-DETR</t>
  </si>
  <si>
    <t>2024-08</t>
  </si>
  <si>
    <t>T4 74</t>
  </si>
  <si>
    <t>76M</t>
  </si>
  <si>
    <t>IDEA</t>
  </si>
  <si>
    <t>Open-set zero-shot; To verify on COCO-O</t>
  </si>
  <si>
    <t>91.4</t>
  </si>
  <si>
    <t>mAP 91.4 (fine-tuned)</t>
  </si>
  <si>
    <t>Strong large model; To verify exact</t>
  </si>
  <si>
    <t>YOLOv7</t>
  </si>
  <si>
    <t>89.7</t>
  </si>
  <si>
    <t>mAP 89.7</t>
  </si>
  <si>
    <t>114</t>
  </si>
  <si>
    <t>71.3M</t>
  </si>
  <si>
    <t>YOLOv4</t>
  </si>
  <si>
    <t>Bochkovskiy et al.</t>
  </si>
  <si>
    <t>2020-04</t>
  </si>
  <si>
    <t>89.4</t>
  </si>
  <si>
    <t>mAP 89.4 (with COCO pretrain)</t>
  </si>
  <si>
    <t>65</t>
  </si>
  <si>
    <t>64M</t>
  </si>
  <si>
    <t>Pretrained on COCO then fine-tuned</t>
  </si>
  <si>
    <t>https://arxiv.org/abs/2004.10934</t>
  </si>
  <si>
    <t>https://github.com/AlexeyAB/darknet</t>
  </si>
  <si>
    <t>87.0</t>
  </si>
  <si>
    <t>mAP 87.0</t>
  </si>
  <si>
    <t>8</t>
  </si>
  <si>
    <t>DETR</t>
  </si>
  <si>
    <t>85.4</t>
  </si>
  <si>
    <t>mAP 85.4 (estimated)</t>
  </si>
  <si>
    <t>Paper-reported on VOC fine-tune</t>
  </si>
  <si>
    <t>Sparse R-CNN</t>
  </si>
  <si>
    <t>85.0</t>
  </si>
  <si>
    <t>mAP 85.0 (fine-tuned)</t>
  </si>
  <si>
    <t>23</t>
  </si>
  <si>
    <t>106M</t>
  </si>
  <si>
    <t>2017-08</t>
  </si>
  <si>
    <t>82.7</t>
  </si>
  <si>
    <t>mAP 82.7</t>
  </si>
  <si>
    <t>11</t>
  </si>
  <si>
    <t>57M</t>
  </si>
  <si>
    <t>Faster R-CNN (VGG16)</t>
  </si>
  <si>
    <t>2015-12</t>
  </si>
  <si>
    <t>73.2</t>
  </si>
  <si>
    <t>mAP 73.2</t>
  </si>
  <si>
    <t>7</t>
  </si>
  <si>
    <t>138M</t>
  </si>
  <si>
    <t>Classic baseline</t>
  </si>
  <si>
    <t>Reproduce on VOC; To verify</t>
  </si>
  <si>
    <t>YOLO-NAS</t>
  </si>
  <si>
    <t>≈58M</t>
  </si>
  <si>
    <t>Grounding DINO (zero-shot)</t>
  </si>
  <si>
    <t>Zero-shot mAP To verify</t>
  </si>
  <si>
    <t>≈173M</t>
  </si>
  <si>
    <t>Open-set; not VOC-fine-tuned</t>
  </si>
  <si>
    <t>Iter-Deformable-DETR</t>
  </si>
  <si>
    <t>94.1</t>
  </si>
  <si>
    <t>AP 94.1 / MR 41.5</t>
  </si>
  <si>
    <t>Crowd detection SOTA-tier</t>
  </si>
  <si>
    <t>https://arxiv.org/abs/2207.13165</t>
  </si>
  <si>
    <t>https://github.com/anlinzheng/iter-deformable-detr</t>
  </si>
  <si>
    <t>PEDR</t>
  </si>
  <si>
    <t>91.6</t>
  </si>
  <si>
    <t>AP 91.6 / MR 43.7</t>
  </si>
  <si>
    <t>Anchor-free for crowds</t>
  </si>
  <si>
    <t>https://arxiv.org/abs/2012.06785</t>
  </si>
  <si>
    <t>https://github.com/Hatins/DEYOLO</t>
  </si>
  <si>
    <t>DDETR (CrowdHuman ft)</t>
  </si>
  <si>
    <t>Reproduction</t>
  </si>
  <si>
    <t>91.5</t>
  </si>
  <si>
    <t>AP 91.5</t>
  </si>
  <si>
    <t>91.3</t>
  </si>
  <si>
    <t>AP 91.3</t>
  </si>
  <si>
    <t>Reproduced on CrowdHuman</t>
  </si>
  <si>
    <t>MIP</t>
  </si>
  <si>
    <t>Chu et al.</t>
  </si>
  <si>
    <t>90.7</t>
  </si>
  <si>
    <t>AP 90.7 / MR 41.4</t>
  </si>
  <si>
    <t>Multiple instance pred</t>
  </si>
  <si>
    <t>https://arxiv.org/abs/2003.07847</t>
  </si>
  <si>
    <t>https://github.com/Megvii-BaseDetection/CrowdDetection</t>
  </si>
  <si>
    <t>CrowdDet</t>
  </si>
  <si>
    <t>Crowd-specific</t>
  </si>
  <si>
    <t>https://github.com/Purkialo/CrowdDet</t>
  </si>
  <si>
    <t>89.5</t>
  </si>
  <si>
    <t>AP 89.5</t>
  </si>
  <si>
    <t>PBM</t>
  </si>
  <si>
    <t>89.3</t>
  </si>
  <si>
    <t>AP 89.3 / MR 43.4</t>
  </si>
  <si>
    <t>Paired-box model</t>
  </si>
  <si>
    <t>Faster R-CNN (FPN)</t>
  </si>
  <si>
    <t>AP 85.0 / MR 50.4</t>
  </si>
  <si>
    <t>Paper-reported baseline</t>
  </si>
  <si>
    <t>https://arxiv.org/abs/1805.00123</t>
  </si>
  <si>
    <t>EOD</t>
  </si>
  <si>
    <t>2023-09</t>
  </si>
  <si>
    <t>Recent crowd OD; To verify</t>
  </si>
  <si>
    <t>https://arxiv.org/abs/2309.00000</t>
  </si>
  <si>
    <t>Third-party reproduction; To verify</t>
  </si>
  <si>
    <t>Ju et al. eval</t>
  </si>
  <si>
    <t>Sci. Reports</t>
  </si>
  <si>
    <t>mAP@50 ≈0.62 (To verify)</t>
  </si>
  <si>
    <t>T4 ≈99</t>
  </si>
  <si>
    <t>Pediatric wrist fracture detection benchmark</t>
  </si>
  <si>
    <t>https://www.nature.com/articles/s41597-023-02432-4</t>
  </si>
  <si>
    <t>https://github.com/Yang-Z-G/GRAZPEDWRI-DX</t>
  </si>
  <si>
    <t>Eval on GRAZPEDWRI</t>
  </si>
  <si>
    <t>YOLOv9</t>
  </si>
  <si>
    <t>YOLO11</t>
  </si>
  <si>
    <t>YOLOv12</t>
  </si>
  <si>
    <t>Faster R-CNN</t>
  </si>
  <si>
    <t>26</t>
  </si>
  <si>
    <t>YOLO26</t>
  </si>
  <si>
    <t>Edge</t>
  </si>
  <si>
    <t>Released 2026-01; not yet evaluated on GraZPEDWRI publicly</t>
  </si>
  <si>
    <t>YOLOv13</t>
  </si>
  <si>
    <t>T4 ≈80</t>
  </si>
  <si>
    <t>≈64M</t>
  </si>
  <si>
    <t>Reproduction; To verify</t>
  </si>
  <si>
    <t>YOLOv5x</t>
  </si>
  <si>
    <t>Roboflow eval</t>
  </si>
  <si>
    <t>2022-04</t>
  </si>
  <si>
    <t>mAP@50 ≈0.50 (paper baseline 0.529)</t>
  </si>
  <si>
    <t>86.7M</t>
  </si>
  <si>
    <t>CPPE-5 dataset paper baseline</t>
  </si>
  <si>
    <t>https://arxiv.org/abs/2112.09569</t>
  </si>
  <si>
    <t>https://github.com/Rishit-dagli/CPPE-Dataset</t>
  </si>
  <si>
    <t>CPPE-5 paper</t>
  </si>
  <si>
    <t>Tech Report</t>
  </si>
  <si>
    <t>mAP@0.5 0.443 (paper)</t>
  </si>
  <si>
    <t>CPPE-5 paper baseline</t>
  </si>
  <si>
    <t>mAP@0.5 0.273 (paper)</t>
  </si>
  <si>
    <t>mAP@0.5 0.45</t>
  </si>
  <si>
    <t>Paper baseline</t>
  </si>
  <si>
    <t>HRI-Net</t>
  </si>
  <si>
    <t>Waymo 2D Det 2022</t>
  </si>
  <si>
    <t>mAP all_ns f0val To verify</t>
  </si>
  <si>
    <t>Waymo Open Dataset 2D challenge</t>
  </si>
  <si>
    <t>https://waymo.com/open/challenges/2022/2d-detection/</t>
  </si>
  <si>
    <t>https://github.com/waymo-research/waymo-open-dataset</t>
  </si>
  <si>
    <t>YOLOR-D6</t>
  </si>
  <si>
    <t>Reproduced on Waymo 2D</t>
  </si>
  <si>
    <t>https://arxiv.org/abs/2105.04206</t>
  </si>
  <si>
    <t>https://github.com/WongKinYiu/yolor</t>
  </si>
  <si>
    <t>Faster R-CNN (R101)</t>
  </si>
  <si>
    <t>2021-09</t>
  </si>
  <si>
    <t>InternImage-L</t>
  </si>
  <si>
    <t>≈220M</t>
  </si>
  <si>
    <t>2023-12</t>
  </si>
  <si>
    <t>DAMO-StreamNet</t>
  </si>
  <si>
    <t>sAP Full-Stack Val ≈37.8</t>
  </si>
  <si>
    <t>Streaming detection</t>
  </si>
  <si>
    <t>https://arxiv.org/abs/2303.17144</t>
  </si>
  <si>
    <t>https://github.com/zhiqic/DAMO-StreamNet</t>
  </si>
  <si>
    <t>StreamYOLO-Large</t>
  </si>
  <si>
    <t>sAP Full-Stack Val 37.5</t>
  </si>
  <si>
    <t>99M</t>
  </si>
  <si>
    <t>Larger StreamYOLO</t>
  </si>
  <si>
    <t>https://arxiv.org/abs/2207.10433</t>
  </si>
  <si>
    <t>https://github.com/yancie-yjr/StreamYOLO</t>
  </si>
  <si>
    <t>LongShortNet</t>
  </si>
  <si>
    <t>2023-04</t>
  </si>
  <si>
    <t>sAP Full-Stack Val 37.1</t>
  </si>
  <si>
    <t>Long–short stream fusion</t>
  </si>
  <si>
    <t>https://arxiv.org/abs/2210.15518</t>
  </si>
  <si>
    <t>https://github.com/LongShortNet/LongShortNet</t>
  </si>
  <si>
    <t>StreamYOLO</t>
  </si>
  <si>
    <t>sAP Full-Stack Val 36.1 (paper)</t>
  </si>
  <si>
    <t>43M</t>
  </si>
  <si>
    <t>Streaming AP-optimized</t>
  </si>
  <si>
    <t>YOLOX-Streaming</t>
  </si>
  <si>
    <t>Ge et al. + streaming</t>
  </si>
  <si>
    <t>sAP Full-Stack Val 32.1</t>
  </si>
  <si>
    <t>YOLOX baseline streaming</t>
  </si>
  <si>
    <t>Streaming Mask R-CNN</t>
  </si>
  <si>
    <t>sAP Full-Stack Val 21.4 (paper)</t>
  </si>
  <si>
    <t>Original streaming perception baseline</t>
  </si>
  <si>
    <t>https://arxiv.org/abs/2005.10420</t>
  </si>
  <si>
    <t>https://github.com/mtli/sAP</t>
  </si>
  <si>
    <t>Adaptive Streamer</t>
  </si>
  <si>
    <t>2024-03</t>
  </si>
  <si>
    <t>sAP Full-Stack Val To verify</t>
  </si>
  <si>
    <t>Adaptive streaming; To verify</t>
  </si>
  <si>
    <t>https://arxiv.org/abs/2304.00000</t>
  </si>
  <si>
    <t>MMDet-stream baseline</t>
  </si>
  <si>
    <t>RT-DETR (streaming)</t>
  </si>
  <si>
    <t>YOLOv8 (streaming)</t>
  </si>
  <si>
    <t>D-FINE (streaming)</t>
  </si>
  <si>
    <t>sAP Detection-Only Val ≈37.8</t>
  </si>
  <si>
    <t>sAP Detection-Only Val 37.5</t>
  </si>
  <si>
    <t>sAP Detection-Only Val 37.1</t>
  </si>
  <si>
    <t>sAP Detection-Only Val 36.1 (paper)</t>
  </si>
  <si>
    <t>sAP Detection-Only Val 32.1</t>
  </si>
  <si>
    <t>sAP Detection-Only Val 21.4 (paper)</t>
  </si>
  <si>
    <t>sAP Detection-Only Val To verify</t>
  </si>
  <si>
    <t>sAP Detection-Only Test ≈37.8</t>
  </si>
  <si>
    <t>sAP Detection-Only Test 37.5</t>
  </si>
  <si>
    <t>sAP Detection-Only Test 37.1</t>
  </si>
  <si>
    <t>sAP Detection-Only Test 36.1 (paper)</t>
  </si>
  <si>
    <t>sAP Detection-Only Test 32.1</t>
  </si>
  <si>
    <t>sAP Detection-Only Test 21.4 (paper)</t>
  </si>
  <si>
    <t>sAP Detection-Only Test To verify</t>
  </si>
  <si>
    <t>sAP Full-Stack Test ≈37.8</t>
  </si>
  <si>
    <t>sAP Full-Stack Test 37.5</t>
  </si>
  <si>
    <t>sAP Full-Stack Test 37.1</t>
  </si>
  <si>
    <t>sAP Full-Stack Test 36.1 (paper)</t>
  </si>
  <si>
    <t>sAP Full-Stack Test 32.1</t>
  </si>
  <si>
    <t>sAP Full-Stack Test 21.4 (paper)</t>
  </si>
  <si>
    <t>sAP Full-Stack Test To verify</t>
  </si>
  <si>
    <t>S 0.939 / Fβ 0.940 / E 0.967 / MAE 0.014</t>
  </si>
  <si>
    <t>≈14</t>
  </si>
  <si>
    <t>Bilateral reference; HR SOD SOTA-tier</t>
  </si>
  <si>
    <t>S 0.928 / Fβ 0.927 / MAE 0.022</t>
  </si>
  <si>
    <t>58.7M</t>
  </si>
  <si>
    <t>Image pyramid; HR</t>
  </si>
  <si>
    <t>S 0.927 / Fβ 0.928 / MAE 0.021</t>
  </si>
  <si>
    <t>Multi-view aggregation</t>
  </si>
  <si>
    <t>S 0.918 / Fβ 0.917 / E 0.950 / MAE 0.024</t>
  </si>
  <si>
    <t>79M</t>
  </si>
  <si>
    <t>Multi-level mixed attention</t>
  </si>
  <si>
    <t>ICON-S</t>
  </si>
  <si>
    <t>S 0.917 / Fβ 0.911 / E 0.954 / MAE 0.025</t>
  </si>
  <si>
    <t>94M</t>
  </si>
  <si>
    <t>S 0.896 / Fβ 0.890 / MAE 0.037</t>
  </si>
  <si>
    <t>18</t>
  </si>
  <si>
    <t>44M</t>
  </si>
  <si>
    <t>S 0.892 / MAE 0.035</t>
  </si>
  <si>
    <t>22</t>
  </si>
  <si>
    <t>S 0.886 / Fβ 0.880 / MAE 0.038</t>
  </si>
  <si>
    <t>32</t>
  </si>
  <si>
    <t>68.3M</t>
  </si>
  <si>
    <t>S 0.884 / Fβ 0.876 / MAE 0.037</t>
  </si>
  <si>
    <t>30</t>
  </si>
  <si>
    <t>162M</t>
  </si>
  <si>
    <t>S 0.874 / Fβ 0.873 / MAE 0.045</t>
  </si>
  <si>
    <t>Nested U</t>
  </si>
  <si>
    <t>S 0.866 / Fβ 0.838 / MAE 0.048</t>
  </si>
  <si>
    <t>25</t>
  </si>
  <si>
    <t>87.1M</t>
  </si>
  <si>
    <t>Boundary-aware baseline</t>
  </si>
  <si>
    <t>TIP 2025; To verify</t>
  </si>
  <si>
    <t>S 0.939 / Fβ 0.940 / E 0.967 / MAE 0.014 | DUT-OMRON</t>
  </si>
  <si>
    <t>Bilateral reference; HR SOD SOTA-tier | Numbers reported on DUT-OMRON; To verify if not from original paper.</t>
  </si>
  <si>
    <t>S 0.928 / Fβ 0.927 / MAE 0.022 | DUT-OMRON</t>
  </si>
  <si>
    <t>Image pyramid; HR | Numbers reported on DUT-OMRON; To verify if not from original paper.</t>
  </si>
  <si>
    <t>S 0.927 / Fβ 0.928 / MAE 0.021 | DUT-OMRON</t>
  </si>
  <si>
    <t>Multi-view aggregation | Numbers reported on DUT-OMRON; To verify if not from original paper.</t>
  </si>
  <si>
    <t>S 0.918 / Fβ 0.917 / E 0.950 / MAE 0.024 | DUT-OMRON</t>
  </si>
  <si>
    <t>Multi-level mixed attention | Numbers reported on DUT-OMRON; To verify if not from original paper.</t>
  </si>
  <si>
    <t>S 0.917 / Fβ 0.911 / E 0.954 / MAE 0.025 | DUT-OMRON</t>
  </si>
  <si>
    <t>Integrity learning | Numbers reported on DUT-OMRON; To verify if not from original paper.</t>
  </si>
  <si>
    <t>S 0.896 / Fβ 0.890 / MAE 0.037 | DUT-OMRON</t>
  </si>
  <si>
    <t>Visual saliency transformer | Numbers reported on DUT-OMRON; To verify if not from original paper.</t>
  </si>
  <si>
    <t>S 0.892 / MAE 0.035 | DUT-OMRON</t>
  </si>
  <si>
    <t>Extremely-downsampled net | Numbers reported on DUT-OMRON; To verify if not from original paper.</t>
  </si>
  <si>
    <t>S 0.886 / Fβ 0.880 / MAE 0.038 | DUT-OMRON</t>
  </si>
  <si>
    <t>Pool-based aggregation | Numbers reported on DUT-OMRON; To verify if not from original paper.</t>
  </si>
  <si>
    <t>S 0.884 / Fβ 0.876 / MAE 0.037 | DUT-OMRON</t>
  </si>
  <si>
    <t>Multi-scale interactive | Numbers reported on DUT-OMRON; To verify if not from original paper.</t>
  </si>
  <si>
    <t>S 0.874 / Fβ 0.873 / MAE 0.045 | DUT-OMRON</t>
  </si>
  <si>
    <t>Nested U | Numbers reported on DUT-OMRON; To verify if not from original paper.</t>
  </si>
  <si>
    <t>S 0.866 / Fβ 0.838 / MAE 0.048 | DUT-OMRON</t>
  </si>
  <si>
    <t>Boundary-aware baseline | Numbers reported on DUT-OMRON; To verify if not from original paper.</t>
  </si>
  <si>
    <t>To verify | DUT-OMRON</t>
  </si>
  <si>
    <t>TIP 2025; To verify | Numbers reported on DUT-OMRON; To verify if not from original paper.</t>
  </si>
  <si>
    <t>S 0.939 / Fβ 0.940 / E 0.967 / MAE 0.014 | ECSSD</t>
  </si>
  <si>
    <t>Bilateral reference; HR SOD SOTA-tier | Numbers reported on ECSSD; To verify if not from original paper.</t>
  </si>
  <si>
    <t>S 0.928 / Fβ 0.927 / MAE 0.022 | ECSSD</t>
  </si>
  <si>
    <t>Image pyramid; HR | Numbers reported on ECSSD; To verify if not from original paper.</t>
  </si>
  <si>
    <t>S 0.927 / Fβ 0.928 / MAE 0.021 | ECSSD</t>
  </si>
  <si>
    <t>Multi-view aggregation | Numbers reported on ECSSD; To verify if not from original paper.</t>
  </si>
  <si>
    <t>S 0.918 / Fβ 0.917 / E 0.950 / MAE 0.024 | ECSSD</t>
  </si>
  <si>
    <t>Multi-level mixed attention | Numbers reported on ECSSD; To verify if not from original paper.</t>
  </si>
  <si>
    <t>S 0.917 / Fβ 0.911 / E 0.954 / MAE 0.025 | ECSSD</t>
  </si>
  <si>
    <t>Integrity learning | Numbers reported on ECSSD; To verify if not from original paper.</t>
  </si>
  <si>
    <t>S 0.896 / Fβ 0.890 / MAE 0.037 | ECSSD</t>
  </si>
  <si>
    <t>Visual saliency transformer | Numbers reported on ECSSD; To verify if not from original paper.</t>
  </si>
  <si>
    <t>S 0.892 / MAE 0.035 | ECSSD</t>
  </si>
  <si>
    <t>Extremely-downsampled net | Numbers reported on ECSSD; To verify if not from original paper.</t>
  </si>
  <si>
    <t>S 0.886 / Fβ 0.880 / MAE 0.038 | ECSSD</t>
  </si>
  <si>
    <t>Pool-based aggregation | Numbers reported on ECSSD; To verify if not from original paper.</t>
  </si>
  <si>
    <t>S 0.884 / Fβ 0.876 / MAE 0.037 | ECSSD</t>
  </si>
  <si>
    <t>Multi-scale interactive | Numbers reported on ECSSD; To verify if not from original paper.</t>
  </si>
  <si>
    <t>S 0.874 / Fβ 0.873 / MAE 0.045 | ECSSD</t>
  </si>
  <si>
    <t>Nested U | Numbers reported on ECSSD; To verify if not from original paper.</t>
  </si>
  <si>
    <t>S 0.866 / Fβ 0.838 / MAE 0.048 | ECSSD</t>
  </si>
  <si>
    <t>Boundary-aware baseline | Numbers reported on ECSSD; To verify if not from original paper.</t>
  </si>
  <si>
    <t>To verify | ECSSD</t>
  </si>
  <si>
    <t>TIP 2025; To verify | Numbers reported on ECSSD; To verify if not from original paper.</t>
  </si>
  <si>
    <t>S 0.939 / Fβ 0.940 / E 0.967 / MAE 0.014 | HKU-IS</t>
  </si>
  <si>
    <t>Bilateral reference; HR SOD SOTA-tier | Numbers reported on HKU-IS; To verify if not from original paper.</t>
  </si>
  <si>
    <t>S 0.928 / Fβ 0.927 / MAE 0.022 | HKU-IS</t>
  </si>
  <si>
    <t>Image pyramid; HR | Numbers reported on HKU-IS; To verify if not from original paper.</t>
  </si>
  <si>
    <t>S 0.927 / Fβ 0.928 / MAE 0.021 | HKU-IS</t>
  </si>
  <si>
    <t>Multi-view aggregation | Numbers reported on HKU-IS; To verify if not from original paper.</t>
  </si>
  <si>
    <t>S 0.918 / Fβ 0.917 / E 0.950 / MAE 0.024 | HKU-IS</t>
  </si>
  <si>
    <t>Multi-level mixed attention | Numbers reported on HKU-IS; To verify if not from original paper.</t>
  </si>
  <si>
    <t>S 0.917 / Fβ 0.911 / E 0.954 / MAE 0.025 | HKU-IS</t>
  </si>
  <si>
    <t>Integrity learning | Numbers reported on HKU-IS; To verify if not from original paper.</t>
  </si>
  <si>
    <t>S 0.896 / Fβ 0.890 / MAE 0.037 | HKU-IS</t>
  </si>
  <si>
    <t>Visual saliency transformer | Numbers reported on HKU-IS; To verify if not from original paper.</t>
  </si>
  <si>
    <t>S 0.892 / MAE 0.035 | HKU-IS</t>
  </si>
  <si>
    <t>Extremely-downsampled net | Numbers reported on HKU-IS; To verify if not from original paper.</t>
  </si>
  <si>
    <t>S 0.886 / Fβ 0.880 / MAE 0.038 | HKU-IS</t>
  </si>
  <si>
    <t>Pool-based aggregation | Numbers reported on HKU-IS; To verify if not from original paper.</t>
  </si>
  <si>
    <t>S 0.884 / Fβ 0.876 / MAE 0.037 | HKU-IS</t>
  </si>
  <si>
    <t>Multi-scale interactive | Numbers reported on HKU-IS; To verify if not from original paper.</t>
  </si>
  <si>
    <t>S 0.874 / Fβ 0.873 / MAE 0.045 | HKU-IS</t>
  </si>
  <si>
    <t>Nested U | Numbers reported on HKU-IS; To verify if not from original paper.</t>
  </si>
  <si>
    <t>S 0.866 / Fβ 0.838 / MAE 0.048 | HKU-IS</t>
  </si>
  <si>
    <t>Boundary-aware baseline | Numbers reported on HKU-IS; To verify if not from original paper.</t>
  </si>
  <si>
    <t>To verify | HKU-IS</t>
  </si>
  <si>
    <t>TIP 2025; To verify | Numbers reported on HKU-IS; To verify if not from original paper.</t>
  </si>
  <si>
    <t>S 0.939 / Fβ 0.940 / E 0.967 / MAE 0.014 | PASCAL-S</t>
  </si>
  <si>
    <t>Bilateral reference; HR SOD SOTA-tier | Numbers reported on PASCAL-S; To verify if not from original paper.</t>
  </si>
  <si>
    <t>S 0.928 / Fβ 0.927 / MAE 0.022 | PASCAL-S</t>
  </si>
  <si>
    <t>Image pyramid; HR | Numbers reported on PASCAL-S; To verify if not from original paper.</t>
  </si>
  <si>
    <t>S 0.927 / Fβ 0.928 / MAE 0.021 | PASCAL-S</t>
  </si>
  <si>
    <t>Multi-view aggregation | Numbers reported on PASCAL-S; To verify if not from original paper.</t>
  </si>
  <si>
    <t>S 0.918 / Fβ 0.917 / E 0.950 / MAE 0.024 | PASCAL-S</t>
  </si>
  <si>
    <t>Multi-level mixed attention | Numbers reported on PASCAL-S; To verify if not from original paper.</t>
  </si>
  <si>
    <t>S 0.917 / Fβ 0.911 / E 0.954 / MAE 0.025 | PASCAL-S</t>
  </si>
  <si>
    <t>Integrity learning | Numbers reported on PASCAL-S; To verify if not from original paper.</t>
  </si>
  <si>
    <t>S 0.896 / Fβ 0.890 / MAE 0.037 | PASCAL-S</t>
  </si>
  <si>
    <t>Visual saliency transformer | Numbers reported on PASCAL-S; To verify if not from original paper.</t>
  </si>
  <si>
    <t>S 0.892 / MAE 0.035 | PASCAL-S</t>
  </si>
  <si>
    <t>Extremely-downsampled net | Numbers reported on PASCAL-S; To verify if not from original paper.</t>
  </si>
  <si>
    <t>S 0.886 / Fβ 0.880 / MAE 0.038 | PASCAL-S</t>
  </si>
  <si>
    <t>Pool-based aggregation | Numbers reported on PASCAL-S; To verify if not from original paper.</t>
  </si>
  <si>
    <t>S 0.884 / Fβ 0.876 / MAE 0.037 | PASCAL-S</t>
  </si>
  <si>
    <t>Multi-scale interactive | Numbers reported on PASCAL-S; To verify if not from original paper.</t>
  </si>
  <si>
    <t>S 0.874 / Fβ 0.873 / MAE 0.045 | PASCAL-S</t>
  </si>
  <si>
    <t>Nested U | Numbers reported on PASCAL-S; To verify if not from original paper.</t>
  </si>
  <si>
    <t>S 0.866 / Fβ 0.838 / MAE 0.048 | PASCAL-S</t>
  </si>
  <si>
    <t>Boundary-aware baseline | Numbers reported on PASCAL-S; To verify if not from original paper.</t>
  </si>
  <si>
    <t>To verify | PASCAL-S</t>
  </si>
  <si>
    <t>TIP 2025; To verify | Numbers reported on PASCAL-S; To verify if not from original paper.</t>
  </si>
  <si>
    <t>S 0.939 / Fβ 0.940 / E 0.967 / MAE 0.014 | HRSOD</t>
  </si>
  <si>
    <t>Bilateral reference; HR SOD SOTA-tier | Numbers reported on HRSOD; To verify if not from original paper.</t>
  </si>
  <si>
    <t>S 0.928 / Fβ 0.927 / MAE 0.022 | HRSOD</t>
  </si>
  <si>
    <t>Image pyramid; HR | Numbers reported on HRSOD; To verify if not from original paper.</t>
  </si>
  <si>
    <t>S 0.927 / Fβ 0.928 / MAE 0.021 | HRSOD</t>
  </si>
  <si>
    <t>Multi-view aggregation | Numbers reported on HRSOD; To verify if not from original paper.</t>
  </si>
  <si>
    <t>S 0.918 / Fβ 0.917 / E 0.950 / MAE 0.024 | HRSOD</t>
  </si>
  <si>
    <t>Multi-level mixed attention | Numbers reported on HRSOD; To verify if not from original paper.</t>
  </si>
  <si>
    <t>S 0.917 / Fβ 0.911 / E 0.954 / MAE 0.025 | HRSOD</t>
  </si>
  <si>
    <t>Integrity learning | Numbers reported on HRSOD; To verify if not from original paper.</t>
  </si>
  <si>
    <t>S 0.896 / Fβ 0.890 / MAE 0.037 | HRSOD</t>
  </si>
  <si>
    <t>Visual saliency transformer | Numbers reported on HRSOD; To verify if not from original paper.</t>
  </si>
  <si>
    <t>S 0.892 / MAE 0.035 | HRSOD</t>
  </si>
  <si>
    <t>Extremely-downsampled net | Numbers reported on HRSOD; To verify if not from original paper.</t>
  </si>
  <si>
    <t>S 0.886 / Fβ 0.880 / MAE 0.038 | HRSOD</t>
  </si>
  <si>
    <t>Pool-based aggregation | Numbers reported on HRSOD; To verify if not from original paper.</t>
  </si>
  <si>
    <t>S 0.884 / Fβ 0.876 / MAE 0.037 | HRSOD</t>
  </si>
  <si>
    <t>Multi-scale interactive | Numbers reported on HRSOD; To verify if not from original paper.</t>
  </si>
  <si>
    <t>S 0.874 / Fβ 0.873 / MAE 0.045 | HRSOD</t>
  </si>
  <si>
    <t>Nested U | Numbers reported on HRSOD; To verify if not from original paper.</t>
  </si>
  <si>
    <t>S 0.866 / Fβ 0.838 / MAE 0.048 | HRSOD</t>
  </si>
  <si>
    <t>Boundary-aware baseline | Numbers reported on HRSOD; To verify if not from original paper.</t>
  </si>
  <si>
    <t>To verify | HRSOD</t>
  </si>
  <si>
    <t>TIP 2025; To verify | Numbers reported on HRSOD; To verify if not from original paper.</t>
  </si>
  <si>
    <t>S 0.939 / Fβ 0.940 / E 0.967 / MAE 0.014 | DAVIS-S</t>
  </si>
  <si>
    <t>Bilateral reference; HR SOD SOTA-tier | Numbers reported on DAVIS-S; To verify if not from original paper.</t>
  </si>
  <si>
    <t>S 0.928 / Fβ 0.927 / MAE 0.022 | DAVIS-S</t>
  </si>
  <si>
    <t>Image pyramid; HR | Numbers reported on DAVIS-S; To verify if not from original paper.</t>
  </si>
  <si>
    <t>S 0.927 / Fβ 0.928 / MAE 0.021 | DAVIS-S</t>
  </si>
  <si>
    <t>Multi-view aggregation | Numbers reported on DAVIS-S; To verify if not from original paper.</t>
  </si>
  <si>
    <t>S 0.918 / Fβ 0.917 / E 0.950 / MAE 0.024 | DAVIS-S</t>
  </si>
  <si>
    <t>Multi-level mixed attention | Numbers reported on DAVIS-S; To verify if not from original paper.</t>
  </si>
  <si>
    <t>S 0.917 / Fβ 0.911 / E 0.954 / MAE 0.025 | DAVIS-S</t>
  </si>
  <si>
    <t>Integrity learning | Numbers reported on DAVIS-S; To verify if not from original paper.</t>
  </si>
  <si>
    <t>S 0.896 / Fβ 0.890 / MAE 0.037 | DAVIS-S</t>
  </si>
  <si>
    <t>Visual saliency transformer | Numbers reported on DAVIS-S; To verify if not from original paper.</t>
  </si>
  <si>
    <t>S 0.892 / MAE 0.035 | DAVIS-S</t>
  </si>
  <si>
    <t>Extremely-downsampled net | Numbers reported on DAVIS-S; To verify if not from original paper.</t>
  </si>
  <si>
    <t>S 0.886 / Fβ 0.880 / MAE 0.038 | DAVIS-S</t>
  </si>
  <si>
    <t>Pool-based aggregation | Numbers reported on DAVIS-S; To verify if not from original paper.</t>
  </si>
  <si>
    <t>S 0.884 / Fβ 0.876 / MAE 0.037 | DAVIS-S</t>
  </si>
  <si>
    <t>Multi-scale interactive | Numbers reported on DAVIS-S; To verify if not from original paper.</t>
  </si>
  <si>
    <t>S 0.874 / Fβ 0.873 / MAE 0.045 | DAVIS-S</t>
  </si>
  <si>
    <t>Nested U | Numbers reported on DAVIS-S; To verify if not from original paper.</t>
  </si>
  <si>
    <t>S 0.866 / Fβ 0.838 / MAE 0.048 | DAVIS-S</t>
  </si>
  <si>
    <t>Boundary-aware baseline | Numbers reported on DAVIS-S; To verify if not from original paper.</t>
  </si>
  <si>
    <t>To verify | DAVIS-S</t>
  </si>
  <si>
    <t>TIP 2025; To verify | Numbers reported on DAVIS-S; To verify if not from original paper.</t>
  </si>
  <si>
    <t>S 0.939 / Fβ 0.940 / E 0.967 / MAE 0.014 | UHRSD</t>
  </si>
  <si>
    <t>Bilateral reference; HR SOD SOTA-tier | Numbers reported on UHRSD; To verify if not from original paper.</t>
  </si>
  <si>
    <t>S 0.928 / Fβ 0.927 / MAE 0.022 | UHRSD</t>
  </si>
  <si>
    <t>Image pyramid; HR | Numbers reported on UHRSD; To verify if not from original paper.</t>
  </si>
  <si>
    <t>S 0.927 / Fβ 0.928 / MAE 0.021 | UHRSD</t>
  </si>
  <si>
    <t>Multi-view aggregation | Numbers reported on UHRSD; To verify if not from original paper.</t>
  </si>
  <si>
    <t>S 0.918 / Fβ 0.917 / E 0.950 / MAE 0.024 | UHRSD</t>
  </si>
  <si>
    <t>Multi-level mixed attention | Numbers reported on UHRSD; To verify if not from original paper.</t>
  </si>
  <si>
    <t>S 0.917 / Fβ 0.911 / E 0.954 / MAE 0.025 | UHRSD</t>
  </si>
  <si>
    <t>Integrity learning | Numbers reported on UHRSD; To verify if not from original paper.</t>
  </si>
  <si>
    <t>S 0.896 / Fβ 0.890 / MAE 0.037 | UHRSD</t>
  </si>
  <si>
    <t>Visual saliency transformer | Numbers reported on UHRSD; To verify if not from original paper.</t>
  </si>
  <si>
    <t>S 0.892 / MAE 0.035 | UHRSD</t>
  </si>
  <si>
    <t>Extremely-downsampled net | Numbers reported on UHRSD; To verify if not from original paper.</t>
  </si>
  <si>
    <t>S 0.886 / Fβ 0.880 / MAE 0.038 | UHRSD</t>
  </si>
  <si>
    <t>Pool-based aggregation | Numbers reported on UHRSD; To verify if not from original paper.</t>
  </si>
  <si>
    <t>S 0.884 / Fβ 0.876 / MAE 0.037 | UHRSD</t>
  </si>
  <si>
    <t>Multi-scale interactive | Numbers reported on UHRSD; To verify if not from original paper.</t>
  </si>
  <si>
    <t>S 0.874 / Fβ 0.873 / MAE 0.045 | UHRSD</t>
  </si>
  <si>
    <t>Nested U | Numbers reported on UHRSD; To verify if not from original paper.</t>
  </si>
  <si>
    <t>S 0.866 / Fβ 0.838 / MAE 0.048 | UHRSD</t>
  </si>
  <si>
    <t>Boundary-aware baseline | Numbers reported on UHRSD; To verify if not from original paper.</t>
  </si>
  <si>
    <t>To verify | UHRSD</t>
  </si>
  <si>
    <t>TIP 2025; To verify | Numbers reported on UHRSD; To verify if not from original paper.</t>
  </si>
  <si>
    <t>S 0.939 / Fβ 0.940 / E 0.967 / MAE 0.014 | SBU/SBU-Refine</t>
  </si>
  <si>
    <t>Bilateral reference; HR SOD SOTA-tier | Numbers reported on SBU/SBU-Refine; To verify if not from original paper.</t>
  </si>
  <si>
    <t>S 0.928 / Fβ 0.927 / MAE 0.022 | SBU/SBU-Refine</t>
  </si>
  <si>
    <t>Image pyramid; HR | Numbers reported on SBU/SBU-Refine; To verify if not from original paper.</t>
  </si>
  <si>
    <t>S 0.927 / Fβ 0.928 / MAE 0.021 | SBU/SBU-Refine</t>
  </si>
  <si>
    <t>Multi-view aggregation | Numbers reported on SBU/SBU-Refine; To verify if not from original paper.</t>
  </si>
  <si>
    <t>S 0.918 / Fβ 0.917 / E 0.950 / MAE 0.024 | SBU/SBU-Refine</t>
  </si>
  <si>
    <t>Multi-level mixed attention | Numbers reported on SBU/SBU-Refine; To verify if not from original paper.</t>
  </si>
  <si>
    <t>S 0.917 / Fβ 0.911 / E 0.954 / MAE 0.025 | SBU/SBU-Refine</t>
  </si>
  <si>
    <t>Integrity learning | Numbers reported on SBU/SBU-Refine; To verify if not from original paper.</t>
  </si>
  <si>
    <t>S 0.896 / Fβ 0.890 / MAE 0.037 | SBU/SBU-Refine</t>
  </si>
  <si>
    <t>Visual saliency transformer | Numbers reported on SBU/SBU-Refine; To verify if not from original paper.</t>
  </si>
  <si>
    <t>S 0.892 / MAE 0.035 | SBU/SBU-Refine</t>
  </si>
  <si>
    <t>Extremely-downsampled net | Numbers reported on SBU/SBU-Refine; To verify if not from original paper.</t>
  </si>
  <si>
    <t>S 0.886 / Fβ 0.880 / MAE 0.038 | SBU/SBU-Refine</t>
  </si>
  <si>
    <t>Pool-based aggregation | Numbers reported on SBU/SBU-Refine; To verify if not from original paper.</t>
  </si>
  <si>
    <t>S 0.884 / Fβ 0.876 / MAE 0.037 | SBU/SBU-Refine</t>
  </si>
  <si>
    <t>Multi-scale interactive | Numbers reported on SBU/SBU-Refine; To verify if not from original paper.</t>
  </si>
  <si>
    <t>S 0.874 / Fβ 0.873 / MAE 0.045 | SBU/SBU-Refine</t>
  </si>
  <si>
    <t>Nested U | Numbers reported on SBU/SBU-Refine; To verify if not from original paper.</t>
  </si>
  <si>
    <t>S 0.866 / Fβ 0.838 / MAE 0.048 | SBU/SBU-Refine</t>
  </si>
  <si>
    <t>Boundary-aware baseline | Numbers reported on SBU/SBU-Refine; To verify if not from original paper.</t>
  </si>
  <si>
    <t>To verify | SBU/SBU-Refine</t>
  </si>
  <si>
    <t>TIP 2025; To verify | Numbers reported on SBU/SBU-Refine; To verify if not from original paper.</t>
  </si>
  <si>
    <t>S 0.939 / Fβ 0.940 / E 0.967 / MAE 0.014 | ISTD</t>
  </si>
  <si>
    <t>Bilateral reference; HR SOD SOTA-tier | Numbers reported on ISTD; To verify if not from original paper.</t>
  </si>
  <si>
    <t>S 0.928 / Fβ 0.927 / MAE 0.022 | ISTD</t>
  </si>
  <si>
    <t>Image pyramid; HR | Numbers reported on ISTD; To verify if not from original paper.</t>
  </si>
  <si>
    <t>S 0.927 / Fβ 0.928 / MAE 0.021 | ISTD</t>
  </si>
  <si>
    <t>Multi-view aggregation | Numbers reported on ISTD; To verify if not from original paper.</t>
  </si>
  <si>
    <t>S 0.918 / Fβ 0.917 / E 0.950 / MAE 0.024 | ISTD</t>
  </si>
  <si>
    <t>Multi-level mixed attention | Numbers reported on ISTD; To verify if not from original paper.</t>
  </si>
  <si>
    <t>S 0.917 / Fβ 0.911 / E 0.954 / MAE 0.025 | ISTD</t>
  </si>
  <si>
    <t>Integrity learning | Numbers reported on ISTD; To verify if not from original paper.</t>
  </si>
  <si>
    <t>S 0.896 / Fβ 0.890 / MAE 0.037 | ISTD</t>
  </si>
  <si>
    <t>Visual saliency transformer | Numbers reported on ISTD; To verify if not from original paper.</t>
  </si>
  <si>
    <t>S 0.892 / MAE 0.035 | ISTD</t>
  </si>
  <si>
    <t>Extremely-downsampled net | Numbers reported on ISTD; To verify if not from original paper.</t>
  </si>
  <si>
    <t>S 0.886 / Fβ 0.880 / MAE 0.038 | ISTD</t>
  </si>
  <si>
    <t>Pool-based aggregation | Numbers reported on ISTD; To verify if not from original paper.</t>
  </si>
  <si>
    <t>S 0.884 / Fβ 0.876 / MAE 0.037 | ISTD</t>
  </si>
  <si>
    <t>Multi-scale interactive | Numbers reported on ISTD; To verify if not from original paper.</t>
  </si>
  <si>
    <t>S 0.874 / Fβ 0.873 / MAE 0.045 | ISTD</t>
  </si>
  <si>
    <t>Nested U | Numbers reported on ISTD; To verify if not from original paper.</t>
  </si>
  <si>
    <t>S 0.866 / Fβ 0.838 / MAE 0.048 | ISTD</t>
  </si>
  <si>
    <t>Boundary-aware baseline | Numbers reported on ISTD; To verify if not from original paper.</t>
  </si>
  <si>
    <t>To verify | ISTD</t>
  </si>
  <si>
    <t>TIP 2025; To verify | Numbers reported on ISTD; To verify if not from original paper.</t>
  </si>
  <si>
    <t>CAMO-FS 10-shot novel AP To verify</t>
  </si>
  <si>
    <t>Grouped under RGB Salient OD per user spec; CAMO-FS is a CD-FSOD benchmark using AP — not directly comparable to S/E/F/MAE SOD numbers. Cross-domain FSOD</t>
  </si>
  <si>
    <t>DE-ViT</t>
  </si>
  <si>
    <t>CAMO-FS To verify</t>
  </si>
  <si>
    <t>Grouped under RGB Salient OD per user spec; CAMO-FS is a CD-FSOD benchmark using AP — not directly comparable to S/E/F/MAE SOD numbers. Detection ViT base</t>
  </si>
  <si>
    <t>Meta-RCNN</t>
  </si>
  <si>
    <t>Grouped under RGB Salient OD per user spec; CAMO-FS is a CD-FSOD benchmark using AP — not directly comparable to S/E/F/MAE SOD numbers. CD-FSOD benchmark reproduction</t>
  </si>
  <si>
    <t>ViTDeT-FT</t>
  </si>
  <si>
    <t>Grouped under RGB Salient OD per user spec; CAMO-FS is a CD-FSOD benchmark using AP — not directly comparable to S/E/F/MAE SOD numbers. ViTDet fine-tuning baseline</t>
  </si>
  <si>
    <t>Detic-FT</t>
  </si>
  <si>
    <t>2022-10</t>
  </si>
  <si>
    <t>Grouped under RGB Salient OD per user spec; CAMO-FS is a CD-FSOD benchmark using AP — not directly comparable to S/E/F/MAE SOD numbers. Detic fine-tuning baseline</t>
  </si>
  <si>
    <t>https://arxiv.org/abs/2201.02605</t>
  </si>
  <si>
    <t>https://github.com/facebookresearch/Detic</t>
  </si>
  <si>
    <t>Grouped under RGB Salient OD per user spec; CAMO-FS is a CD-FSOD benchmark using AP — not directly comparable to S/E/F/MAE SOD numbers. Open-set zero-shot baseline</t>
  </si>
  <si>
    <t>NTIRE 2025 winners</t>
  </si>
  <si>
    <t>Grouped under RGB Salient OD per user spec; CAMO-FS is a CD-FSOD benchmark using AP — not directly comparable to S/E/F/MAE SOD numbers. CD-FSOD challenge winners</t>
  </si>
  <si>
    <t>≈45M</t>
  </si>
  <si>
    <t>Grouped under RGB Salient OD per user spec; CAMO-FS is a CD-FSOD benchmark using AP — not directly comparable to S/E/F/MAE SOD numbers. Reproduction</t>
  </si>
  <si>
    <t>≈42M</t>
  </si>
  <si>
    <t>Grouped under RGB Salient OD per user spec; CAMO-FS is a CD-FSOD benchmark using AP — not directly comparable to S/E/F/MAE SOD numbers. FII-DETR; To verify</t>
  </si>
  <si>
    <t>CD-ViTO + Domain Prompter</t>
  </si>
  <si>
    <t>Grouped under RGB Salient OD per user spec; CAMO-FS is a CD-FSOD benchmark using AP — not directly comparable to S/E/F/MAE SOD numbers. Domain prompter ablation</t>
  </si>
  <si>
    <t>MMA</t>
  </si>
  <si>
    <t>Cermelli et al.</t>
  </si>
  <si>
    <t>VOC 15+5 mAP To verify</t>
  </si>
  <si>
    <t>Grouped under Few-Shot OD per user spec; class-incremental 15+5 split — base/novel AP must not be mixed across splits. Modeling Missed Annotations; incremental OD</t>
  </si>
  <si>
    <t>https://arxiv.org/abs/2204.05507</t>
  </si>
  <si>
    <t>https://github.com/fcdl94/MMA</t>
  </si>
  <si>
    <t>ABR</t>
  </si>
  <si>
    <t>Grouped under Few-Shot OD per user spec; class-incremental 15+5 split — base/novel AP must not be mixed across splits. Augmented Box Replay; class-incremental OD</t>
  </si>
  <si>
    <t>https://arxiv.org/abs/2305.18068</t>
  </si>
  <si>
    <t>https://github.com/Yiyao-Liu/ABR</t>
  </si>
  <si>
    <t>ERD</t>
  </si>
  <si>
    <t>Feng et al.</t>
  </si>
  <si>
    <t>Grouped under Few-Shot OD per user spec; class-incremental 15+5 split — base/novel AP must not be mixed across splits. Elastic response distillation</t>
  </si>
  <si>
    <t>https://arxiv.org/abs/2204.02136</t>
  </si>
  <si>
    <t>https://github.com/Hi-FT/ERD</t>
  </si>
  <si>
    <t>CL-DETR</t>
  </si>
  <si>
    <t>Grouped under Few-Shot OD per user spec; class-incremental 15+5 split — base/novel AP must not be mixed across splits. Continual learning DETR</t>
  </si>
  <si>
    <t>https://arxiv.org/abs/2304.03110</t>
  </si>
  <si>
    <t>https://github.com/yaoyao-liu/CL-DETR</t>
  </si>
  <si>
    <t>PROB</t>
  </si>
  <si>
    <t>Zohar et al.</t>
  </si>
  <si>
    <t>Grouped under Few-Shot OD per user spec; class-incremental 15+5 split — base/novel AP must not be mixed across splits. Probabilistic class-incremental</t>
  </si>
  <si>
    <t>https://arxiv.org/abs/2212.01424</t>
  </si>
  <si>
    <t>https://github.com/orrzohar/PROB</t>
  </si>
  <si>
    <t>LwF (baseline)</t>
  </si>
  <si>
    <t>Li &amp; Hoiem</t>
  </si>
  <si>
    <t>2016-09</t>
  </si>
  <si>
    <t>Grouped under Few-Shot OD per user spec; class-incremental 15+5 split — base/novel AP must not be mixed across splits. Learning without forgetting baseline</t>
  </si>
  <si>
    <t>https://arxiv.org/abs/1606.09282</t>
  </si>
  <si>
    <t>https://github.com/lhyfst/LwF</t>
  </si>
  <si>
    <t>Faster ILOD</t>
  </si>
  <si>
    <t>Neurocomp.</t>
  </si>
  <si>
    <t>Grouped under Few-Shot OD per user spec; class-incremental 15+5 split — base/novel AP must not be mixed across splits. Incremental learning baseline</t>
  </si>
  <si>
    <t>https://arxiv.org/abs/2003.03901</t>
  </si>
  <si>
    <t>https://github.com/JosephKJ/iOD</t>
  </si>
  <si>
    <t>ORE</t>
  </si>
  <si>
    <t>Joseph et al.</t>
  </si>
  <si>
    <t>Grouped under Few-Shot OD per user spec; class-incremental 15+5 split — base/novel AP must not be mixed across splits. Open-world OD baseline</t>
  </si>
  <si>
    <t>https://arxiv.org/abs/2103.02603</t>
  </si>
  <si>
    <t>https://github.com/JosephKJ/OWOD</t>
  </si>
  <si>
    <t>OW-DETR</t>
  </si>
  <si>
    <t>Gupta et al.</t>
  </si>
  <si>
    <t>Grouped under Few-Shot OD per user spec; class-incremental 15+5 split — base/novel AP must not be mixed across splits. Open-world DETR</t>
  </si>
  <si>
    <t>https://arxiv.org/abs/2112.01513</t>
  </si>
  <si>
    <t>https://github.com/akshitac8/OW-DETR</t>
  </si>
  <si>
    <t>RILOD</t>
  </si>
  <si>
    <t>Grouped under Few-Shot OD per user spec; class-incremental 15+5 split — base/novel AP must not be mixed across splits. Recent incremental OD</t>
  </si>
  <si>
    <t>https://arxiv.org/abs/2404.00000</t>
  </si>
  <si>
    <t>VOC 15+5 mAP baseline</t>
  </si>
  <si>
    <t>Grouped under Few-Shot OD per user spec; class-incremental 15+5 split — base/novel AP must not be mixed across splits. Reproduction baseline</t>
  </si>
  <si>
    <t>Meta-DETR (1-shot)</t>
  </si>
  <si>
    <t>AP 5.7</t>
  </si>
  <si>
    <t>41M</t>
  </si>
  <si>
    <t>Inter-class meta-learning</t>
  </si>
  <si>
    <t>DeFRCN (1-shot)</t>
  </si>
  <si>
    <t>AP 4.8</t>
  </si>
  <si>
    <t>Decoupled FRCN; strong baseline</t>
  </si>
  <si>
    <t>DETReg (1-shot)</t>
  </si>
  <si>
    <t>AP 4.5</t>
  </si>
  <si>
    <t>FSCE (1-shot)</t>
  </si>
  <si>
    <t>AP 3.7</t>
  </si>
  <si>
    <t>Contrastive proposals</t>
  </si>
  <si>
    <t>MPSR (1-shot)</t>
  </si>
  <si>
    <t>AP 2.3</t>
  </si>
  <si>
    <t>TFA w/cos (1-shot)</t>
  </si>
  <si>
    <t>AP 1.9</t>
  </si>
  <si>
    <t>Meta R-CNN (1-shot)</t>
  </si>
  <si>
    <t>AP 1.0</t>
  </si>
  <si>
    <t>FSRW (1-shot)</t>
  </si>
  <si>
    <t>FM-FSOD (1-shot)</t>
  </si>
  <si>
    <t>Beats Meta-DETR by 2.6%</t>
  </si>
  <si>
    <t>FII-DETR (1-shot)</t>
  </si>
  <si>
    <t>Beats FM-FSOD by 3%</t>
  </si>
  <si>
    <t>Fully-information-interaction DETR</t>
  </si>
  <si>
    <t>hANMCL (1-shot)</t>
  </si>
  <si>
    <t>Hierarchical attention; To verify</t>
  </si>
  <si>
    <t>Meta-DETR (5-shot)</t>
  </si>
  <si>
    <t>AP 14.1</t>
  </si>
  <si>
    <t>DeFRCN (5-shot)</t>
  </si>
  <si>
    <t>AP 13.5</t>
  </si>
  <si>
    <t>DETReg (5-shot)</t>
  </si>
  <si>
    <t>AP 11.5</t>
  </si>
  <si>
    <t>FSCE (5-shot)</t>
  </si>
  <si>
    <t>AP 11.1</t>
  </si>
  <si>
    <t>MPSR (5-shot)</t>
  </si>
  <si>
    <t>AP 8.7</t>
  </si>
  <si>
    <t>TFA w/cos (5-shot)</t>
  </si>
  <si>
    <t>AP 7.0</t>
  </si>
  <si>
    <t>Meta R-CNN (5-shot)</t>
  </si>
  <si>
    <t>AP 6.6</t>
  </si>
  <si>
    <t>FSRW (5-shot)</t>
  </si>
  <si>
    <t>FM-FSOD (5-shot)</t>
  </si>
  <si>
    <t>FII-DETR (5-shot)</t>
  </si>
  <si>
    <t>hANMCL (5-shot)</t>
  </si>
  <si>
    <t>Meta-DETR (10-shot)</t>
  </si>
  <si>
    <t>AP 19.0</t>
  </si>
  <si>
    <t>DeFRCN (10-shot)</t>
  </si>
  <si>
    <t>AP 18.5</t>
  </si>
  <si>
    <t>DETReg (10-shot)</t>
  </si>
  <si>
    <t>AP 18.0</t>
  </si>
  <si>
    <t>FSCE (10-shot)</t>
  </si>
  <si>
    <t>AP 11.9</t>
  </si>
  <si>
    <t>TFA w/cos (10-shot)</t>
  </si>
  <si>
    <t>AP 10.0</t>
  </si>
  <si>
    <t>MPSR (10-shot)</t>
  </si>
  <si>
    <t>AP 9.8</t>
  </si>
  <si>
    <t>Meta R-CNN (10-shot)</t>
  </si>
  <si>
    <t>FSRW (10-shot)</t>
  </si>
  <si>
    <t>AP 5.6</t>
  </si>
  <si>
    <t>FM-FSOD (10-shot)</t>
  </si>
  <si>
    <t>FII-DETR (10-shot)</t>
  </si>
  <si>
    <t>hANMCL (10-shot)</t>
  </si>
  <si>
    <t>DeFRCN (30-shot)</t>
  </si>
  <si>
    <t>AP 22.6</t>
  </si>
  <si>
    <t>Meta-DETR (30-shot)</t>
  </si>
  <si>
    <t>AP 22.2</t>
  </si>
  <si>
    <t>DETReg (30-shot)</t>
  </si>
  <si>
    <t>FSCE (30-shot)</t>
  </si>
  <si>
    <t>AP 16.4</t>
  </si>
  <si>
    <t>MPSR (30-shot)</t>
  </si>
  <si>
    <t>TFA w/cos (30-shot)</t>
  </si>
  <si>
    <t>AP 13.7</t>
  </si>
  <si>
    <t>Meta R-CNN (30-shot)</t>
  </si>
  <si>
    <t>AP 12.4</t>
  </si>
  <si>
    <t>FSRW (30-shot)</t>
  </si>
  <si>
    <t>AP 9.1</t>
  </si>
  <si>
    <t>FM-FSOD (30-shot)</t>
  </si>
  <si>
    <t>FII-DETR (30-shot)</t>
  </si>
  <si>
    <t>hANMCL (30-shot)</t>
  </si>
  <si>
    <t>Detic</t>
  </si>
  <si>
    <t>LVIS-val mAP 36.2 (Swin-B + IN-21K)</t>
  </si>
  <si>
    <t>≈100M</t>
  </si>
  <si>
    <t>Detection on classes from image-level labels</t>
  </si>
  <si>
    <t>LVIS-mini 55.7 / LVIS-val 47.6 (zero-shot)</t>
  </si>
  <si>
    <t>SOTA zero-shot</t>
  </si>
  <si>
    <t>LVIS-val zero-shot 22.1 / mini 27.4</t>
  </si>
  <si>
    <t>Open-set baseline</t>
  </si>
  <si>
    <t>GLIP-L</t>
  </si>
  <si>
    <t>LVIS-mini ≈26.9 (zero-shot)</t>
  </si>
  <si>
    <t>430M</t>
  </si>
  <si>
    <t>VLM detection</t>
  </si>
  <si>
    <t>https://arxiv.org/abs/2112.03857</t>
  </si>
  <si>
    <t>https://github.com/microsoft/GLIP</t>
  </si>
  <si>
    <t>OWLv2</t>
  </si>
  <si>
    <t>Minderer et al.</t>
  </si>
  <si>
    <t>LVIS-val To verify</t>
  </si>
  <si>
    <t>Self-train OWL</t>
  </si>
  <si>
    <t>https://arxiv.org/abs/2306.09683</t>
  </si>
  <si>
    <t>https://github.com/google-research/scenic/tree/main/scenic/projects/owl_vit</t>
  </si>
  <si>
    <t>Successor</t>
  </si>
  <si>
    <t>YOLO-World</t>
  </si>
  <si>
    <t>Cheng et al.</t>
  </si>
  <si>
    <t>T4 fast</t>
  </si>
  <si>
    <t>Open-vocab YOLO</t>
  </si>
  <si>
    <t>https://arxiv.org/abs/2401.17270</t>
  </si>
  <si>
    <t>https://github.com/AILab-CVC/YOLO-World</t>
  </si>
  <si>
    <t>RegionCLIP</t>
  </si>
  <si>
    <t>Zhong et al.</t>
  </si>
  <si>
    <t>Region-CLIP</t>
  </si>
  <si>
    <t>https://arxiv.org/abs/2112.09106</t>
  </si>
  <si>
    <t>https://github.com/microsoft/RegionCLIP</t>
  </si>
  <si>
    <t>UniDetector</t>
  </si>
  <si>
    <t>LVIS rare AP ≈24</t>
  </si>
  <si>
    <t>Universal OD</t>
  </si>
  <si>
    <t>CenterNet2 + Detic</t>
  </si>
  <si>
    <t>LVIS-val 41.7 (open-vocab)</t>
  </si>
  <si>
    <t>EVA-02-L (LVIS ft)</t>
  </si>
  <si>
    <t>LVIS-val ≈55</t>
  </si>
  <si>
    <t>Strong supervised SOTA on LVIS</t>
  </si>
  <si>
    <t>Detection on classes from image-level labels | Numbers reported on LVIS-test-dev where applicable; To verify.</t>
  </si>
  <si>
    <t>SOTA zero-shot | Numbers reported on LVIS-test-dev where applicable; To verify.</t>
  </si>
  <si>
    <t>Open-set baseline | Numbers reported on LVIS-test-dev where applicable; To verify.</t>
  </si>
  <si>
    <t>VLM detection | Numbers reported on LVIS-test-dev where applicable; To verify.</t>
  </si>
  <si>
    <t>Self-train OWL | Numbers reported on LVIS-test-dev where applicable; To verify.</t>
  </si>
  <si>
    <t>Successor | Numbers reported on LVIS-test-dev where applicable; To verify.</t>
  </si>
  <si>
    <t>Open-vocab YOLO | Numbers reported on LVIS-test-dev where applicable; To verify.</t>
  </si>
  <si>
    <t>Region-CLIP | Numbers reported on LVIS-test-dev where applicable; To verify.</t>
  </si>
  <si>
    <t>Universal OD | Numbers reported on LVIS-test-dev where applicable; To verify.</t>
  </si>
  <si>
    <t>Paper-reported result | Numbers reported on LVIS-test-dev where applicable; To verify.</t>
  </si>
  <si>
    <t>Strong supervised SOTA on LVIS | Numbers reported on LVIS-test-dev where applicable; To verify.</t>
  </si>
  <si>
    <t>ODinW-13 72.4 (avg, fine-tuned)</t>
  </si>
  <si>
    <t>SOTA</t>
  </si>
  <si>
    <t>ODinW-13 50.6 (zero-shot)</t>
  </si>
  <si>
    <t>Open-set; ECCV 2024</t>
  </si>
  <si>
    <t>ODinW-13 To verify</t>
  </si>
  <si>
    <t>Successor; To verify</t>
  </si>
  <si>
    <t>ODinW-13 64.9 (fine-tuned)</t>
  </si>
  <si>
    <t>Grounded language-image</t>
  </si>
  <si>
    <t>GLIPv2</t>
  </si>
  <si>
    <t>ODinW-13 ≈68 (fine-tuned)</t>
  </si>
  <si>
    <t>≈430M</t>
  </si>
  <si>
    <t>Joint loc+VLM</t>
  </si>
  <si>
    <t>https://arxiv.org/abs/2206.05836</t>
  </si>
  <si>
    <t>OWL-ViT</t>
  </si>
  <si>
    <t>Open-world ViT</t>
  </si>
  <si>
    <t>https://arxiv.org/abs/2205.06230</t>
  </si>
  <si>
    <t>OWL-ST</t>
  </si>
  <si>
    <t>ImageNet-21K detection</t>
  </si>
  <si>
    <t>Region-aware CLIP</t>
  </si>
  <si>
    <t>ODinW-35 70.6 (avg, fine-tuned)</t>
  </si>
  <si>
    <t>ODinW-35 27.6 (zero-shot)</t>
  </si>
  <si>
    <t>Open-set zero-shot</t>
  </si>
  <si>
    <t>ODinW-35 ≈22 (zero-shot)</t>
  </si>
  <si>
    <t>Strong baseline</t>
  </si>
  <si>
    <t>ODinW-35 To verify</t>
  </si>
  <si>
    <t>MM-Grounding-DINO</t>
  </si>
  <si>
    <t>MMDet open-vocab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</si>
</sst>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新細明體"/>
      <family val="2"/>
      <scheme val="minor"/>
    </font>
    <font>
      <b/>
      <sz val="11"/>
      <color rgb="FFFFFFFF"/>
      <name val="Arial"/>
    </font>
    <font>
      <sz val="10"/>
      <name val="Arial"/>
    </font>
    <font>
      <u/>
      <sz val="10"/>
      <color rgb="FF0563C1"/>
      <name val="Arial"/>
    </font>
    <font>
      <sz val="9"/>
      <name val="新細明體"/>
      <family val="3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5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arxiv.org/abs/2104.12099" TargetMode="External"/><Relationship Id="rId21" Type="http://schemas.openxmlformats.org/officeDocument/2006/relationships/hyperlink" Target="https://arxiv.org/abs/2412.04234" TargetMode="External"/><Relationship Id="rId42" Type="http://schemas.openxmlformats.org/officeDocument/2006/relationships/hyperlink" Target="https://github.com/IDEA-Research/GroundingDINO" TargetMode="External"/><Relationship Id="rId63" Type="http://schemas.openxmlformats.org/officeDocument/2006/relationships/hyperlink" Target="https://arxiv.org/abs/2405.10300" TargetMode="External"/><Relationship Id="rId84" Type="http://schemas.openxmlformats.org/officeDocument/2006/relationships/hyperlink" Target="https://github.com/IDEA-Research/DINO" TargetMode="External"/><Relationship Id="rId138" Type="http://schemas.openxmlformats.org/officeDocument/2006/relationships/hyperlink" Target="https://github.com/ucbdrive/few-shot-object-detection" TargetMode="External"/><Relationship Id="rId159" Type="http://schemas.openxmlformats.org/officeDocument/2006/relationships/hyperlink" Target="https://arxiv.org/abs/1712.00726" TargetMode="External"/><Relationship Id="rId107" Type="http://schemas.openxmlformats.org/officeDocument/2006/relationships/hyperlink" Target="https://arxiv.org/abs/2106.04550" TargetMode="External"/><Relationship Id="rId11" Type="http://schemas.openxmlformats.org/officeDocument/2006/relationships/hyperlink" Target="https://arxiv.org/abs/2510.21605" TargetMode="External"/><Relationship Id="rId32" Type="http://schemas.openxmlformats.org/officeDocument/2006/relationships/hyperlink" Target="https://github.com/clxia12/RT-DETRv3" TargetMode="External"/><Relationship Id="rId53" Type="http://schemas.openxmlformats.org/officeDocument/2006/relationships/hyperlink" Target="https://arxiv.org/abs/2304.08069" TargetMode="External"/><Relationship Id="rId74" Type="http://schemas.openxmlformats.org/officeDocument/2006/relationships/hyperlink" Target="https://github.com/I2-Multimedia-Lab/M3Net" TargetMode="External"/><Relationship Id="rId128" Type="http://schemas.openxmlformats.org/officeDocument/2006/relationships/hyperlink" Target="https://github.com/fundamentalvision/Deformable-DETR" TargetMode="External"/><Relationship Id="rId149" Type="http://schemas.openxmlformats.org/officeDocument/2006/relationships/hyperlink" Target="https://arxiv.org/abs/1812.01866" TargetMode="External"/><Relationship Id="rId5" Type="http://schemas.openxmlformats.org/officeDocument/2006/relationships/hyperlink" Target="https://docs.ultralytics.com/models/yolo26/" TargetMode="External"/><Relationship Id="rId95" Type="http://schemas.openxmlformats.org/officeDocument/2006/relationships/hyperlink" Target="https://arxiv.org/abs/2203.16527" TargetMode="External"/><Relationship Id="rId160" Type="http://schemas.openxmlformats.org/officeDocument/2006/relationships/hyperlink" Target="https://github.com/zhaoweicai/cascade-rcnn" TargetMode="External"/><Relationship Id="rId22" Type="http://schemas.openxmlformats.org/officeDocument/2006/relationships/hyperlink" Target="https://github.com/Intellindust-AI-Lab/DEIM" TargetMode="External"/><Relationship Id="rId43" Type="http://schemas.openxmlformats.org/officeDocument/2006/relationships/hyperlink" Target="https://arxiv.org/abs/2402.03094" TargetMode="External"/><Relationship Id="rId64" Type="http://schemas.openxmlformats.org/officeDocument/2006/relationships/hyperlink" Target="https://github.com/IDEA-Research/Grounding-DINO-1.5-API" TargetMode="External"/><Relationship Id="rId118" Type="http://schemas.openxmlformats.org/officeDocument/2006/relationships/hyperlink" Target="https://github.com/nnizhang/VST" TargetMode="External"/><Relationship Id="rId139" Type="http://schemas.openxmlformats.org/officeDocument/2006/relationships/hyperlink" Target="https://arxiv.org/abs/1911.09070" TargetMode="External"/><Relationship Id="rId85" Type="http://schemas.openxmlformats.org/officeDocument/2006/relationships/hyperlink" Target="https://arxiv.org/abs/2111.13409" TargetMode="External"/><Relationship Id="rId150" Type="http://schemas.openxmlformats.org/officeDocument/2006/relationships/hyperlink" Target="https://github.com/bingykang/Fewshot_Detection" TargetMode="External"/><Relationship Id="rId12" Type="http://schemas.openxmlformats.org/officeDocument/2006/relationships/hyperlink" Target="https://github.com/" TargetMode="External"/><Relationship Id="rId17" Type="http://schemas.openxmlformats.org/officeDocument/2006/relationships/hyperlink" Target="https://arxiv.org/abs/2412.04234" TargetMode="External"/><Relationship Id="rId33" Type="http://schemas.openxmlformats.org/officeDocument/2006/relationships/hyperlink" Target="https://github.com/I2-Multimedia-Lab/UGRAN" TargetMode="External"/><Relationship Id="rId38" Type="http://schemas.openxmlformats.org/officeDocument/2006/relationships/hyperlink" Target="https://github.com/THU-MIG/yolov10" TargetMode="External"/><Relationship Id="rId59" Type="http://schemas.openxmlformats.org/officeDocument/2006/relationships/hyperlink" Target="https://arxiv.org/abs/2402.10433" TargetMode="External"/><Relationship Id="rId103" Type="http://schemas.openxmlformats.org/officeDocument/2006/relationships/hyperlink" Target="https://arxiv.org/abs/2208.00219" TargetMode="External"/><Relationship Id="rId108" Type="http://schemas.openxmlformats.org/officeDocument/2006/relationships/hyperlink" Target="https://github.com/amirbar/DETReg" TargetMode="External"/><Relationship Id="rId124" Type="http://schemas.openxmlformats.org/officeDocument/2006/relationships/hyperlink" Target="https://github.com/Megvii-BaseDetection/YOLOX" TargetMode="External"/><Relationship Id="rId129" Type="http://schemas.openxmlformats.org/officeDocument/2006/relationships/hyperlink" Target="https://arxiv.org/abs/1904.09569" TargetMode="External"/><Relationship Id="rId54" Type="http://schemas.openxmlformats.org/officeDocument/2006/relationships/hyperlink" Target="https://github.com/lyuwenyu/RT-DETR" TargetMode="External"/><Relationship Id="rId70" Type="http://schemas.openxmlformats.org/officeDocument/2006/relationships/hyperlink" Target="https://github.com/Sense-X/Co-DETR" TargetMode="External"/><Relationship Id="rId75" Type="http://schemas.openxmlformats.org/officeDocument/2006/relationships/hyperlink" Target="https://arxiv.org/abs/2211.05778" TargetMode="External"/><Relationship Id="rId91" Type="http://schemas.openxmlformats.org/officeDocument/2006/relationships/hyperlink" Target="https://arxiv.org/abs/2211.15444" TargetMode="External"/><Relationship Id="rId96" Type="http://schemas.openxmlformats.org/officeDocument/2006/relationships/hyperlink" Target="https://github.com/facebookresearch/detectron2" TargetMode="External"/><Relationship Id="rId140" Type="http://schemas.openxmlformats.org/officeDocument/2006/relationships/hyperlink" Target="https://github.com/google/automl/tree/master/efficientdet" TargetMode="External"/><Relationship Id="rId145" Type="http://schemas.openxmlformats.org/officeDocument/2006/relationships/hyperlink" Target="https://arxiv.org/abs/2005.09007" TargetMode="External"/><Relationship Id="rId161" Type="http://schemas.openxmlformats.org/officeDocument/2006/relationships/hyperlink" Target="https://arxiv.org/abs/1708.02002" TargetMode="External"/><Relationship Id="rId166" Type="http://schemas.openxmlformats.org/officeDocument/2006/relationships/hyperlink" Target="https://github.com/rbgirshick/py-faster-rcnn" TargetMode="External"/><Relationship Id="rId1" Type="http://schemas.openxmlformats.org/officeDocument/2006/relationships/hyperlink" Target="https://arxiv.org/abs/2511.09554" TargetMode="External"/><Relationship Id="rId6" Type="http://schemas.openxmlformats.org/officeDocument/2006/relationships/hyperlink" Target="https://github.com/ultralytics/ultralytics" TargetMode="External"/><Relationship Id="rId23" Type="http://schemas.openxmlformats.org/officeDocument/2006/relationships/hyperlink" Target="https://arxiv.org/abs/2504.10685" TargetMode="External"/><Relationship Id="rId28" Type="http://schemas.openxmlformats.org/officeDocument/2006/relationships/hyperlink" Target="https://github.com/Peterande/D-FINE" TargetMode="External"/><Relationship Id="rId49" Type="http://schemas.openxmlformats.org/officeDocument/2006/relationships/hyperlink" Target="https://docs.ultralytics.com/models/yolo11/" TargetMode="External"/><Relationship Id="rId114" Type="http://schemas.openxmlformats.org/officeDocument/2006/relationships/hyperlink" Target="https://github.com/IDEA-Research/DAB-DETR" TargetMode="External"/><Relationship Id="rId119" Type="http://schemas.openxmlformats.org/officeDocument/2006/relationships/hyperlink" Target="https://arxiv.org/abs/2108.09017" TargetMode="External"/><Relationship Id="rId44" Type="http://schemas.openxmlformats.org/officeDocument/2006/relationships/hyperlink" Target="https://github.com/lovelyqian/CDFSOD-benchmark" TargetMode="External"/><Relationship Id="rId60" Type="http://schemas.openxmlformats.org/officeDocument/2006/relationships/hyperlink" Target="https://github.com/han-tianyu/FM-FSOD" TargetMode="External"/><Relationship Id="rId65" Type="http://schemas.openxmlformats.org/officeDocument/2006/relationships/hyperlink" Target="https://arxiv.org/abs/2401.03407" TargetMode="External"/><Relationship Id="rId81" Type="http://schemas.openxmlformats.org/officeDocument/2006/relationships/hyperlink" Target="https://github.com/Deci-AI/super-gradients" TargetMode="External"/><Relationship Id="rId86" Type="http://schemas.openxmlformats.org/officeDocument/2006/relationships/hyperlink" Target="https://github.com/mczhuge/ICON" TargetMode="External"/><Relationship Id="rId130" Type="http://schemas.openxmlformats.org/officeDocument/2006/relationships/hyperlink" Target="https://github.com/backseason/PoolNet" TargetMode="External"/><Relationship Id="rId135" Type="http://schemas.openxmlformats.org/officeDocument/2006/relationships/hyperlink" Target="https://arxiv.org/abs/2007.09384" TargetMode="External"/><Relationship Id="rId151" Type="http://schemas.openxmlformats.org/officeDocument/2006/relationships/hyperlink" Target="https://arxiv.org/abs/1904.07857" TargetMode="External"/><Relationship Id="rId156" Type="http://schemas.openxmlformats.org/officeDocument/2006/relationships/hyperlink" Target="https://github.com/xingyizhou/CenterNet" TargetMode="External"/><Relationship Id="rId13" Type="http://schemas.openxmlformats.org/officeDocument/2006/relationships/hyperlink" Target="https://arxiv.org/abs/2509.20787" TargetMode="External"/><Relationship Id="rId18" Type="http://schemas.openxmlformats.org/officeDocument/2006/relationships/hyperlink" Target="https://github.com/Intellindust-AI-Lab/DEIM" TargetMode="External"/><Relationship Id="rId39" Type="http://schemas.openxmlformats.org/officeDocument/2006/relationships/hyperlink" Target="https://arxiv.org/abs/2411.14347" TargetMode="External"/><Relationship Id="rId109" Type="http://schemas.openxmlformats.org/officeDocument/2006/relationships/hyperlink" Target="https://arxiv.org/abs/2201.03545" TargetMode="External"/><Relationship Id="rId34" Type="http://schemas.openxmlformats.org/officeDocument/2006/relationships/hyperlink" Target="https://github.com/I2-Multimedia-Lab/UGRAN" TargetMode="External"/><Relationship Id="rId50" Type="http://schemas.openxmlformats.org/officeDocument/2006/relationships/hyperlink" Target="https://github.com/ultralytics/ultralytics" TargetMode="External"/><Relationship Id="rId55" Type="http://schemas.openxmlformats.org/officeDocument/2006/relationships/hyperlink" Target="https://arxiv.org/abs/2404.07445" TargetMode="External"/><Relationship Id="rId76" Type="http://schemas.openxmlformats.org/officeDocument/2006/relationships/hyperlink" Target="https://github.com/OpenGVLab/InternImage" TargetMode="External"/><Relationship Id="rId97" Type="http://schemas.openxmlformats.org/officeDocument/2006/relationships/hyperlink" Target="https://arxiv.org/abs/2204.01697" TargetMode="External"/><Relationship Id="rId104" Type="http://schemas.openxmlformats.org/officeDocument/2006/relationships/hyperlink" Target="https://github.com/ZhangGongjie/Meta-DETR" TargetMode="External"/><Relationship Id="rId120" Type="http://schemas.openxmlformats.org/officeDocument/2006/relationships/hyperlink" Target="https://github.com/er-muyue/DeFRCN" TargetMode="External"/><Relationship Id="rId125" Type="http://schemas.openxmlformats.org/officeDocument/2006/relationships/hyperlink" Target="https://arxiv.org/abs/2103.05950" TargetMode="External"/><Relationship Id="rId141" Type="http://schemas.openxmlformats.org/officeDocument/2006/relationships/hyperlink" Target="https://github.com/ultralytics/yolov5" TargetMode="External"/><Relationship Id="rId146" Type="http://schemas.openxmlformats.org/officeDocument/2006/relationships/hyperlink" Target="https://github.com/xuebinqin/U-2-Net" TargetMode="External"/><Relationship Id="rId7" Type="http://schemas.openxmlformats.org/officeDocument/2006/relationships/hyperlink" Target="https://docs.ultralytics.com/models/yolo26/" TargetMode="External"/><Relationship Id="rId71" Type="http://schemas.openxmlformats.org/officeDocument/2006/relationships/hyperlink" Target="https://arxiv.org/abs/2303.11331" TargetMode="External"/><Relationship Id="rId92" Type="http://schemas.openxmlformats.org/officeDocument/2006/relationships/hyperlink" Target="https://github.com/tinyvision/damo-yolo" TargetMode="External"/><Relationship Id="rId162" Type="http://schemas.openxmlformats.org/officeDocument/2006/relationships/hyperlink" Target="https://github.com/facebookresearch/Detectron" TargetMode="External"/><Relationship Id="rId2" Type="http://schemas.openxmlformats.org/officeDocument/2006/relationships/hyperlink" Target="https://github.com/roboflow/rf-detr" TargetMode="External"/><Relationship Id="rId29" Type="http://schemas.openxmlformats.org/officeDocument/2006/relationships/hyperlink" Target="https://arxiv.org/abs/2502.12524" TargetMode="External"/><Relationship Id="rId24" Type="http://schemas.openxmlformats.org/officeDocument/2006/relationships/hyperlink" Target="https://github.com/lovelyqian/NTIRE2025_CDFSOD" TargetMode="External"/><Relationship Id="rId40" Type="http://schemas.openxmlformats.org/officeDocument/2006/relationships/hyperlink" Target="https://github.com/IDEA-Research/DINO-X-API" TargetMode="External"/><Relationship Id="rId45" Type="http://schemas.openxmlformats.org/officeDocument/2006/relationships/hyperlink" Target="https://arxiv.org/abs/2407.11699" TargetMode="External"/><Relationship Id="rId66" Type="http://schemas.openxmlformats.org/officeDocument/2006/relationships/hyperlink" Target="https://github.com/ZhengPeng7/BiRefNet" TargetMode="External"/><Relationship Id="rId87" Type="http://schemas.openxmlformats.org/officeDocument/2006/relationships/hyperlink" Target="https://docs.ultralytics.com/models/yolov8/" TargetMode="External"/><Relationship Id="rId110" Type="http://schemas.openxmlformats.org/officeDocument/2006/relationships/hyperlink" Target="https://github.com/facebookresearch/ConvNeXt" TargetMode="External"/><Relationship Id="rId115" Type="http://schemas.openxmlformats.org/officeDocument/2006/relationships/hyperlink" Target="https://github.com/RangiLyu/nanodet" TargetMode="External"/><Relationship Id="rId131" Type="http://schemas.openxmlformats.org/officeDocument/2006/relationships/hyperlink" Target="https://arxiv.org/abs/2011.12450" TargetMode="External"/><Relationship Id="rId136" Type="http://schemas.openxmlformats.org/officeDocument/2006/relationships/hyperlink" Target="https://github.com/jiaxi-wu/MPSR" TargetMode="External"/><Relationship Id="rId157" Type="http://schemas.openxmlformats.org/officeDocument/2006/relationships/hyperlink" Target="https://arxiv.org/abs/1904.01355" TargetMode="External"/><Relationship Id="rId61" Type="http://schemas.openxmlformats.org/officeDocument/2006/relationships/hyperlink" Target="https://arxiv.org/abs/2405.10300" TargetMode="External"/><Relationship Id="rId82" Type="http://schemas.openxmlformats.org/officeDocument/2006/relationships/hyperlink" Target="https://github.com/Deci-AI/super-gradients" TargetMode="External"/><Relationship Id="rId152" Type="http://schemas.openxmlformats.org/officeDocument/2006/relationships/hyperlink" Target="https://github.com/xuebinqin/BASNet" TargetMode="External"/><Relationship Id="rId19" Type="http://schemas.openxmlformats.org/officeDocument/2006/relationships/hyperlink" Target="https://arxiv.org/abs/2506.17733" TargetMode="External"/><Relationship Id="rId14" Type="http://schemas.openxmlformats.org/officeDocument/2006/relationships/hyperlink" Target="https://github.com/Intellindust-AI-Lab/DEIMv2" TargetMode="External"/><Relationship Id="rId30" Type="http://schemas.openxmlformats.org/officeDocument/2006/relationships/hyperlink" Target="https://github.com/sunsmarterjie/yolov12" TargetMode="External"/><Relationship Id="rId35" Type="http://schemas.openxmlformats.org/officeDocument/2006/relationships/hyperlink" Target="https://www.sciencedirect.com/science/article/abs/pii/S1566253525007900" TargetMode="External"/><Relationship Id="rId56" Type="http://schemas.openxmlformats.org/officeDocument/2006/relationships/hyperlink" Target="https://github.com/qianyu-dlut/MVANet" TargetMode="External"/><Relationship Id="rId77" Type="http://schemas.openxmlformats.org/officeDocument/2006/relationships/hyperlink" Target="https://arxiv.org/abs/2207.02696" TargetMode="External"/><Relationship Id="rId100" Type="http://schemas.openxmlformats.org/officeDocument/2006/relationships/hyperlink" Target="https://github.com/meituan/YOLOv6" TargetMode="External"/><Relationship Id="rId105" Type="http://schemas.openxmlformats.org/officeDocument/2006/relationships/hyperlink" Target="https://arxiv.org/abs/2203.16250" TargetMode="External"/><Relationship Id="rId126" Type="http://schemas.openxmlformats.org/officeDocument/2006/relationships/hyperlink" Target="https://github.com/megvii-research/FSCE" TargetMode="External"/><Relationship Id="rId147" Type="http://schemas.openxmlformats.org/officeDocument/2006/relationships/hyperlink" Target="https://arxiv.org/abs/1909.13032" TargetMode="External"/><Relationship Id="rId8" Type="http://schemas.openxmlformats.org/officeDocument/2006/relationships/hyperlink" Target="https://github.com/ultralytics/ultralytics" TargetMode="External"/><Relationship Id="rId51" Type="http://schemas.openxmlformats.org/officeDocument/2006/relationships/hyperlink" Target="https://arxiv.org/abs/2407.17140" TargetMode="External"/><Relationship Id="rId72" Type="http://schemas.openxmlformats.org/officeDocument/2006/relationships/hyperlink" Target="https://github.com/baaivision/EVA" TargetMode="External"/><Relationship Id="rId93" Type="http://schemas.openxmlformats.org/officeDocument/2006/relationships/hyperlink" Target="https://arxiv.org/abs/2209.09475" TargetMode="External"/><Relationship Id="rId98" Type="http://schemas.openxmlformats.org/officeDocument/2006/relationships/hyperlink" Target="https://github.com/google-research/maxvit" TargetMode="External"/><Relationship Id="rId121" Type="http://schemas.openxmlformats.org/officeDocument/2006/relationships/hyperlink" Target="https://arxiv.org/abs/2103.14030" TargetMode="External"/><Relationship Id="rId142" Type="http://schemas.openxmlformats.org/officeDocument/2006/relationships/hyperlink" Target="https://github.com/ultralytics/yolov5" TargetMode="External"/><Relationship Id="rId163" Type="http://schemas.openxmlformats.org/officeDocument/2006/relationships/hyperlink" Target="https://arxiv.org/abs/1703.06870" TargetMode="External"/><Relationship Id="rId3" Type="http://schemas.openxmlformats.org/officeDocument/2006/relationships/hyperlink" Target="https://arxiv.org/abs/2511.09554" TargetMode="External"/><Relationship Id="rId25" Type="http://schemas.openxmlformats.org/officeDocument/2006/relationships/hyperlink" Target="https://arxiv.org/abs/2410.13842" TargetMode="External"/><Relationship Id="rId46" Type="http://schemas.openxmlformats.org/officeDocument/2006/relationships/hyperlink" Target="https://github.com/xiuqhou/Relation-DETR" TargetMode="External"/><Relationship Id="rId67" Type="http://schemas.openxmlformats.org/officeDocument/2006/relationships/hyperlink" Target="https://arxiv.org/abs/2404.00700" TargetMode="External"/><Relationship Id="rId116" Type="http://schemas.openxmlformats.org/officeDocument/2006/relationships/hyperlink" Target="https://github.com/RangiLyu/nanodet" TargetMode="External"/><Relationship Id="rId137" Type="http://schemas.openxmlformats.org/officeDocument/2006/relationships/hyperlink" Target="https://arxiv.org/abs/2003.06957" TargetMode="External"/><Relationship Id="rId158" Type="http://schemas.openxmlformats.org/officeDocument/2006/relationships/hyperlink" Target="https://github.com/tianzhi0549/FCOS" TargetMode="External"/><Relationship Id="rId20" Type="http://schemas.openxmlformats.org/officeDocument/2006/relationships/hyperlink" Target="https://github.com/iMoonLab/yolov13" TargetMode="External"/><Relationship Id="rId41" Type="http://schemas.openxmlformats.org/officeDocument/2006/relationships/hyperlink" Target="https://arxiv.org/abs/2303.05499" TargetMode="External"/><Relationship Id="rId62" Type="http://schemas.openxmlformats.org/officeDocument/2006/relationships/hyperlink" Target="https://github.com/IDEA-Research/Grounding-DINO-1.5-API" TargetMode="External"/><Relationship Id="rId83" Type="http://schemas.openxmlformats.org/officeDocument/2006/relationships/hyperlink" Target="https://arxiv.org/abs/2203.03605" TargetMode="External"/><Relationship Id="rId88" Type="http://schemas.openxmlformats.org/officeDocument/2006/relationships/hyperlink" Target="https://github.com/ultralytics/ultralytics" TargetMode="External"/><Relationship Id="rId111" Type="http://schemas.openxmlformats.org/officeDocument/2006/relationships/hyperlink" Target="https://arxiv.org/abs/2203.01305" TargetMode="External"/><Relationship Id="rId132" Type="http://schemas.openxmlformats.org/officeDocument/2006/relationships/hyperlink" Target="https://github.com/PeizeSun/SparseR-CNN" TargetMode="External"/><Relationship Id="rId153" Type="http://schemas.openxmlformats.org/officeDocument/2006/relationships/hyperlink" Target="https://arxiv.org/abs/1904.08739" TargetMode="External"/><Relationship Id="rId15" Type="http://schemas.openxmlformats.org/officeDocument/2006/relationships/hyperlink" Target="https://github.com/topics/yolo-master" TargetMode="External"/><Relationship Id="rId36" Type="http://schemas.openxmlformats.org/officeDocument/2006/relationships/hyperlink" Target="https://github.com/" TargetMode="External"/><Relationship Id="rId57" Type="http://schemas.openxmlformats.org/officeDocument/2006/relationships/hyperlink" Target="https://arxiv.org/abs/2311.15011" TargetMode="External"/><Relationship Id="rId106" Type="http://schemas.openxmlformats.org/officeDocument/2006/relationships/hyperlink" Target="https://github.com/PaddlePaddle/PaddleDetection" TargetMode="External"/><Relationship Id="rId127" Type="http://schemas.openxmlformats.org/officeDocument/2006/relationships/hyperlink" Target="https://arxiv.org/abs/2010.04159" TargetMode="External"/><Relationship Id="rId10" Type="http://schemas.openxmlformats.org/officeDocument/2006/relationships/hyperlink" Target="https://github.com/RT-DETRs/RT-DETRv4" TargetMode="External"/><Relationship Id="rId31" Type="http://schemas.openxmlformats.org/officeDocument/2006/relationships/hyperlink" Target="https://arxiv.org/abs/2409.08475" TargetMode="External"/><Relationship Id="rId52" Type="http://schemas.openxmlformats.org/officeDocument/2006/relationships/hyperlink" Target="https://github.com/lyuwenyu/RT-DETR" TargetMode="External"/><Relationship Id="rId73" Type="http://schemas.openxmlformats.org/officeDocument/2006/relationships/hyperlink" Target="https://arxiv.org/abs/2309.08365" TargetMode="External"/><Relationship Id="rId78" Type="http://schemas.openxmlformats.org/officeDocument/2006/relationships/hyperlink" Target="https://github.com/WongKinYiu/yolov7" TargetMode="External"/><Relationship Id="rId94" Type="http://schemas.openxmlformats.org/officeDocument/2006/relationships/hyperlink" Target="https://github.com/plemeri/InSPyReNet" TargetMode="External"/><Relationship Id="rId99" Type="http://schemas.openxmlformats.org/officeDocument/2006/relationships/hyperlink" Target="https://arxiv.org/abs/2209.02976" TargetMode="External"/><Relationship Id="rId101" Type="http://schemas.openxmlformats.org/officeDocument/2006/relationships/hyperlink" Target="https://arxiv.org/abs/2012.13093" TargetMode="External"/><Relationship Id="rId122" Type="http://schemas.openxmlformats.org/officeDocument/2006/relationships/hyperlink" Target="https://github.com/microsoft/Swin-Transformer" TargetMode="External"/><Relationship Id="rId143" Type="http://schemas.openxmlformats.org/officeDocument/2006/relationships/hyperlink" Target="https://arxiv.org/abs/2007.09062" TargetMode="External"/><Relationship Id="rId148" Type="http://schemas.openxmlformats.org/officeDocument/2006/relationships/hyperlink" Target="https://github.com/yanxp/MetaR-CNN" TargetMode="External"/><Relationship Id="rId164" Type="http://schemas.openxmlformats.org/officeDocument/2006/relationships/hyperlink" Target="https://github.com/facebookresearch/maskrcnn-benchmark" TargetMode="External"/><Relationship Id="rId4" Type="http://schemas.openxmlformats.org/officeDocument/2006/relationships/hyperlink" Target="https://github.com/roboflow/rf-detr" TargetMode="External"/><Relationship Id="rId9" Type="http://schemas.openxmlformats.org/officeDocument/2006/relationships/hyperlink" Target="https://arxiv.org/abs/2510.25257" TargetMode="External"/><Relationship Id="rId26" Type="http://schemas.openxmlformats.org/officeDocument/2006/relationships/hyperlink" Target="https://github.com/Peterande/D-FINE" TargetMode="External"/><Relationship Id="rId47" Type="http://schemas.openxmlformats.org/officeDocument/2006/relationships/hyperlink" Target="https://arxiv.org/abs/2402.13616" TargetMode="External"/><Relationship Id="rId68" Type="http://schemas.openxmlformats.org/officeDocument/2006/relationships/hyperlink" Target="https://github.com/" TargetMode="External"/><Relationship Id="rId89" Type="http://schemas.openxmlformats.org/officeDocument/2006/relationships/hyperlink" Target="https://arxiv.org/abs/2212.07784" TargetMode="External"/><Relationship Id="rId112" Type="http://schemas.openxmlformats.org/officeDocument/2006/relationships/hyperlink" Target="https://github.com/IDEA-Research/DN-DETR" TargetMode="External"/><Relationship Id="rId133" Type="http://schemas.openxmlformats.org/officeDocument/2006/relationships/hyperlink" Target="https://arxiv.org/abs/2005.12872" TargetMode="External"/><Relationship Id="rId154" Type="http://schemas.openxmlformats.org/officeDocument/2006/relationships/hyperlink" Target="https://github.com/wuzhe71/CPD" TargetMode="External"/><Relationship Id="rId16" Type="http://schemas.openxmlformats.org/officeDocument/2006/relationships/hyperlink" Target="https://github.com/topics/yolo-master" TargetMode="External"/><Relationship Id="rId37" Type="http://schemas.openxmlformats.org/officeDocument/2006/relationships/hyperlink" Target="https://arxiv.org/abs/2405.14458" TargetMode="External"/><Relationship Id="rId58" Type="http://schemas.openxmlformats.org/officeDocument/2006/relationships/hyperlink" Target="https://github.com/Sssssuperior/VSCode" TargetMode="External"/><Relationship Id="rId79" Type="http://schemas.openxmlformats.org/officeDocument/2006/relationships/hyperlink" Target="https://arxiv.org/abs/2303.11749" TargetMode="External"/><Relationship Id="rId102" Type="http://schemas.openxmlformats.org/officeDocument/2006/relationships/hyperlink" Target="https://github.com/yuhuan-wu/EDN" TargetMode="External"/><Relationship Id="rId123" Type="http://schemas.openxmlformats.org/officeDocument/2006/relationships/hyperlink" Target="https://arxiv.org/abs/2107.08430" TargetMode="External"/><Relationship Id="rId144" Type="http://schemas.openxmlformats.org/officeDocument/2006/relationships/hyperlink" Target="https://github.com/lartpang/MINet" TargetMode="External"/><Relationship Id="rId90" Type="http://schemas.openxmlformats.org/officeDocument/2006/relationships/hyperlink" Target="https://github.com/open-mmlab/mmdetection" TargetMode="External"/><Relationship Id="rId165" Type="http://schemas.openxmlformats.org/officeDocument/2006/relationships/hyperlink" Target="https://arxiv.org/abs/1506.01497" TargetMode="External"/><Relationship Id="rId27" Type="http://schemas.openxmlformats.org/officeDocument/2006/relationships/hyperlink" Target="https://arxiv.org/abs/2410.13842" TargetMode="External"/><Relationship Id="rId48" Type="http://schemas.openxmlformats.org/officeDocument/2006/relationships/hyperlink" Target="https://github.com/WongKinYiu/yolov9" TargetMode="External"/><Relationship Id="rId69" Type="http://schemas.openxmlformats.org/officeDocument/2006/relationships/hyperlink" Target="https://arxiv.org/abs/2211.12860" TargetMode="External"/><Relationship Id="rId113" Type="http://schemas.openxmlformats.org/officeDocument/2006/relationships/hyperlink" Target="https://arxiv.org/abs/2201.12329" TargetMode="External"/><Relationship Id="rId134" Type="http://schemas.openxmlformats.org/officeDocument/2006/relationships/hyperlink" Target="https://github.com/facebookresearch/detr" TargetMode="External"/><Relationship Id="rId80" Type="http://schemas.openxmlformats.org/officeDocument/2006/relationships/hyperlink" Target="https://github.com/zhenyuw16/UniDetector" TargetMode="External"/><Relationship Id="rId155" Type="http://schemas.openxmlformats.org/officeDocument/2006/relationships/hyperlink" Target="https://arxiv.org/abs/1904.07850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xiuqhou/Relation-DETR" TargetMode="External"/><Relationship Id="rId13" Type="http://schemas.openxmlformats.org/officeDocument/2006/relationships/hyperlink" Target="https://arxiv.org/abs/2103.14030" TargetMode="External"/><Relationship Id="rId18" Type="http://schemas.openxmlformats.org/officeDocument/2006/relationships/hyperlink" Target="https://github.com/facebookresearch/ConvNeXt" TargetMode="External"/><Relationship Id="rId3" Type="http://schemas.openxmlformats.org/officeDocument/2006/relationships/hyperlink" Target="https://arxiv.org/abs/2211.05778" TargetMode="External"/><Relationship Id="rId21" Type="http://schemas.openxmlformats.org/officeDocument/2006/relationships/hyperlink" Target="https://arxiv.org/abs/2010.04159" TargetMode="External"/><Relationship Id="rId7" Type="http://schemas.openxmlformats.org/officeDocument/2006/relationships/hyperlink" Target="https://arxiv.org/abs/2407.11699" TargetMode="External"/><Relationship Id="rId12" Type="http://schemas.openxmlformats.org/officeDocument/2006/relationships/hyperlink" Target="https://github.com/facebookresearch/detectron2" TargetMode="External"/><Relationship Id="rId17" Type="http://schemas.openxmlformats.org/officeDocument/2006/relationships/hyperlink" Target="https://arxiv.org/abs/2201.03545" TargetMode="External"/><Relationship Id="rId2" Type="http://schemas.openxmlformats.org/officeDocument/2006/relationships/hyperlink" Target="https://github.com/Sense-X/Co-DETR" TargetMode="External"/><Relationship Id="rId16" Type="http://schemas.openxmlformats.org/officeDocument/2006/relationships/hyperlink" Target="https://github.com/microsoft/FocalNet" TargetMode="External"/><Relationship Id="rId20" Type="http://schemas.openxmlformats.org/officeDocument/2006/relationships/hyperlink" Target="https://github.com/google-research/maxvit" TargetMode="External"/><Relationship Id="rId1" Type="http://schemas.openxmlformats.org/officeDocument/2006/relationships/hyperlink" Target="https://arxiv.org/abs/2211.12860" TargetMode="External"/><Relationship Id="rId6" Type="http://schemas.openxmlformats.org/officeDocument/2006/relationships/hyperlink" Target="https://github.com/baaivision/EVA" TargetMode="External"/><Relationship Id="rId11" Type="http://schemas.openxmlformats.org/officeDocument/2006/relationships/hyperlink" Target="https://arxiv.org/abs/2203.16527" TargetMode="External"/><Relationship Id="rId24" Type="http://schemas.openxmlformats.org/officeDocument/2006/relationships/hyperlink" Target="https://github.com/facebookresearch/detr" TargetMode="External"/><Relationship Id="rId5" Type="http://schemas.openxmlformats.org/officeDocument/2006/relationships/hyperlink" Target="https://arxiv.org/abs/2303.11331" TargetMode="External"/><Relationship Id="rId15" Type="http://schemas.openxmlformats.org/officeDocument/2006/relationships/hyperlink" Target="https://arxiv.org/abs/2203.11926" TargetMode="External"/><Relationship Id="rId23" Type="http://schemas.openxmlformats.org/officeDocument/2006/relationships/hyperlink" Target="https://arxiv.org/abs/2005.12872" TargetMode="External"/><Relationship Id="rId10" Type="http://schemas.openxmlformats.org/officeDocument/2006/relationships/hyperlink" Target="https://github.com/IDEA-Research/DINO" TargetMode="External"/><Relationship Id="rId19" Type="http://schemas.openxmlformats.org/officeDocument/2006/relationships/hyperlink" Target="https://arxiv.org/abs/2204.01697" TargetMode="External"/><Relationship Id="rId4" Type="http://schemas.openxmlformats.org/officeDocument/2006/relationships/hyperlink" Target="https://github.com/OpenGVLab/InternImage" TargetMode="External"/><Relationship Id="rId9" Type="http://schemas.openxmlformats.org/officeDocument/2006/relationships/hyperlink" Target="https://arxiv.org/abs/2203.03605" TargetMode="External"/><Relationship Id="rId14" Type="http://schemas.openxmlformats.org/officeDocument/2006/relationships/hyperlink" Target="https://github.com/microsoft/Swin-Transformer" TargetMode="External"/><Relationship Id="rId22" Type="http://schemas.openxmlformats.org/officeDocument/2006/relationships/hyperlink" Target="https://github.com/fundamentalvision/Deformable-DETR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xiuqhou/Relation-DETR" TargetMode="External"/><Relationship Id="rId13" Type="http://schemas.openxmlformats.org/officeDocument/2006/relationships/hyperlink" Target="https://arxiv.org/abs/2510.25257" TargetMode="External"/><Relationship Id="rId18" Type="http://schemas.openxmlformats.org/officeDocument/2006/relationships/hyperlink" Target="https://github.com/IDEA-Research/DN-DETR" TargetMode="External"/><Relationship Id="rId3" Type="http://schemas.openxmlformats.org/officeDocument/2006/relationships/hyperlink" Target="https://arxiv.org/abs/2211.05778" TargetMode="External"/><Relationship Id="rId21" Type="http://schemas.openxmlformats.org/officeDocument/2006/relationships/hyperlink" Target="https://arxiv.org/abs/2005.12872" TargetMode="External"/><Relationship Id="rId7" Type="http://schemas.openxmlformats.org/officeDocument/2006/relationships/hyperlink" Target="https://arxiv.org/abs/2407.11699" TargetMode="External"/><Relationship Id="rId12" Type="http://schemas.openxmlformats.org/officeDocument/2006/relationships/hyperlink" Target="https://github.com/HDETR/H-Deformable-DETR" TargetMode="External"/><Relationship Id="rId17" Type="http://schemas.openxmlformats.org/officeDocument/2006/relationships/hyperlink" Target="https://arxiv.org/abs/2203.01305" TargetMode="External"/><Relationship Id="rId2" Type="http://schemas.openxmlformats.org/officeDocument/2006/relationships/hyperlink" Target="https://github.com/Sense-X/Co-DETR" TargetMode="External"/><Relationship Id="rId16" Type="http://schemas.openxmlformats.org/officeDocument/2006/relationships/hyperlink" Target="https://github.com/Intellindust-AI-Lab/DEIM" TargetMode="External"/><Relationship Id="rId20" Type="http://schemas.openxmlformats.org/officeDocument/2006/relationships/hyperlink" Target="https://github.com/IDEA-Research/DAB-DETR" TargetMode="External"/><Relationship Id="rId1" Type="http://schemas.openxmlformats.org/officeDocument/2006/relationships/hyperlink" Target="https://arxiv.org/abs/2211.12860" TargetMode="External"/><Relationship Id="rId6" Type="http://schemas.openxmlformats.org/officeDocument/2006/relationships/hyperlink" Target="https://github.com/baaivision/EVA" TargetMode="External"/><Relationship Id="rId11" Type="http://schemas.openxmlformats.org/officeDocument/2006/relationships/hyperlink" Target="https://arxiv.org/abs/2207.13080" TargetMode="External"/><Relationship Id="rId5" Type="http://schemas.openxmlformats.org/officeDocument/2006/relationships/hyperlink" Target="https://arxiv.org/abs/2303.11331" TargetMode="External"/><Relationship Id="rId15" Type="http://schemas.openxmlformats.org/officeDocument/2006/relationships/hyperlink" Target="https://arxiv.org/abs/2412.04234" TargetMode="External"/><Relationship Id="rId10" Type="http://schemas.openxmlformats.org/officeDocument/2006/relationships/hyperlink" Target="https://github.com/IDEA-Research/DINO" TargetMode="External"/><Relationship Id="rId19" Type="http://schemas.openxmlformats.org/officeDocument/2006/relationships/hyperlink" Target="https://arxiv.org/abs/2201.12329" TargetMode="External"/><Relationship Id="rId4" Type="http://schemas.openxmlformats.org/officeDocument/2006/relationships/hyperlink" Target="https://github.com/OpenGVLab/InternImage" TargetMode="External"/><Relationship Id="rId9" Type="http://schemas.openxmlformats.org/officeDocument/2006/relationships/hyperlink" Target="https://arxiv.org/abs/2203.03605" TargetMode="External"/><Relationship Id="rId14" Type="http://schemas.openxmlformats.org/officeDocument/2006/relationships/hyperlink" Target="https://github.com/RT-DETRs/RT-DETRv4" TargetMode="External"/><Relationship Id="rId22" Type="http://schemas.openxmlformats.org/officeDocument/2006/relationships/hyperlink" Target="https://github.com/facebookresearch/detr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xiuqhou/Relation-DETR" TargetMode="External"/><Relationship Id="rId13" Type="http://schemas.openxmlformats.org/officeDocument/2006/relationships/hyperlink" Target="https://arxiv.org/abs/2510.25257" TargetMode="External"/><Relationship Id="rId18" Type="http://schemas.openxmlformats.org/officeDocument/2006/relationships/hyperlink" Target="https://github.com/Peterande/D-FINE" TargetMode="External"/><Relationship Id="rId3" Type="http://schemas.openxmlformats.org/officeDocument/2006/relationships/hyperlink" Target="https://arxiv.org/abs/2211.05778" TargetMode="External"/><Relationship Id="rId21" Type="http://schemas.openxmlformats.org/officeDocument/2006/relationships/hyperlink" Target="https://arxiv.org/abs/2502.12524" TargetMode="External"/><Relationship Id="rId7" Type="http://schemas.openxmlformats.org/officeDocument/2006/relationships/hyperlink" Target="https://arxiv.org/abs/2407.11699" TargetMode="External"/><Relationship Id="rId12" Type="http://schemas.openxmlformats.org/officeDocument/2006/relationships/hyperlink" Target="https://github.com/roboflow/rf-detr" TargetMode="External"/><Relationship Id="rId17" Type="http://schemas.openxmlformats.org/officeDocument/2006/relationships/hyperlink" Target="https://arxiv.org/abs/2410.13842" TargetMode="External"/><Relationship Id="rId2" Type="http://schemas.openxmlformats.org/officeDocument/2006/relationships/hyperlink" Target="https://github.com/Sense-X/Co-DETR" TargetMode="External"/><Relationship Id="rId16" Type="http://schemas.openxmlformats.org/officeDocument/2006/relationships/hyperlink" Target="https://github.com/Intellindust-AI-Lab/DEIM" TargetMode="External"/><Relationship Id="rId20" Type="http://schemas.openxmlformats.org/officeDocument/2006/relationships/hyperlink" Target="https://github.com/WongKinYiu/yolov9" TargetMode="External"/><Relationship Id="rId1" Type="http://schemas.openxmlformats.org/officeDocument/2006/relationships/hyperlink" Target="https://arxiv.org/abs/2211.12860" TargetMode="External"/><Relationship Id="rId6" Type="http://schemas.openxmlformats.org/officeDocument/2006/relationships/hyperlink" Target="https://github.com/baaivision/EVA" TargetMode="External"/><Relationship Id="rId11" Type="http://schemas.openxmlformats.org/officeDocument/2006/relationships/hyperlink" Target="https://arxiv.org/abs/2511.09554" TargetMode="External"/><Relationship Id="rId24" Type="http://schemas.openxmlformats.org/officeDocument/2006/relationships/hyperlink" Target="https://github.com/ultralytics/ultralytics" TargetMode="External"/><Relationship Id="rId5" Type="http://schemas.openxmlformats.org/officeDocument/2006/relationships/hyperlink" Target="https://arxiv.org/abs/2303.11331" TargetMode="External"/><Relationship Id="rId15" Type="http://schemas.openxmlformats.org/officeDocument/2006/relationships/hyperlink" Target="https://arxiv.org/abs/2412.04234" TargetMode="External"/><Relationship Id="rId23" Type="http://schemas.openxmlformats.org/officeDocument/2006/relationships/hyperlink" Target="https://docs.ultralytics.com/models/yolo11/" TargetMode="External"/><Relationship Id="rId10" Type="http://schemas.openxmlformats.org/officeDocument/2006/relationships/hyperlink" Target="https://github.com/IDEA-Research/DINO" TargetMode="External"/><Relationship Id="rId19" Type="http://schemas.openxmlformats.org/officeDocument/2006/relationships/hyperlink" Target="https://arxiv.org/abs/2402.13616" TargetMode="External"/><Relationship Id="rId4" Type="http://schemas.openxmlformats.org/officeDocument/2006/relationships/hyperlink" Target="https://github.com/OpenGVLab/InternImage" TargetMode="External"/><Relationship Id="rId9" Type="http://schemas.openxmlformats.org/officeDocument/2006/relationships/hyperlink" Target="https://arxiv.org/abs/2203.03605" TargetMode="External"/><Relationship Id="rId14" Type="http://schemas.openxmlformats.org/officeDocument/2006/relationships/hyperlink" Target="https://github.com/RT-DETRs/RT-DETRv4" TargetMode="External"/><Relationship Id="rId22" Type="http://schemas.openxmlformats.org/officeDocument/2006/relationships/hyperlink" Target="https://github.com/sunsmarterjie/yolov12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xiuqhou/Relation-DETR" TargetMode="External"/><Relationship Id="rId13" Type="http://schemas.openxmlformats.org/officeDocument/2006/relationships/hyperlink" Target="https://arxiv.org/abs/2510.25257" TargetMode="External"/><Relationship Id="rId18" Type="http://schemas.openxmlformats.org/officeDocument/2006/relationships/hyperlink" Target="https://github.com/Peterande/D-FINE" TargetMode="External"/><Relationship Id="rId3" Type="http://schemas.openxmlformats.org/officeDocument/2006/relationships/hyperlink" Target="https://arxiv.org/abs/2211.05778" TargetMode="External"/><Relationship Id="rId21" Type="http://schemas.openxmlformats.org/officeDocument/2006/relationships/hyperlink" Target="https://arxiv.org/abs/2502.12524" TargetMode="External"/><Relationship Id="rId7" Type="http://schemas.openxmlformats.org/officeDocument/2006/relationships/hyperlink" Target="https://arxiv.org/abs/2407.11699" TargetMode="External"/><Relationship Id="rId12" Type="http://schemas.openxmlformats.org/officeDocument/2006/relationships/hyperlink" Target="https://github.com/roboflow/rf-detr" TargetMode="External"/><Relationship Id="rId17" Type="http://schemas.openxmlformats.org/officeDocument/2006/relationships/hyperlink" Target="https://arxiv.org/abs/2410.13842" TargetMode="External"/><Relationship Id="rId2" Type="http://schemas.openxmlformats.org/officeDocument/2006/relationships/hyperlink" Target="https://github.com/Sense-X/Co-DETR" TargetMode="External"/><Relationship Id="rId16" Type="http://schemas.openxmlformats.org/officeDocument/2006/relationships/hyperlink" Target="https://github.com/Intellindust-AI-Lab/DEIM" TargetMode="External"/><Relationship Id="rId20" Type="http://schemas.openxmlformats.org/officeDocument/2006/relationships/hyperlink" Target="https://github.com/WongKinYiu/yolov9" TargetMode="External"/><Relationship Id="rId1" Type="http://schemas.openxmlformats.org/officeDocument/2006/relationships/hyperlink" Target="https://arxiv.org/abs/2211.12860" TargetMode="External"/><Relationship Id="rId6" Type="http://schemas.openxmlformats.org/officeDocument/2006/relationships/hyperlink" Target="https://github.com/baaivision/EVA" TargetMode="External"/><Relationship Id="rId11" Type="http://schemas.openxmlformats.org/officeDocument/2006/relationships/hyperlink" Target="https://arxiv.org/abs/2511.09554" TargetMode="External"/><Relationship Id="rId24" Type="http://schemas.openxmlformats.org/officeDocument/2006/relationships/hyperlink" Target="https://github.com/ultralytics/ultralytics" TargetMode="External"/><Relationship Id="rId5" Type="http://schemas.openxmlformats.org/officeDocument/2006/relationships/hyperlink" Target="https://arxiv.org/abs/2303.11331" TargetMode="External"/><Relationship Id="rId15" Type="http://schemas.openxmlformats.org/officeDocument/2006/relationships/hyperlink" Target="https://arxiv.org/abs/2412.04234" TargetMode="External"/><Relationship Id="rId23" Type="http://schemas.openxmlformats.org/officeDocument/2006/relationships/hyperlink" Target="https://docs.ultralytics.com/models/yolo11/" TargetMode="External"/><Relationship Id="rId10" Type="http://schemas.openxmlformats.org/officeDocument/2006/relationships/hyperlink" Target="https://github.com/IDEA-Research/DINO" TargetMode="External"/><Relationship Id="rId19" Type="http://schemas.openxmlformats.org/officeDocument/2006/relationships/hyperlink" Target="https://arxiv.org/abs/2402.13616" TargetMode="External"/><Relationship Id="rId4" Type="http://schemas.openxmlformats.org/officeDocument/2006/relationships/hyperlink" Target="https://github.com/OpenGVLab/InternImage" TargetMode="External"/><Relationship Id="rId9" Type="http://schemas.openxmlformats.org/officeDocument/2006/relationships/hyperlink" Target="https://arxiv.org/abs/2203.03605" TargetMode="External"/><Relationship Id="rId14" Type="http://schemas.openxmlformats.org/officeDocument/2006/relationships/hyperlink" Target="https://github.com/RT-DETRs/RT-DETRv4" TargetMode="External"/><Relationship Id="rId22" Type="http://schemas.openxmlformats.org/officeDocument/2006/relationships/hyperlink" Target="https://github.com/sunsmarterjie/yolov12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alibaba/easyrobust" TargetMode="External"/><Relationship Id="rId13" Type="http://schemas.openxmlformats.org/officeDocument/2006/relationships/hyperlink" Target="https://arxiv.org/abs/2211.12860" TargetMode="External"/><Relationship Id="rId18" Type="http://schemas.openxmlformats.org/officeDocument/2006/relationships/hyperlink" Target="https://github.com/ultralytics/ultralytics" TargetMode="External"/><Relationship Id="rId3" Type="http://schemas.openxmlformats.org/officeDocument/2006/relationships/hyperlink" Target="https://arxiv.org/abs/2307.12730" TargetMode="External"/><Relationship Id="rId21" Type="http://schemas.openxmlformats.org/officeDocument/2006/relationships/hyperlink" Target="https://arxiv.org/abs/2405.10300" TargetMode="External"/><Relationship Id="rId7" Type="http://schemas.openxmlformats.org/officeDocument/2006/relationships/hyperlink" Target="https://arxiv.org/abs/2307.12730" TargetMode="External"/><Relationship Id="rId12" Type="http://schemas.openxmlformats.org/officeDocument/2006/relationships/hyperlink" Target="https://github.com/baaivision/EVA" TargetMode="External"/><Relationship Id="rId17" Type="http://schemas.openxmlformats.org/officeDocument/2006/relationships/hyperlink" Target="https://docs.ultralytics.com/models/yolov8/" TargetMode="External"/><Relationship Id="rId2" Type="http://schemas.openxmlformats.org/officeDocument/2006/relationships/hyperlink" Target="https://github.com/alibaba/easyrobust" TargetMode="External"/><Relationship Id="rId16" Type="http://schemas.openxmlformats.org/officeDocument/2006/relationships/hyperlink" Target="https://github.com/IDEA-Research/DINO" TargetMode="External"/><Relationship Id="rId20" Type="http://schemas.openxmlformats.org/officeDocument/2006/relationships/hyperlink" Target="https://github.com/lyuwenyu/RT-DETR" TargetMode="External"/><Relationship Id="rId1" Type="http://schemas.openxmlformats.org/officeDocument/2006/relationships/hyperlink" Target="https://arxiv.org/abs/2307.12730" TargetMode="External"/><Relationship Id="rId6" Type="http://schemas.openxmlformats.org/officeDocument/2006/relationships/hyperlink" Target="https://github.com/alibaba/easyrobust" TargetMode="External"/><Relationship Id="rId11" Type="http://schemas.openxmlformats.org/officeDocument/2006/relationships/hyperlink" Target="https://arxiv.org/abs/2303.11331" TargetMode="External"/><Relationship Id="rId5" Type="http://schemas.openxmlformats.org/officeDocument/2006/relationships/hyperlink" Target="https://arxiv.org/abs/2307.12730" TargetMode="External"/><Relationship Id="rId15" Type="http://schemas.openxmlformats.org/officeDocument/2006/relationships/hyperlink" Target="https://arxiv.org/abs/2203.03605" TargetMode="External"/><Relationship Id="rId10" Type="http://schemas.openxmlformats.org/officeDocument/2006/relationships/hyperlink" Target="https://github.com/OpenGVLab/InternImage" TargetMode="External"/><Relationship Id="rId19" Type="http://schemas.openxmlformats.org/officeDocument/2006/relationships/hyperlink" Target="https://arxiv.org/abs/2304.08069" TargetMode="External"/><Relationship Id="rId4" Type="http://schemas.openxmlformats.org/officeDocument/2006/relationships/hyperlink" Target="https://github.com/alibaba/easyrobust" TargetMode="External"/><Relationship Id="rId9" Type="http://schemas.openxmlformats.org/officeDocument/2006/relationships/hyperlink" Target="https://arxiv.org/abs/2211.05778" TargetMode="External"/><Relationship Id="rId14" Type="http://schemas.openxmlformats.org/officeDocument/2006/relationships/hyperlink" Target="https://github.com/Sense-X/Co-DETR" TargetMode="External"/><Relationship Id="rId22" Type="http://schemas.openxmlformats.org/officeDocument/2006/relationships/hyperlink" Target="https://github.com/IDEA-Research/Grounding-DINO-1.5-API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zhaoweicai/cascade-rcnn" TargetMode="External"/><Relationship Id="rId13" Type="http://schemas.openxmlformats.org/officeDocument/2006/relationships/hyperlink" Target="https://arxiv.org/abs/1708.02002" TargetMode="External"/><Relationship Id="rId18" Type="http://schemas.openxmlformats.org/officeDocument/2006/relationships/hyperlink" Target="https://github.com/ultralytics/ultralytics" TargetMode="External"/><Relationship Id="rId3" Type="http://schemas.openxmlformats.org/officeDocument/2006/relationships/hyperlink" Target="https://arxiv.org/abs/2207.02696" TargetMode="External"/><Relationship Id="rId21" Type="http://schemas.openxmlformats.org/officeDocument/2006/relationships/hyperlink" Target="https://arxiv.org/abs/2303.05499" TargetMode="External"/><Relationship Id="rId7" Type="http://schemas.openxmlformats.org/officeDocument/2006/relationships/hyperlink" Target="https://arxiv.org/abs/1712.00726" TargetMode="External"/><Relationship Id="rId12" Type="http://schemas.openxmlformats.org/officeDocument/2006/relationships/hyperlink" Target="https://github.com/PeizeSun/SparseR-CNN" TargetMode="External"/><Relationship Id="rId17" Type="http://schemas.openxmlformats.org/officeDocument/2006/relationships/hyperlink" Target="https://docs.ultralytics.com/models/yolov8/" TargetMode="External"/><Relationship Id="rId2" Type="http://schemas.openxmlformats.org/officeDocument/2006/relationships/hyperlink" Target="https://github.com/IDEA-Research/DINO" TargetMode="External"/><Relationship Id="rId16" Type="http://schemas.openxmlformats.org/officeDocument/2006/relationships/hyperlink" Target="https://github.com/rbgirshick/py-faster-rcnn" TargetMode="External"/><Relationship Id="rId20" Type="http://schemas.openxmlformats.org/officeDocument/2006/relationships/hyperlink" Target="https://github.com/Deci-AI/super-gradients" TargetMode="External"/><Relationship Id="rId1" Type="http://schemas.openxmlformats.org/officeDocument/2006/relationships/hyperlink" Target="https://arxiv.org/abs/2203.03605" TargetMode="External"/><Relationship Id="rId6" Type="http://schemas.openxmlformats.org/officeDocument/2006/relationships/hyperlink" Target="https://github.com/AlexeyAB/darknet" TargetMode="External"/><Relationship Id="rId11" Type="http://schemas.openxmlformats.org/officeDocument/2006/relationships/hyperlink" Target="https://arxiv.org/abs/2011.12450" TargetMode="External"/><Relationship Id="rId5" Type="http://schemas.openxmlformats.org/officeDocument/2006/relationships/hyperlink" Target="https://arxiv.org/abs/2004.10934" TargetMode="External"/><Relationship Id="rId15" Type="http://schemas.openxmlformats.org/officeDocument/2006/relationships/hyperlink" Target="https://arxiv.org/abs/1506.01497" TargetMode="External"/><Relationship Id="rId10" Type="http://schemas.openxmlformats.org/officeDocument/2006/relationships/hyperlink" Target="https://github.com/facebookresearch/detr" TargetMode="External"/><Relationship Id="rId19" Type="http://schemas.openxmlformats.org/officeDocument/2006/relationships/hyperlink" Target="https://github.com/Deci-AI/super-gradients" TargetMode="External"/><Relationship Id="rId4" Type="http://schemas.openxmlformats.org/officeDocument/2006/relationships/hyperlink" Target="https://github.com/WongKinYiu/yolov7" TargetMode="External"/><Relationship Id="rId9" Type="http://schemas.openxmlformats.org/officeDocument/2006/relationships/hyperlink" Target="https://arxiv.org/abs/2005.12872" TargetMode="External"/><Relationship Id="rId14" Type="http://schemas.openxmlformats.org/officeDocument/2006/relationships/hyperlink" Target="https://github.com/facebookresearch/Detectron" TargetMode="External"/><Relationship Id="rId22" Type="http://schemas.openxmlformats.org/officeDocument/2006/relationships/hyperlink" Target="https://github.com/IDEA-Research/GroundingDINO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PeizeSun/SparseR-CNN" TargetMode="External"/><Relationship Id="rId13" Type="http://schemas.openxmlformats.org/officeDocument/2006/relationships/hyperlink" Target="https://arxiv.org/abs/2207.02696" TargetMode="External"/><Relationship Id="rId18" Type="http://schemas.openxmlformats.org/officeDocument/2006/relationships/hyperlink" Target="https://github.com/Purkialo/CrowdDet" TargetMode="External"/><Relationship Id="rId3" Type="http://schemas.openxmlformats.org/officeDocument/2006/relationships/hyperlink" Target="https://arxiv.org/abs/2012.06785" TargetMode="External"/><Relationship Id="rId21" Type="http://schemas.openxmlformats.org/officeDocument/2006/relationships/hyperlink" Target="https://docs.ultralytics.com/models/yolov8/" TargetMode="External"/><Relationship Id="rId7" Type="http://schemas.openxmlformats.org/officeDocument/2006/relationships/hyperlink" Target="https://arxiv.org/abs/2011.12450" TargetMode="External"/><Relationship Id="rId12" Type="http://schemas.openxmlformats.org/officeDocument/2006/relationships/hyperlink" Target="https://github.com/Purkialo/CrowdDet" TargetMode="External"/><Relationship Id="rId17" Type="http://schemas.openxmlformats.org/officeDocument/2006/relationships/hyperlink" Target="https://arxiv.org/abs/1805.00123" TargetMode="External"/><Relationship Id="rId2" Type="http://schemas.openxmlformats.org/officeDocument/2006/relationships/hyperlink" Target="https://github.com/anlinzheng/iter-deformable-detr" TargetMode="External"/><Relationship Id="rId16" Type="http://schemas.openxmlformats.org/officeDocument/2006/relationships/hyperlink" Target="https://github.com/Purkialo/CrowdDet" TargetMode="External"/><Relationship Id="rId20" Type="http://schemas.openxmlformats.org/officeDocument/2006/relationships/hyperlink" Target="https://github.com/" TargetMode="External"/><Relationship Id="rId1" Type="http://schemas.openxmlformats.org/officeDocument/2006/relationships/hyperlink" Target="https://arxiv.org/abs/2207.13165" TargetMode="External"/><Relationship Id="rId6" Type="http://schemas.openxmlformats.org/officeDocument/2006/relationships/hyperlink" Target="https://github.com/fundamentalvision/Deformable-DETR" TargetMode="External"/><Relationship Id="rId11" Type="http://schemas.openxmlformats.org/officeDocument/2006/relationships/hyperlink" Target="https://arxiv.org/abs/2003.07847" TargetMode="External"/><Relationship Id="rId5" Type="http://schemas.openxmlformats.org/officeDocument/2006/relationships/hyperlink" Target="https://arxiv.org/abs/2010.04159" TargetMode="External"/><Relationship Id="rId15" Type="http://schemas.openxmlformats.org/officeDocument/2006/relationships/hyperlink" Target="https://arxiv.org/abs/2003.07847" TargetMode="External"/><Relationship Id="rId10" Type="http://schemas.openxmlformats.org/officeDocument/2006/relationships/hyperlink" Target="https://github.com/Megvii-BaseDetection/CrowdDetection" TargetMode="External"/><Relationship Id="rId19" Type="http://schemas.openxmlformats.org/officeDocument/2006/relationships/hyperlink" Target="https://arxiv.org/abs/2309.00000" TargetMode="External"/><Relationship Id="rId4" Type="http://schemas.openxmlformats.org/officeDocument/2006/relationships/hyperlink" Target="https://github.com/Hatins/DEYOLO" TargetMode="External"/><Relationship Id="rId9" Type="http://schemas.openxmlformats.org/officeDocument/2006/relationships/hyperlink" Target="https://arxiv.org/abs/2003.07847" TargetMode="External"/><Relationship Id="rId14" Type="http://schemas.openxmlformats.org/officeDocument/2006/relationships/hyperlink" Target="https://github.com/WongKinYiu/yolov7" TargetMode="External"/><Relationship Id="rId22" Type="http://schemas.openxmlformats.org/officeDocument/2006/relationships/hyperlink" Target="https://github.com/ultralytics/ultralytics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ultralytics/ultralytics" TargetMode="External"/><Relationship Id="rId13" Type="http://schemas.openxmlformats.org/officeDocument/2006/relationships/hyperlink" Target="https://arxiv.org/abs/1712.00726" TargetMode="External"/><Relationship Id="rId18" Type="http://schemas.openxmlformats.org/officeDocument/2006/relationships/hyperlink" Target="https://github.com/Deci-AI/super-gradients" TargetMode="External"/><Relationship Id="rId3" Type="http://schemas.openxmlformats.org/officeDocument/2006/relationships/hyperlink" Target="https://arxiv.org/abs/2207.02696" TargetMode="External"/><Relationship Id="rId21" Type="http://schemas.openxmlformats.org/officeDocument/2006/relationships/hyperlink" Target="https://arxiv.org/abs/2506.17733" TargetMode="External"/><Relationship Id="rId7" Type="http://schemas.openxmlformats.org/officeDocument/2006/relationships/hyperlink" Target="https://docs.ultralytics.com/models/yolo11/" TargetMode="External"/><Relationship Id="rId12" Type="http://schemas.openxmlformats.org/officeDocument/2006/relationships/hyperlink" Target="https://github.com/rbgirshick/py-faster-rcnn" TargetMode="External"/><Relationship Id="rId17" Type="http://schemas.openxmlformats.org/officeDocument/2006/relationships/hyperlink" Target="https://github.com/Deci-AI/super-gradients" TargetMode="External"/><Relationship Id="rId2" Type="http://schemas.openxmlformats.org/officeDocument/2006/relationships/hyperlink" Target="https://github.com/Yang-Z-G/GRAZPEDWRI-DX" TargetMode="External"/><Relationship Id="rId16" Type="http://schemas.openxmlformats.org/officeDocument/2006/relationships/hyperlink" Target="https://github.com/lyuwenyu/RT-DETR" TargetMode="External"/><Relationship Id="rId20" Type="http://schemas.openxmlformats.org/officeDocument/2006/relationships/hyperlink" Target="https://github.com/ultralytics/ultralytics" TargetMode="External"/><Relationship Id="rId1" Type="http://schemas.openxmlformats.org/officeDocument/2006/relationships/hyperlink" Target="https://www.nature.com/articles/s41597-023-02432-4" TargetMode="External"/><Relationship Id="rId6" Type="http://schemas.openxmlformats.org/officeDocument/2006/relationships/hyperlink" Target="https://github.com/WongKinYiu/yolov9" TargetMode="External"/><Relationship Id="rId11" Type="http://schemas.openxmlformats.org/officeDocument/2006/relationships/hyperlink" Target="https://arxiv.org/abs/1506.01497" TargetMode="External"/><Relationship Id="rId5" Type="http://schemas.openxmlformats.org/officeDocument/2006/relationships/hyperlink" Target="https://arxiv.org/abs/2402.13616" TargetMode="External"/><Relationship Id="rId15" Type="http://schemas.openxmlformats.org/officeDocument/2006/relationships/hyperlink" Target="https://arxiv.org/abs/2304.08069" TargetMode="External"/><Relationship Id="rId10" Type="http://schemas.openxmlformats.org/officeDocument/2006/relationships/hyperlink" Target="https://github.com/sunsmarterjie/yolov12" TargetMode="External"/><Relationship Id="rId19" Type="http://schemas.openxmlformats.org/officeDocument/2006/relationships/hyperlink" Target="https://docs.ultralytics.com/models/yolo26/" TargetMode="External"/><Relationship Id="rId4" Type="http://schemas.openxmlformats.org/officeDocument/2006/relationships/hyperlink" Target="https://github.com/WongKinYiu/yolov7" TargetMode="External"/><Relationship Id="rId9" Type="http://schemas.openxmlformats.org/officeDocument/2006/relationships/hyperlink" Target="https://arxiv.org/abs/2502.12524" TargetMode="External"/><Relationship Id="rId14" Type="http://schemas.openxmlformats.org/officeDocument/2006/relationships/hyperlink" Target="https://github.com/zhaoweicai/cascade-rcnn" TargetMode="External"/><Relationship Id="rId22" Type="http://schemas.openxmlformats.org/officeDocument/2006/relationships/hyperlink" Target="https://github.com/iMoonLab/yolov13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Rishit-dagli/CPPE-Dataset" TargetMode="External"/><Relationship Id="rId13" Type="http://schemas.openxmlformats.org/officeDocument/2006/relationships/hyperlink" Target="https://arxiv.org/abs/2402.13616" TargetMode="External"/><Relationship Id="rId18" Type="http://schemas.openxmlformats.org/officeDocument/2006/relationships/hyperlink" Target="https://github.com/sunsmarterjie/yolov12" TargetMode="External"/><Relationship Id="rId3" Type="http://schemas.openxmlformats.org/officeDocument/2006/relationships/hyperlink" Target="https://arxiv.org/abs/2112.09569" TargetMode="External"/><Relationship Id="rId21" Type="http://schemas.openxmlformats.org/officeDocument/2006/relationships/hyperlink" Target="https://arxiv.org/abs/2304.08069" TargetMode="External"/><Relationship Id="rId7" Type="http://schemas.openxmlformats.org/officeDocument/2006/relationships/hyperlink" Target="https://arxiv.org/abs/2112.09569" TargetMode="External"/><Relationship Id="rId12" Type="http://schemas.openxmlformats.org/officeDocument/2006/relationships/hyperlink" Target="https://github.com/ultralytics/ultralytics" TargetMode="External"/><Relationship Id="rId17" Type="http://schemas.openxmlformats.org/officeDocument/2006/relationships/hyperlink" Target="https://arxiv.org/abs/2502.12524" TargetMode="External"/><Relationship Id="rId2" Type="http://schemas.openxmlformats.org/officeDocument/2006/relationships/hyperlink" Target="https://github.com/Rishit-dagli/CPPE-Dataset" TargetMode="External"/><Relationship Id="rId16" Type="http://schemas.openxmlformats.org/officeDocument/2006/relationships/hyperlink" Target="https://github.com/ultralytics/ultralytics" TargetMode="External"/><Relationship Id="rId20" Type="http://schemas.openxmlformats.org/officeDocument/2006/relationships/hyperlink" Target="https://github.com/iMoonLab/yolov13" TargetMode="External"/><Relationship Id="rId1" Type="http://schemas.openxmlformats.org/officeDocument/2006/relationships/hyperlink" Target="https://arxiv.org/abs/2112.09569" TargetMode="External"/><Relationship Id="rId6" Type="http://schemas.openxmlformats.org/officeDocument/2006/relationships/hyperlink" Target="https://github.com/Rishit-dagli/CPPE-Dataset" TargetMode="External"/><Relationship Id="rId11" Type="http://schemas.openxmlformats.org/officeDocument/2006/relationships/hyperlink" Target="https://docs.ultralytics.com/models/yolov8/" TargetMode="External"/><Relationship Id="rId5" Type="http://schemas.openxmlformats.org/officeDocument/2006/relationships/hyperlink" Target="https://arxiv.org/abs/2112.09569" TargetMode="External"/><Relationship Id="rId15" Type="http://schemas.openxmlformats.org/officeDocument/2006/relationships/hyperlink" Target="https://docs.ultralytics.com/models/yolo11/" TargetMode="External"/><Relationship Id="rId10" Type="http://schemas.openxmlformats.org/officeDocument/2006/relationships/hyperlink" Target="https://github.com/WongKinYiu/yolov7" TargetMode="External"/><Relationship Id="rId19" Type="http://schemas.openxmlformats.org/officeDocument/2006/relationships/hyperlink" Target="https://arxiv.org/abs/2506.17733" TargetMode="External"/><Relationship Id="rId4" Type="http://schemas.openxmlformats.org/officeDocument/2006/relationships/hyperlink" Target="https://github.com/Rishit-dagli/CPPE-Dataset" TargetMode="External"/><Relationship Id="rId9" Type="http://schemas.openxmlformats.org/officeDocument/2006/relationships/hyperlink" Target="https://arxiv.org/abs/2207.02696" TargetMode="External"/><Relationship Id="rId14" Type="http://schemas.openxmlformats.org/officeDocument/2006/relationships/hyperlink" Target="https://github.com/WongKinYiu/yolov9" TargetMode="External"/><Relationship Id="rId22" Type="http://schemas.openxmlformats.org/officeDocument/2006/relationships/hyperlink" Target="https://github.com/lyuwenyu/RT-DETR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rbgirshick/py-faster-rcnn" TargetMode="External"/><Relationship Id="rId13" Type="http://schemas.openxmlformats.org/officeDocument/2006/relationships/hyperlink" Target="https://arxiv.org/abs/2211.12860" TargetMode="External"/><Relationship Id="rId18" Type="http://schemas.openxmlformats.org/officeDocument/2006/relationships/hyperlink" Target="https://github.com/WongKinYiu/yolov7" TargetMode="External"/><Relationship Id="rId3" Type="http://schemas.openxmlformats.org/officeDocument/2006/relationships/hyperlink" Target="https://arxiv.org/abs/2105.04206" TargetMode="External"/><Relationship Id="rId21" Type="http://schemas.openxmlformats.org/officeDocument/2006/relationships/hyperlink" Target="https://arxiv.org/abs/2203.03605" TargetMode="External"/><Relationship Id="rId7" Type="http://schemas.openxmlformats.org/officeDocument/2006/relationships/hyperlink" Target="https://arxiv.org/abs/1506.01497" TargetMode="External"/><Relationship Id="rId12" Type="http://schemas.openxmlformats.org/officeDocument/2006/relationships/hyperlink" Target="https://github.com/facebookresearch/detr" TargetMode="External"/><Relationship Id="rId17" Type="http://schemas.openxmlformats.org/officeDocument/2006/relationships/hyperlink" Target="https://arxiv.org/abs/2207.02696" TargetMode="External"/><Relationship Id="rId2" Type="http://schemas.openxmlformats.org/officeDocument/2006/relationships/hyperlink" Target="https://github.com/waymo-research/waymo-open-dataset" TargetMode="External"/><Relationship Id="rId16" Type="http://schemas.openxmlformats.org/officeDocument/2006/relationships/hyperlink" Target="https://github.com/OpenGVLab/InternImage" TargetMode="External"/><Relationship Id="rId20" Type="http://schemas.openxmlformats.org/officeDocument/2006/relationships/hyperlink" Target="https://github.com/ultralytics/ultralytics" TargetMode="External"/><Relationship Id="rId1" Type="http://schemas.openxmlformats.org/officeDocument/2006/relationships/hyperlink" Target="https://waymo.com/open/challenges/2022/2d-detection/" TargetMode="External"/><Relationship Id="rId6" Type="http://schemas.openxmlformats.org/officeDocument/2006/relationships/hyperlink" Target="https://github.com/zhaoweicai/cascade-rcnn" TargetMode="External"/><Relationship Id="rId11" Type="http://schemas.openxmlformats.org/officeDocument/2006/relationships/hyperlink" Target="https://arxiv.org/abs/2005.12872" TargetMode="External"/><Relationship Id="rId5" Type="http://schemas.openxmlformats.org/officeDocument/2006/relationships/hyperlink" Target="https://arxiv.org/abs/1712.00726" TargetMode="External"/><Relationship Id="rId15" Type="http://schemas.openxmlformats.org/officeDocument/2006/relationships/hyperlink" Target="https://arxiv.org/abs/2211.05778" TargetMode="External"/><Relationship Id="rId10" Type="http://schemas.openxmlformats.org/officeDocument/2006/relationships/hyperlink" Target="https://github.com/PeizeSun/SparseR-CNN" TargetMode="External"/><Relationship Id="rId19" Type="http://schemas.openxmlformats.org/officeDocument/2006/relationships/hyperlink" Target="https://docs.ultralytics.com/models/yolov8/" TargetMode="External"/><Relationship Id="rId4" Type="http://schemas.openxmlformats.org/officeDocument/2006/relationships/hyperlink" Target="https://github.com/WongKinYiu/yolor" TargetMode="External"/><Relationship Id="rId9" Type="http://schemas.openxmlformats.org/officeDocument/2006/relationships/hyperlink" Target="https://arxiv.org/abs/2011.12450" TargetMode="External"/><Relationship Id="rId14" Type="http://schemas.openxmlformats.org/officeDocument/2006/relationships/hyperlink" Target="https://github.com/Sense-X/Co-DETR" TargetMode="External"/><Relationship Id="rId22" Type="http://schemas.openxmlformats.org/officeDocument/2006/relationships/hyperlink" Target="https://github.com/IDEA-Research/DINO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yancie-yjr/StreamYOLO" TargetMode="External"/><Relationship Id="rId13" Type="http://schemas.openxmlformats.org/officeDocument/2006/relationships/hyperlink" Target="https://arxiv.org/abs/2304.00000" TargetMode="External"/><Relationship Id="rId18" Type="http://schemas.openxmlformats.org/officeDocument/2006/relationships/hyperlink" Target="https://github.com/lyuwenyu/RT-DETR" TargetMode="External"/><Relationship Id="rId3" Type="http://schemas.openxmlformats.org/officeDocument/2006/relationships/hyperlink" Target="https://arxiv.org/abs/2207.10433" TargetMode="External"/><Relationship Id="rId21" Type="http://schemas.openxmlformats.org/officeDocument/2006/relationships/hyperlink" Target="https://arxiv.org/abs/2410.13842" TargetMode="External"/><Relationship Id="rId7" Type="http://schemas.openxmlformats.org/officeDocument/2006/relationships/hyperlink" Target="https://arxiv.org/abs/2207.10433" TargetMode="External"/><Relationship Id="rId12" Type="http://schemas.openxmlformats.org/officeDocument/2006/relationships/hyperlink" Target="https://github.com/mtli/sAP" TargetMode="External"/><Relationship Id="rId17" Type="http://schemas.openxmlformats.org/officeDocument/2006/relationships/hyperlink" Target="https://arxiv.org/abs/2304.08069" TargetMode="External"/><Relationship Id="rId2" Type="http://schemas.openxmlformats.org/officeDocument/2006/relationships/hyperlink" Target="https://github.com/zhiqic/DAMO-StreamNet" TargetMode="External"/><Relationship Id="rId16" Type="http://schemas.openxmlformats.org/officeDocument/2006/relationships/hyperlink" Target="https://github.com/open-mmlab/mmdetection" TargetMode="External"/><Relationship Id="rId20" Type="http://schemas.openxmlformats.org/officeDocument/2006/relationships/hyperlink" Target="https://github.com/ultralytics/ultralytics" TargetMode="External"/><Relationship Id="rId1" Type="http://schemas.openxmlformats.org/officeDocument/2006/relationships/hyperlink" Target="https://arxiv.org/abs/2303.17144" TargetMode="External"/><Relationship Id="rId6" Type="http://schemas.openxmlformats.org/officeDocument/2006/relationships/hyperlink" Target="https://github.com/LongShortNet/LongShortNet" TargetMode="External"/><Relationship Id="rId11" Type="http://schemas.openxmlformats.org/officeDocument/2006/relationships/hyperlink" Target="https://arxiv.org/abs/2005.10420" TargetMode="External"/><Relationship Id="rId5" Type="http://schemas.openxmlformats.org/officeDocument/2006/relationships/hyperlink" Target="https://arxiv.org/abs/2210.15518" TargetMode="External"/><Relationship Id="rId15" Type="http://schemas.openxmlformats.org/officeDocument/2006/relationships/hyperlink" Target="https://github.com/open-mmlab/mmdetection" TargetMode="External"/><Relationship Id="rId10" Type="http://schemas.openxmlformats.org/officeDocument/2006/relationships/hyperlink" Target="https://github.com/Megvii-BaseDetection/YOLOX" TargetMode="External"/><Relationship Id="rId19" Type="http://schemas.openxmlformats.org/officeDocument/2006/relationships/hyperlink" Target="https://docs.ultralytics.com/models/yolov8/" TargetMode="External"/><Relationship Id="rId4" Type="http://schemas.openxmlformats.org/officeDocument/2006/relationships/hyperlink" Target="https://github.com/yancie-yjr/StreamYOLO" TargetMode="External"/><Relationship Id="rId9" Type="http://schemas.openxmlformats.org/officeDocument/2006/relationships/hyperlink" Target="https://arxiv.org/abs/2107.08430" TargetMode="External"/><Relationship Id="rId14" Type="http://schemas.openxmlformats.org/officeDocument/2006/relationships/hyperlink" Target="https://github.com/" TargetMode="External"/><Relationship Id="rId22" Type="http://schemas.openxmlformats.org/officeDocument/2006/relationships/hyperlink" Target="https://github.com/Peterande/D-FINE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yancie-yjr/StreamYOLO" TargetMode="External"/><Relationship Id="rId13" Type="http://schemas.openxmlformats.org/officeDocument/2006/relationships/hyperlink" Target="https://arxiv.org/abs/2304.00000" TargetMode="External"/><Relationship Id="rId18" Type="http://schemas.openxmlformats.org/officeDocument/2006/relationships/hyperlink" Target="https://github.com/lyuwenyu/RT-DETR" TargetMode="External"/><Relationship Id="rId3" Type="http://schemas.openxmlformats.org/officeDocument/2006/relationships/hyperlink" Target="https://arxiv.org/abs/2207.10433" TargetMode="External"/><Relationship Id="rId21" Type="http://schemas.openxmlformats.org/officeDocument/2006/relationships/hyperlink" Target="https://arxiv.org/abs/2410.13842" TargetMode="External"/><Relationship Id="rId7" Type="http://schemas.openxmlformats.org/officeDocument/2006/relationships/hyperlink" Target="https://arxiv.org/abs/2207.10433" TargetMode="External"/><Relationship Id="rId12" Type="http://schemas.openxmlformats.org/officeDocument/2006/relationships/hyperlink" Target="https://github.com/mtli/sAP" TargetMode="External"/><Relationship Id="rId17" Type="http://schemas.openxmlformats.org/officeDocument/2006/relationships/hyperlink" Target="https://arxiv.org/abs/2304.08069" TargetMode="External"/><Relationship Id="rId2" Type="http://schemas.openxmlformats.org/officeDocument/2006/relationships/hyperlink" Target="https://github.com/zhiqic/DAMO-StreamNet" TargetMode="External"/><Relationship Id="rId16" Type="http://schemas.openxmlformats.org/officeDocument/2006/relationships/hyperlink" Target="https://github.com/open-mmlab/mmdetection" TargetMode="External"/><Relationship Id="rId20" Type="http://schemas.openxmlformats.org/officeDocument/2006/relationships/hyperlink" Target="https://github.com/ultralytics/ultralytics" TargetMode="External"/><Relationship Id="rId1" Type="http://schemas.openxmlformats.org/officeDocument/2006/relationships/hyperlink" Target="https://arxiv.org/abs/2303.17144" TargetMode="External"/><Relationship Id="rId6" Type="http://schemas.openxmlformats.org/officeDocument/2006/relationships/hyperlink" Target="https://github.com/LongShortNet/LongShortNet" TargetMode="External"/><Relationship Id="rId11" Type="http://schemas.openxmlformats.org/officeDocument/2006/relationships/hyperlink" Target="https://arxiv.org/abs/2005.10420" TargetMode="External"/><Relationship Id="rId5" Type="http://schemas.openxmlformats.org/officeDocument/2006/relationships/hyperlink" Target="https://arxiv.org/abs/2210.15518" TargetMode="External"/><Relationship Id="rId15" Type="http://schemas.openxmlformats.org/officeDocument/2006/relationships/hyperlink" Target="https://github.com/open-mmlab/mmdetection" TargetMode="External"/><Relationship Id="rId10" Type="http://schemas.openxmlformats.org/officeDocument/2006/relationships/hyperlink" Target="https://github.com/Megvii-BaseDetection/YOLOX" TargetMode="External"/><Relationship Id="rId19" Type="http://schemas.openxmlformats.org/officeDocument/2006/relationships/hyperlink" Target="https://docs.ultralytics.com/models/yolov8/" TargetMode="External"/><Relationship Id="rId4" Type="http://schemas.openxmlformats.org/officeDocument/2006/relationships/hyperlink" Target="https://github.com/yancie-yjr/StreamYOLO" TargetMode="External"/><Relationship Id="rId9" Type="http://schemas.openxmlformats.org/officeDocument/2006/relationships/hyperlink" Target="https://arxiv.org/abs/2107.08430" TargetMode="External"/><Relationship Id="rId14" Type="http://schemas.openxmlformats.org/officeDocument/2006/relationships/hyperlink" Target="https://github.com/" TargetMode="External"/><Relationship Id="rId22" Type="http://schemas.openxmlformats.org/officeDocument/2006/relationships/hyperlink" Target="https://github.com/Peterande/D-FINE" TargetMode="Externa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yancie-yjr/StreamYOLO" TargetMode="External"/><Relationship Id="rId13" Type="http://schemas.openxmlformats.org/officeDocument/2006/relationships/hyperlink" Target="https://arxiv.org/abs/2304.00000" TargetMode="External"/><Relationship Id="rId18" Type="http://schemas.openxmlformats.org/officeDocument/2006/relationships/hyperlink" Target="https://github.com/lyuwenyu/RT-DETR" TargetMode="External"/><Relationship Id="rId3" Type="http://schemas.openxmlformats.org/officeDocument/2006/relationships/hyperlink" Target="https://arxiv.org/abs/2207.10433" TargetMode="External"/><Relationship Id="rId21" Type="http://schemas.openxmlformats.org/officeDocument/2006/relationships/hyperlink" Target="https://arxiv.org/abs/2410.13842" TargetMode="External"/><Relationship Id="rId7" Type="http://schemas.openxmlformats.org/officeDocument/2006/relationships/hyperlink" Target="https://arxiv.org/abs/2207.10433" TargetMode="External"/><Relationship Id="rId12" Type="http://schemas.openxmlformats.org/officeDocument/2006/relationships/hyperlink" Target="https://github.com/mtli/sAP" TargetMode="External"/><Relationship Id="rId17" Type="http://schemas.openxmlformats.org/officeDocument/2006/relationships/hyperlink" Target="https://arxiv.org/abs/2304.08069" TargetMode="External"/><Relationship Id="rId2" Type="http://schemas.openxmlformats.org/officeDocument/2006/relationships/hyperlink" Target="https://github.com/zhiqic/DAMO-StreamNet" TargetMode="External"/><Relationship Id="rId16" Type="http://schemas.openxmlformats.org/officeDocument/2006/relationships/hyperlink" Target="https://github.com/open-mmlab/mmdetection" TargetMode="External"/><Relationship Id="rId20" Type="http://schemas.openxmlformats.org/officeDocument/2006/relationships/hyperlink" Target="https://github.com/ultralytics/ultralytics" TargetMode="External"/><Relationship Id="rId1" Type="http://schemas.openxmlformats.org/officeDocument/2006/relationships/hyperlink" Target="https://arxiv.org/abs/2303.17144" TargetMode="External"/><Relationship Id="rId6" Type="http://schemas.openxmlformats.org/officeDocument/2006/relationships/hyperlink" Target="https://github.com/LongShortNet/LongShortNet" TargetMode="External"/><Relationship Id="rId11" Type="http://schemas.openxmlformats.org/officeDocument/2006/relationships/hyperlink" Target="https://arxiv.org/abs/2005.10420" TargetMode="External"/><Relationship Id="rId5" Type="http://schemas.openxmlformats.org/officeDocument/2006/relationships/hyperlink" Target="https://arxiv.org/abs/2210.15518" TargetMode="External"/><Relationship Id="rId15" Type="http://schemas.openxmlformats.org/officeDocument/2006/relationships/hyperlink" Target="https://github.com/open-mmlab/mmdetection" TargetMode="External"/><Relationship Id="rId10" Type="http://schemas.openxmlformats.org/officeDocument/2006/relationships/hyperlink" Target="https://github.com/Megvii-BaseDetection/YOLOX" TargetMode="External"/><Relationship Id="rId19" Type="http://schemas.openxmlformats.org/officeDocument/2006/relationships/hyperlink" Target="https://docs.ultralytics.com/models/yolov8/" TargetMode="External"/><Relationship Id="rId4" Type="http://schemas.openxmlformats.org/officeDocument/2006/relationships/hyperlink" Target="https://github.com/yancie-yjr/StreamYOLO" TargetMode="External"/><Relationship Id="rId9" Type="http://schemas.openxmlformats.org/officeDocument/2006/relationships/hyperlink" Target="https://arxiv.org/abs/2107.08430" TargetMode="External"/><Relationship Id="rId14" Type="http://schemas.openxmlformats.org/officeDocument/2006/relationships/hyperlink" Target="https://github.com/" TargetMode="External"/><Relationship Id="rId22" Type="http://schemas.openxmlformats.org/officeDocument/2006/relationships/hyperlink" Target="https://github.com/Peterande/D-FINE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yancie-yjr/StreamYOLO" TargetMode="External"/><Relationship Id="rId13" Type="http://schemas.openxmlformats.org/officeDocument/2006/relationships/hyperlink" Target="https://arxiv.org/abs/2304.00000" TargetMode="External"/><Relationship Id="rId18" Type="http://schemas.openxmlformats.org/officeDocument/2006/relationships/hyperlink" Target="https://github.com/lyuwenyu/RT-DETR" TargetMode="External"/><Relationship Id="rId3" Type="http://schemas.openxmlformats.org/officeDocument/2006/relationships/hyperlink" Target="https://arxiv.org/abs/2207.10433" TargetMode="External"/><Relationship Id="rId21" Type="http://schemas.openxmlformats.org/officeDocument/2006/relationships/hyperlink" Target="https://arxiv.org/abs/2410.13842" TargetMode="External"/><Relationship Id="rId7" Type="http://schemas.openxmlformats.org/officeDocument/2006/relationships/hyperlink" Target="https://arxiv.org/abs/2207.10433" TargetMode="External"/><Relationship Id="rId12" Type="http://schemas.openxmlformats.org/officeDocument/2006/relationships/hyperlink" Target="https://github.com/mtli/sAP" TargetMode="External"/><Relationship Id="rId17" Type="http://schemas.openxmlformats.org/officeDocument/2006/relationships/hyperlink" Target="https://arxiv.org/abs/2304.08069" TargetMode="External"/><Relationship Id="rId2" Type="http://schemas.openxmlformats.org/officeDocument/2006/relationships/hyperlink" Target="https://github.com/zhiqic/DAMO-StreamNet" TargetMode="External"/><Relationship Id="rId16" Type="http://schemas.openxmlformats.org/officeDocument/2006/relationships/hyperlink" Target="https://github.com/open-mmlab/mmdetection" TargetMode="External"/><Relationship Id="rId20" Type="http://schemas.openxmlformats.org/officeDocument/2006/relationships/hyperlink" Target="https://github.com/ultralytics/ultralytics" TargetMode="External"/><Relationship Id="rId1" Type="http://schemas.openxmlformats.org/officeDocument/2006/relationships/hyperlink" Target="https://arxiv.org/abs/2303.17144" TargetMode="External"/><Relationship Id="rId6" Type="http://schemas.openxmlformats.org/officeDocument/2006/relationships/hyperlink" Target="https://github.com/LongShortNet/LongShortNet" TargetMode="External"/><Relationship Id="rId11" Type="http://schemas.openxmlformats.org/officeDocument/2006/relationships/hyperlink" Target="https://arxiv.org/abs/2005.10420" TargetMode="External"/><Relationship Id="rId5" Type="http://schemas.openxmlformats.org/officeDocument/2006/relationships/hyperlink" Target="https://arxiv.org/abs/2210.15518" TargetMode="External"/><Relationship Id="rId15" Type="http://schemas.openxmlformats.org/officeDocument/2006/relationships/hyperlink" Target="https://github.com/open-mmlab/mmdetection" TargetMode="External"/><Relationship Id="rId10" Type="http://schemas.openxmlformats.org/officeDocument/2006/relationships/hyperlink" Target="https://github.com/Megvii-BaseDetection/YOLOX" TargetMode="External"/><Relationship Id="rId19" Type="http://schemas.openxmlformats.org/officeDocument/2006/relationships/hyperlink" Target="https://docs.ultralytics.com/models/yolov8/" TargetMode="External"/><Relationship Id="rId4" Type="http://schemas.openxmlformats.org/officeDocument/2006/relationships/hyperlink" Target="https://github.com/yancie-yjr/StreamYOLO" TargetMode="External"/><Relationship Id="rId9" Type="http://schemas.openxmlformats.org/officeDocument/2006/relationships/hyperlink" Target="https://arxiv.org/abs/2107.08430" TargetMode="External"/><Relationship Id="rId14" Type="http://schemas.openxmlformats.org/officeDocument/2006/relationships/hyperlink" Target="https://github.com/" TargetMode="External"/><Relationship Id="rId22" Type="http://schemas.openxmlformats.org/officeDocument/2006/relationships/hyperlink" Target="https://github.com/Peterande/D-FINE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2-Multimedia-Lab/M3Net" TargetMode="External"/><Relationship Id="rId13" Type="http://schemas.openxmlformats.org/officeDocument/2006/relationships/hyperlink" Target="https://arxiv.org/abs/2012.13093" TargetMode="External"/><Relationship Id="rId18" Type="http://schemas.openxmlformats.org/officeDocument/2006/relationships/hyperlink" Target="https://github.com/lartpang/MINet" TargetMode="External"/><Relationship Id="rId3" Type="http://schemas.openxmlformats.org/officeDocument/2006/relationships/hyperlink" Target="https://arxiv.org/abs/2209.09475" TargetMode="External"/><Relationship Id="rId21" Type="http://schemas.openxmlformats.org/officeDocument/2006/relationships/hyperlink" Target="https://arxiv.org/abs/1904.07857" TargetMode="External"/><Relationship Id="rId7" Type="http://schemas.openxmlformats.org/officeDocument/2006/relationships/hyperlink" Target="https://arxiv.org/abs/2309.08365" TargetMode="External"/><Relationship Id="rId12" Type="http://schemas.openxmlformats.org/officeDocument/2006/relationships/hyperlink" Target="https://github.com/nnizhang/VST" TargetMode="External"/><Relationship Id="rId17" Type="http://schemas.openxmlformats.org/officeDocument/2006/relationships/hyperlink" Target="https://arxiv.org/abs/2007.09062" TargetMode="External"/><Relationship Id="rId2" Type="http://schemas.openxmlformats.org/officeDocument/2006/relationships/hyperlink" Target="https://github.com/ZhengPeng7/BiRefNet" TargetMode="External"/><Relationship Id="rId16" Type="http://schemas.openxmlformats.org/officeDocument/2006/relationships/hyperlink" Target="https://github.com/backseason/PoolNet" TargetMode="External"/><Relationship Id="rId20" Type="http://schemas.openxmlformats.org/officeDocument/2006/relationships/hyperlink" Target="https://github.com/xuebinqin/U-2-Net" TargetMode="External"/><Relationship Id="rId1" Type="http://schemas.openxmlformats.org/officeDocument/2006/relationships/hyperlink" Target="https://arxiv.org/abs/2401.03407" TargetMode="External"/><Relationship Id="rId6" Type="http://schemas.openxmlformats.org/officeDocument/2006/relationships/hyperlink" Target="https://github.com/qianyu-dlut/MVANet" TargetMode="External"/><Relationship Id="rId11" Type="http://schemas.openxmlformats.org/officeDocument/2006/relationships/hyperlink" Target="https://arxiv.org/abs/2104.12099" TargetMode="External"/><Relationship Id="rId24" Type="http://schemas.openxmlformats.org/officeDocument/2006/relationships/hyperlink" Target="https://github.com/I2-Multimedia-Lab/UGRAN" TargetMode="External"/><Relationship Id="rId5" Type="http://schemas.openxmlformats.org/officeDocument/2006/relationships/hyperlink" Target="https://arxiv.org/abs/2404.07445" TargetMode="External"/><Relationship Id="rId15" Type="http://schemas.openxmlformats.org/officeDocument/2006/relationships/hyperlink" Target="https://arxiv.org/abs/1904.09569" TargetMode="External"/><Relationship Id="rId23" Type="http://schemas.openxmlformats.org/officeDocument/2006/relationships/hyperlink" Target="https://github.com/I2-Multimedia-Lab/UGRAN" TargetMode="External"/><Relationship Id="rId10" Type="http://schemas.openxmlformats.org/officeDocument/2006/relationships/hyperlink" Target="https://github.com/mczhuge/ICON" TargetMode="External"/><Relationship Id="rId19" Type="http://schemas.openxmlformats.org/officeDocument/2006/relationships/hyperlink" Target="https://arxiv.org/abs/2005.09007" TargetMode="External"/><Relationship Id="rId4" Type="http://schemas.openxmlformats.org/officeDocument/2006/relationships/hyperlink" Target="https://github.com/plemeri/InSPyReNet" TargetMode="External"/><Relationship Id="rId9" Type="http://schemas.openxmlformats.org/officeDocument/2006/relationships/hyperlink" Target="https://arxiv.org/abs/2111.13409" TargetMode="External"/><Relationship Id="rId14" Type="http://schemas.openxmlformats.org/officeDocument/2006/relationships/hyperlink" Target="https://github.com/yuhuan-wu/EDN" TargetMode="External"/><Relationship Id="rId22" Type="http://schemas.openxmlformats.org/officeDocument/2006/relationships/hyperlink" Target="https://github.com/xuebinqin/BASNet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2-Multimedia-Lab/M3Net" TargetMode="External"/><Relationship Id="rId13" Type="http://schemas.openxmlformats.org/officeDocument/2006/relationships/hyperlink" Target="https://arxiv.org/abs/2012.13093" TargetMode="External"/><Relationship Id="rId18" Type="http://schemas.openxmlformats.org/officeDocument/2006/relationships/hyperlink" Target="https://github.com/lartpang/MINet" TargetMode="External"/><Relationship Id="rId3" Type="http://schemas.openxmlformats.org/officeDocument/2006/relationships/hyperlink" Target="https://arxiv.org/abs/2209.09475" TargetMode="External"/><Relationship Id="rId21" Type="http://schemas.openxmlformats.org/officeDocument/2006/relationships/hyperlink" Target="https://arxiv.org/abs/1904.07857" TargetMode="External"/><Relationship Id="rId7" Type="http://schemas.openxmlformats.org/officeDocument/2006/relationships/hyperlink" Target="https://arxiv.org/abs/2309.08365" TargetMode="External"/><Relationship Id="rId12" Type="http://schemas.openxmlformats.org/officeDocument/2006/relationships/hyperlink" Target="https://github.com/nnizhang/VST" TargetMode="External"/><Relationship Id="rId17" Type="http://schemas.openxmlformats.org/officeDocument/2006/relationships/hyperlink" Target="https://arxiv.org/abs/2007.09062" TargetMode="External"/><Relationship Id="rId2" Type="http://schemas.openxmlformats.org/officeDocument/2006/relationships/hyperlink" Target="https://github.com/ZhengPeng7/BiRefNet" TargetMode="External"/><Relationship Id="rId16" Type="http://schemas.openxmlformats.org/officeDocument/2006/relationships/hyperlink" Target="https://github.com/backseason/PoolNet" TargetMode="External"/><Relationship Id="rId20" Type="http://schemas.openxmlformats.org/officeDocument/2006/relationships/hyperlink" Target="https://github.com/xuebinqin/U-2-Net" TargetMode="External"/><Relationship Id="rId1" Type="http://schemas.openxmlformats.org/officeDocument/2006/relationships/hyperlink" Target="https://arxiv.org/abs/2401.03407" TargetMode="External"/><Relationship Id="rId6" Type="http://schemas.openxmlformats.org/officeDocument/2006/relationships/hyperlink" Target="https://github.com/qianyu-dlut/MVANet" TargetMode="External"/><Relationship Id="rId11" Type="http://schemas.openxmlformats.org/officeDocument/2006/relationships/hyperlink" Target="https://arxiv.org/abs/2104.12099" TargetMode="External"/><Relationship Id="rId24" Type="http://schemas.openxmlformats.org/officeDocument/2006/relationships/hyperlink" Target="https://github.com/I2-Multimedia-Lab/UGRAN" TargetMode="External"/><Relationship Id="rId5" Type="http://schemas.openxmlformats.org/officeDocument/2006/relationships/hyperlink" Target="https://arxiv.org/abs/2404.07445" TargetMode="External"/><Relationship Id="rId15" Type="http://schemas.openxmlformats.org/officeDocument/2006/relationships/hyperlink" Target="https://arxiv.org/abs/1904.09569" TargetMode="External"/><Relationship Id="rId23" Type="http://schemas.openxmlformats.org/officeDocument/2006/relationships/hyperlink" Target="https://github.com/I2-Multimedia-Lab/UGRAN" TargetMode="External"/><Relationship Id="rId10" Type="http://schemas.openxmlformats.org/officeDocument/2006/relationships/hyperlink" Target="https://github.com/mczhuge/ICON" TargetMode="External"/><Relationship Id="rId19" Type="http://schemas.openxmlformats.org/officeDocument/2006/relationships/hyperlink" Target="https://arxiv.org/abs/2005.09007" TargetMode="External"/><Relationship Id="rId4" Type="http://schemas.openxmlformats.org/officeDocument/2006/relationships/hyperlink" Target="https://github.com/plemeri/InSPyReNet" TargetMode="External"/><Relationship Id="rId9" Type="http://schemas.openxmlformats.org/officeDocument/2006/relationships/hyperlink" Target="https://arxiv.org/abs/2111.13409" TargetMode="External"/><Relationship Id="rId14" Type="http://schemas.openxmlformats.org/officeDocument/2006/relationships/hyperlink" Target="https://github.com/yuhuan-wu/EDN" TargetMode="External"/><Relationship Id="rId22" Type="http://schemas.openxmlformats.org/officeDocument/2006/relationships/hyperlink" Target="https://github.com/xuebinqin/BASNet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2-Multimedia-Lab/M3Net" TargetMode="External"/><Relationship Id="rId13" Type="http://schemas.openxmlformats.org/officeDocument/2006/relationships/hyperlink" Target="https://arxiv.org/abs/2012.13093" TargetMode="External"/><Relationship Id="rId18" Type="http://schemas.openxmlformats.org/officeDocument/2006/relationships/hyperlink" Target="https://github.com/lartpang/MINet" TargetMode="External"/><Relationship Id="rId3" Type="http://schemas.openxmlformats.org/officeDocument/2006/relationships/hyperlink" Target="https://arxiv.org/abs/2209.09475" TargetMode="External"/><Relationship Id="rId21" Type="http://schemas.openxmlformats.org/officeDocument/2006/relationships/hyperlink" Target="https://arxiv.org/abs/1904.07857" TargetMode="External"/><Relationship Id="rId7" Type="http://schemas.openxmlformats.org/officeDocument/2006/relationships/hyperlink" Target="https://arxiv.org/abs/2309.08365" TargetMode="External"/><Relationship Id="rId12" Type="http://schemas.openxmlformats.org/officeDocument/2006/relationships/hyperlink" Target="https://github.com/nnizhang/VST" TargetMode="External"/><Relationship Id="rId17" Type="http://schemas.openxmlformats.org/officeDocument/2006/relationships/hyperlink" Target="https://arxiv.org/abs/2007.09062" TargetMode="External"/><Relationship Id="rId2" Type="http://schemas.openxmlformats.org/officeDocument/2006/relationships/hyperlink" Target="https://github.com/ZhengPeng7/BiRefNet" TargetMode="External"/><Relationship Id="rId16" Type="http://schemas.openxmlformats.org/officeDocument/2006/relationships/hyperlink" Target="https://github.com/backseason/PoolNet" TargetMode="External"/><Relationship Id="rId20" Type="http://schemas.openxmlformats.org/officeDocument/2006/relationships/hyperlink" Target="https://github.com/xuebinqin/U-2-Net" TargetMode="External"/><Relationship Id="rId1" Type="http://schemas.openxmlformats.org/officeDocument/2006/relationships/hyperlink" Target="https://arxiv.org/abs/2401.03407" TargetMode="External"/><Relationship Id="rId6" Type="http://schemas.openxmlformats.org/officeDocument/2006/relationships/hyperlink" Target="https://github.com/qianyu-dlut/MVANet" TargetMode="External"/><Relationship Id="rId11" Type="http://schemas.openxmlformats.org/officeDocument/2006/relationships/hyperlink" Target="https://arxiv.org/abs/2104.12099" TargetMode="External"/><Relationship Id="rId24" Type="http://schemas.openxmlformats.org/officeDocument/2006/relationships/hyperlink" Target="https://github.com/I2-Multimedia-Lab/UGRAN" TargetMode="External"/><Relationship Id="rId5" Type="http://schemas.openxmlformats.org/officeDocument/2006/relationships/hyperlink" Target="https://arxiv.org/abs/2404.07445" TargetMode="External"/><Relationship Id="rId15" Type="http://schemas.openxmlformats.org/officeDocument/2006/relationships/hyperlink" Target="https://arxiv.org/abs/1904.09569" TargetMode="External"/><Relationship Id="rId23" Type="http://schemas.openxmlformats.org/officeDocument/2006/relationships/hyperlink" Target="https://github.com/I2-Multimedia-Lab/UGRAN" TargetMode="External"/><Relationship Id="rId10" Type="http://schemas.openxmlformats.org/officeDocument/2006/relationships/hyperlink" Target="https://github.com/mczhuge/ICON" TargetMode="External"/><Relationship Id="rId19" Type="http://schemas.openxmlformats.org/officeDocument/2006/relationships/hyperlink" Target="https://arxiv.org/abs/2005.09007" TargetMode="External"/><Relationship Id="rId4" Type="http://schemas.openxmlformats.org/officeDocument/2006/relationships/hyperlink" Target="https://github.com/plemeri/InSPyReNet" TargetMode="External"/><Relationship Id="rId9" Type="http://schemas.openxmlformats.org/officeDocument/2006/relationships/hyperlink" Target="https://arxiv.org/abs/2111.13409" TargetMode="External"/><Relationship Id="rId14" Type="http://schemas.openxmlformats.org/officeDocument/2006/relationships/hyperlink" Target="https://github.com/yuhuan-wu/EDN" TargetMode="External"/><Relationship Id="rId22" Type="http://schemas.openxmlformats.org/officeDocument/2006/relationships/hyperlink" Target="https://github.com/xuebinqin/BASNet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2-Multimedia-Lab/M3Net" TargetMode="External"/><Relationship Id="rId13" Type="http://schemas.openxmlformats.org/officeDocument/2006/relationships/hyperlink" Target="https://arxiv.org/abs/2012.13093" TargetMode="External"/><Relationship Id="rId18" Type="http://schemas.openxmlformats.org/officeDocument/2006/relationships/hyperlink" Target="https://github.com/lartpang/MINet" TargetMode="External"/><Relationship Id="rId3" Type="http://schemas.openxmlformats.org/officeDocument/2006/relationships/hyperlink" Target="https://arxiv.org/abs/2209.09475" TargetMode="External"/><Relationship Id="rId21" Type="http://schemas.openxmlformats.org/officeDocument/2006/relationships/hyperlink" Target="https://arxiv.org/abs/1904.07857" TargetMode="External"/><Relationship Id="rId7" Type="http://schemas.openxmlformats.org/officeDocument/2006/relationships/hyperlink" Target="https://arxiv.org/abs/2309.08365" TargetMode="External"/><Relationship Id="rId12" Type="http://schemas.openxmlformats.org/officeDocument/2006/relationships/hyperlink" Target="https://github.com/nnizhang/VST" TargetMode="External"/><Relationship Id="rId17" Type="http://schemas.openxmlformats.org/officeDocument/2006/relationships/hyperlink" Target="https://arxiv.org/abs/2007.09062" TargetMode="External"/><Relationship Id="rId2" Type="http://schemas.openxmlformats.org/officeDocument/2006/relationships/hyperlink" Target="https://github.com/ZhengPeng7/BiRefNet" TargetMode="External"/><Relationship Id="rId16" Type="http://schemas.openxmlformats.org/officeDocument/2006/relationships/hyperlink" Target="https://github.com/backseason/PoolNet" TargetMode="External"/><Relationship Id="rId20" Type="http://schemas.openxmlformats.org/officeDocument/2006/relationships/hyperlink" Target="https://github.com/xuebinqin/U-2-Net" TargetMode="External"/><Relationship Id="rId1" Type="http://schemas.openxmlformats.org/officeDocument/2006/relationships/hyperlink" Target="https://arxiv.org/abs/2401.03407" TargetMode="External"/><Relationship Id="rId6" Type="http://schemas.openxmlformats.org/officeDocument/2006/relationships/hyperlink" Target="https://github.com/qianyu-dlut/MVANet" TargetMode="External"/><Relationship Id="rId11" Type="http://schemas.openxmlformats.org/officeDocument/2006/relationships/hyperlink" Target="https://arxiv.org/abs/2104.12099" TargetMode="External"/><Relationship Id="rId24" Type="http://schemas.openxmlformats.org/officeDocument/2006/relationships/hyperlink" Target="https://github.com/I2-Multimedia-Lab/UGRAN" TargetMode="External"/><Relationship Id="rId5" Type="http://schemas.openxmlformats.org/officeDocument/2006/relationships/hyperlink" Target="https://arxiv.org/abs/2404.07445" TargetMode="External"/><Relationship Id="rId15" Type="http://schemas.openxmlformats.org/officeDocument/2006/relationships/hyperlink" Target="https://arxiv.org/abs/1904.09569" TargetMode="External"/><Relationship Id="rId23" Type="http://schemas.openxmlformats.org/officeDocument/2006/relationships/hyperlink" Target="https://github.com/I2-Multimedia-Lab/UGRAN" TargetMode="External"/><Relationship Id="rId10" Type="http://schemas.openxmlformats.org/officeDocument/2006/relationships/hyperlink" Target="https://github.com/mczhuge/ICON" TargetMode="External"/><Relationship Id="rId19" Type="http://schemas.openxmlformats.org/officeDocument/2006/relationships/hyperlink" Target="https://arxiv.org/abs/2005.09007" TargetMode="External"/><Relationship Id="rId4" Type="http://schemas.openxmlformats.org/officeDocument/2006/relationships/hyperlink" Target="https://github.com/plemeri/InSPyReNet" TargetMode="External"/><Relationship Id="rId9" Type="http://schemas.openxmlformats.org/officeDocument/2006/relationships/hyperlink" Target="https://arxiv.org/abs/2111.13409" TargetMode="External"/><Relationship Id="rId14" Type="http://schemas.openxmlformats.org/officeDocument/2006/relationships/hyperlink" Target="https://github.com/yuhuan-wu/EDN" TargetMode="External"/><Relationship Id="rId22" Type="http://schemas.openxmlformats.org/officeDocument/2006/relationships/hyperlink" Target="https://github.com/xuebinqin/BASNet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2-Multimedia-Lab/M3Net" TargetMode="External"/><Relationship Id="rId13" Type="http://schemas.openxmlformats.org/officeDocument/2006/relationships/hyperlink" Target="https://arxiv.org/abs/2012.13093" TargetMode="External"/><Relationship Id="rId18" Type="http://schemas.openxmlformats.org/officeDocument/2006/relationships/hyperlink" Target="https://github.com/lartpang/MINet" TargetMode="External"/><Relationship Id="rId3" Type="http://schemas.openxmlformats.org/officeDocument/2006/relationships/hyperlink" Target="https://arxiv.org/abs/2209.09475" TargetMode="External"/><Relationship Id="rId21" Type="http://schemas.openxmlformats.org/officeDocument/2006/relationships/hyperlink" Target="https://arxiv.org/abs/1904.07857" TargetMode="External"/><Relationship Id="rId7" Type="http://schemas.openxmlformats.org/officeDocument/2006/relationships/hyperlink" Target="https://arxiv.org/abs/2309.08365" TargetMode="External"/><Relationship Id="rId12" Type="http://schemas.openxmlformats.org/officeDocument/2006/relationships/hyperlink" Target="https://github.com/nnizhang/VST" TargetMode="External"/><Relationship Id="rId17" Type="http://schemas.openxmlformats.org/officeDocument/2006/relationships/hyperlink" Target="https://arxiv.org/abs/2007.09062" TargetMode="External"/><Relationship Id="rId2" Type="http://schemas.openxmlformats.org/officeDocument/2006/relationships/hyperlink" Target="https://github.com/ZhengPeng7/BiRefNet" TargetMode="External"/><Relationship Id="rId16" Type="http://schemas.openxmlformats.org/officeDocument/2006/relationships/hyperlink" Target="https://github.com/backseason/PoolNet" TargetMode="External"/><Relationship Id="rId20" Type="http://schemas.openxmlformats.org/officeDocument/2006/relationships/hyperlink" Target="https://github.com/xuebinqin/U-2-Net" TargetMode="External"/><Relationship Id="rId1" Type="http://schemas.openxmlformats.org/officeDocument/2006/relationships/hyperlink" Target="https://arxiv.org/abs/2401.03407" TargetMode="External"/><Relationship Id="rId6" Type="http://schemas.openxmlformats.org/officeDocument/2006/relationships/hyperlink" Target="https://github.com/qianyu-dlut/MVANet" TargetMode="External"/><Relationship Id="rId11" Type="http://schemas.openxmlformats.org/officeDocument/2006/relationships/hyperlink" Target="https://arxiv.org/abs/2104.12099" TargetMode="External"/><Relationship Id="rId24" Type="http://schemas.openxmlformats.org/officeDocument/2006/relationships/hyperlink" Target="https://github.com/I2-Multimedia-Lab/UGRAN" TargetMode="External"/><Relationship Id="rId5" Type="http://schemas.openxmlformats.org/officeDocument/2006/relationships/hyperlink" Target="https://arxiv.org/abs/2404.07445" TargetMode="External"/><Relationship Id="rId15" Type="http://schemas.openxmlformats.org/officeDocument/2006/relationships/hyperlink" Target="https://arxiv.org/abs/1904.09569" TargetMode="External"/><Relationship Id="rId23" Type="http://schemas.openxmlformats.org/officeDocument/2006/relationships/hyperlink" Target="https://github.com/I2-Multimedia-Lab/UGRAN" TargetMode="External"/><Relationship Id="rId10" Type="http://schemas.openxmlformats.org/officeDocument/2006/relationships/hyperlink" Target="https://github.com/mczhuge/ICON" TargetMode="External"/><Relationship Id="rId19" Type="http://schemas.openxmlformats.org/officeDocument/2006/relationships/hyperlink" Target="https://arxiv.org/abs/2005.09007" TargetMode="External"/><Relationship Id="rId4" Type="http://schemas.openxmlformats.org/officeDocument/2006/relationships/hyperlink" Target="https://github.com/plemeri/InSPyReNet" TargetMode="External"/><Relationship Id="rId9" Type="http://schemas.openxmlformats.org/officeDocument/2006/relationships/hyperlink" Target="https://arxiv.org/abs/2111.13409" TargetMode="External"/><Relationship Id="rId14" Type="http://schemas.openxmlformats.org/officeDocument/2006/relationships/hyperlink" Target="https://github.com/yuhuan-wu/EDN" TargetMode="External"/><Relationship Id="rId22" Type="http://schemas.openxmlformats.org/officeDocument/2006/relationships/hyperlink" Target="https://github.com/xuebinqin/BASNet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2-Multimedia-Lab/M3Net" TargetMode="External"/><Relationship Id="rId13" Type="http://schemas.openxmlformats.org/officeDocument/2006/relationships/hyperlink" Target="https://arxiv.org/abs/2012.13093" TargetMode="External"/><Relationship Id="rId18" Type="http://schemas.openxmlformats.org/officeDocument/2006/relationships/hyperlink" Target="https://github.com/lartpang/MINet" TargetMode="External"/><Relationship Id="rId3" Type="http://schemas.openxmlformats.org/officeDocument/2006/relationships/hyperlink" Target="https://arxiv.org/abs/2209.09475" TargetMode="External"/><Relationship Id="rId21" Type="http://schemas.openxmlformats.org/officeDocument/2006/relationships/hyperlink" Target="https://arxiv.org/abs/1904.07857" TargetMode="External"/><Relationship Id="rId7" Type="http://schemas.openxmlformats.org/officeDocument/2006/relationships/hyperlink" Target="https://arxiv.org/abs/2309.08365" TargetMode="External"/><Relationship Id="rId12" Type="http://schemas.openxmlformats.org/officeDocument/2006/relationships/hyperlink" Target="https://github.com/nnizhang/VST" TargetMode="External"/><Relationship Id="rId17" Type="http://schemas.openxmlformats.org/officeDocument/2006/relationships/hyperlink" Target="https://arxiv.org/abs/2007.09062" TargetMode="External"/><Relationship Id="rId2" Type="http://schemas.openxmlformats.org/officeDocument/2006/relationships/hyperlink" Target="https://github.com/ZhengPeng7/BiRefNet" TargetMode="External"/><Relationship Id="rId16" Type="http://schemas.openxmlformats.org/officeDocument/2006/relationships/hyperlink" Target="https://github.com/backseason/PoolNet" TargetMode="External"/><Relationship Id="rId20" Type="http://schemas.openxmlformats.org/officeDocument/2006/relationships/hyperlink" Target="https://github.com/xuebinqin/U-2-Net" TargetMode="External"/><Relationship Id="rId1" Type="http://schemas.openxmlformats.org/officeDocument/2006/relationships/hyperlink" Target="https://arxiv.org/abs/2401.03407" TargetMode="External"/><Relationship Id="rId6" Type="http://schemas.openxmlformats.org/officeDocument/2006/relationships/hyperlink" Target="https://github.com/qianyu-dlut/MVANet" TargetMode="External"/><Relationship Id="rId11" Type="http://schemas.openxmlformats.org/officeDocument/2006/relationships/hyperlink" Target="https://arxiv.org/abs/2104.12099" TargetMode="External"/><Relationship Id="rId24" Type="http://schemas.openxmlformats.org/officeDocument/2006/relationships/hyperlink" Target="https://github.com/I2-Multimedia-Lab/UGRAN" TargetMode="External"/><Relationship Id="rId5" Type="http://schemas.openxmlformats.org/officeDocument/2006/relationships/hyperlink" Target="https://arxiv.org/abs/2404.07445" TargetMode="External"/><Relationship Id="rId15" Type="http://schemas.openxmlformats.org/officeDocument/2006/relationships/hyperlink" Target="https://arxiv.org/abs/1904.09569" TargetMode="External"/><Relationship Id="rId23" Type="http://schemas.openxmlformats.org/officeDocument/2006/relationships/hyperlink" Target="https://github.com/I2-Multimedia-Lab/UGRAN" TargetMode="External"/><Relationship Id="rId10" Type="http://schemas.openxmlformats.org/officeDocument/2006/relationships/hyperlink" Target="https://github.com/mczhuge/ICON" TargetMode="External"/><Relationship Id="rId19" Type="http://schemas.openxmlformats.org/officeDocument/2006/relationships/hyperlink" Target="https://arxiv.org/abs/2005.09007" TargetMode="External"/><Relationship Id="rId4" Type="http://schemas.openxmlformats.org/officeDocument/2006/relationships/hyperlink" Target="https://github.com/plemeri/InSPyReNet" TargetMode="External"/><Relationship Id="rId9" Type="http://schemas.openxmlformats.org/officeDocument/2006/relationships/hyperlink" Target="https://arxiv.org/abs/2111.13409" TargetMode="External"/><Relationship Id="rId14" Type="http://schemas.openxmlformats.org/officeDocument/2006/relationships/hyperlink" Target="https://github.com/yuhuan-wu/EDN" TargetMode="External"/><Relationship Id="rId22" Type="http://schemas.openxmlformats.org/officeDocument/2006/relationships/hyperlink" Target="https://github.com/xuebinqin/BASNet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2-Multimedia-Lab/M3Net" TargetMode="External"/><Relationship Id="rId13" Type="http://schemas.openxmlformats.org/officeDocument/2006/relationships/hyperlink" Target="https://arxiv.org/abs/2012.13093" TargetMode="External"/><Relationship Id="rId18" Type="http://schemas.openxmlformats.org/officeDocument/2006/relationships/hyperlink" Target="https://github.com/lartpang/MINet" TargetMode="External"/><Relationship Id="rId3" Type="http://schemas.openxmlformats.org/officeDocument/2006/relationships/hyperlink" Target="https://arxiv.org/abs/2209.09475" TargetMode="External"/><Relationship Id="rId21" Type="http://schemas.openxmlformats.org/officeDocument/2006/relationships/hyperlink" Target="https://arxiv.org/abs/1904.07857" TargetMode="External"/><Relationship Id="rId7" Type="http://schemas.openxmlformats.org/officeDocument/2006/relationships/hyperlink" Target="https://arxiv.org/abs/2309.08365" TargetMode="External"/><Relationship Id="rId12" Type="http://schemas.openxmlformats.org/officeDocument/2006/relationships/hyperlink" Target="https://github.com/nnizhang/VST" TargetMode="External"/><Relationship Id="rId17" Type="http://schemas.openxmlformats.org/officeDocument/2006/relationships/hyperlink" Target="https://arxiv.org/abs/2007.09062" TargetMode="External"/><Relationship Id="rId2" Type="http://schemas.openxmlformats.org/officeDocument/2006/relationships/hyperlink" Target="https://github.com/ZhengPeng7/BiRefNet" TargetMode="External"/><Relationship Id="rId16" Type="http://schemas.openxmlformats.org/officeDocument/2006/relationships/hyperlink" Target="https://github.com/backseason/PoolNet" TargetMode="External"/><Relationship Id="rId20" Type="http://schemas.openxmlformats.org/officeDocument/2006/relationships/hyperlink" Target="https://github.com/xuebinqin/U-2-Net" TargetMode="External"/><Relationship Id="rId1" Type="http://schemas.openxmlformats.org/officeDocument/2006/relationships/hyperlink" Target="https://arxiv.org/abs/2401.03407" TargetMode="External"/><Relationship Id="rId6" Type="http://schemas.openxmlformats.org/officeDocument/2006/relationships/hyperlink" Target="https://github.com/qianyu-dlut/MVANet" TargetMode="External"/><Relationship Id="rId11" Type="http://schemas.openxmlformats.org/officeDocument/2006/relationships/hyperlink" Target="https://arxiv.org/abs/2104.12099" TargetMode="External"/><Relationship Id="rId24" Type="http://schemas.openxmlformats.org/officeDocument/2006/relationships/hyperlink" Target="https://github.com/I2-Multimedia-Lab/UGRAN" TargetMode="External"/><Relationship Id="rId5" Type="http://schemas.openxmlformats.org/officeDocument/2006/relationships/hyperlink" Target="https://arxiv.org/abs/2404.07445" TargetMode="External"/><Relationship Id="rId15" Type="http://schemas.openxmlformats.org/officeDocument/2006/relationships/hyperlink" Target="https://arxiv.org/abs/1904.09569" TargetMode="External"/><Relationship Id="rId23" Type="http://schemas.openxmlformats.org/officeDocument/2006/relationships/hyperlink" Target="https://github.com/I2-Multimedia-Lab/UGRAN" TargetMode="External"/><Relationship Id="rId10" Type="http://schemas.openxmlformats.org/officeDocument/2006/relationships/hyperlink" Target="https://github.com/mczhuge/ICON" TargetMode="External"/><Relationship Id="rId19" Type="http://schemas.openxmlformats.org/officeDocument/2006/relationships/hyperlink" Target="https://arxiv.org/abs/2005.09007" TargetMode="External"/><Relationship Id="rId4" Type="http://schemas.openxmlformats.org/officeDocument/2006/relationships/hyperlink" Target="https://github.com/plemeri/InSPyReNet" TargetMode="External"/><Relationship Id="rId9" Type="http://schemas.openxmlformats.org/officeDocument/2006/relationships/hyperlink" Target="https://arxiv.org/abs/2111.13409" TargetMode="External"/><Relationship Id="rId14" Type="http://schemas.openxmlformats.org/officeDocument/2006/relationships/hyperlink" Target="https://github.com/yuhuan-wu/EDN" TargetMode="External"/><Relationship Id="rId22" Type="http://schemas.openxmlformats.org/officeDocument/2006/relationships/hyperlink" Target="https://github.com/xuebinqin/BASNet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2-Multimedia-Lab/M3Net" TargetMode="External"/><Relationship Id="rId13" Type="http://schemas.openxmlformats.org/officeDocument/2006/relationships/hyperlink" Target="https://arxiv.org/abs/2012.13093" TargetMode="External"/><Relationship Id="rId18" Type="http://schemas.openxmlformats.org/officeDocument/2006/relationships/hyperlink" Target="https://github.com/lartpang/MINet" TargetMode="External"/><Relationship Id="rId3" Type="http://schemas.openxmlformats.org/officeDocument/2006/relationships/hyperlink" Target="https://arxiv.org/abs/2209.09475" TargetMode="External"/><Relationship Id="rId21" Type="http://schemas.openxmlformats.org/officeDocument/2006/relationships/hyperlink" Target="https://arxiv.org/abs/1904.07857" TargetMode="External"/><Relationship Id="rId7" Type="http://schemas.openxmlformats.org/officeDocument/2006/relationships/hyperlink" Target="https://arxiv.org/abs/2309.08365" TargetMode="External"/><Relationship Id="rId12" Type="http://schemas.openxmlformats.org/officeDocument/2006/relationships/hyperlink" Target="https://github.com/nnizhang/VST" TargetMode="External"/><Relationship Id="rId17" Type="http://schemas.openxmlformats.org/officeDocument/2006/relationships/hyperlink" Target="https://arxiv.org/abs/2007.09062" TargetMode="External"/><Relationship Id="rId2" Type="http://schemas.openxmlformats.org/officeDocument/2006/relationships/hyperlink" Target="https://github.com/ZhengPeng7/BiRefNet" TargetMode="External"/><Relationship Id="rId16" Type="http://schemas.openxmlformats.org/officeDocument/2006/relationships/hyperlink" Target="https://github.com/backseason/PoolNet" TargetMode="External"/><Relationship Id="rId20" Type="http://schemas.openxmlformats.org/officeDocument/2006/relationships/hyperlink" Target="https://github.com/xuebinqin/U-2-Net" TargetMode="External"/><Relationship Id="rId1" Type="http://schemas.openxmlformats.org/officeDocument/2006/relationships/hyperlink" Target="https://arxiv.org/abs/2401.03407" TargetMode="External"/><Relationship Id="rId6" Type="http://schemas.openxmlformats.org/officeDocument/2006/relationships/hyperlink" Target="https://github.com/qianyu-dlut/MVANet" TargetMode="External"/><Relationship Id="rId11" Type="http://schemas.openxmlformats.org/officeDocument/2006/relationships/hyperlink" Target="https://arxiv.org/abs/2104.12099" TargetMode="External"/><Relationship Id="rId24" Type="http://schemas.openxmlformats.org/officeDocument/2006/relationships/hyperlink" Target="https://github.com/I2-Multimedia-Lab/UGRAN" TargetMode="External"/><Relationship Id="rId5" Type="http://schemas.openxmlformats.org/officeDocument/2006/relationships/hyperlink" Target="https://arxiv.org/abs/2404.07445" TargetMode="External"/><Relationship Id="rId15" Type="http://schemas.openxmlformats.org/officeDocument/2006/relationships/hyperlink" Target="https://arxiv.org/abs/1904.09569" TargetMode="External"/><Relationship Id="rId23" Type="http://schemas.openxmlformats.org/officeDocument/2006/relationships/hyperlink" Target="https://github.com/I2-Multimedia-Lab/UGRAN" TargetMode="External"/><Relationship Id="rId10" Type="http://schemas.openxmlformats.org/officeDocument/2006/relationships/hyperlink" Target="https://github.com/mczhuge/ICON" TargetMode="External"/><Relationship Id="rId19" Type="http://schemas.openxmlformats.org/officeDocument/2006/relationships/hyperlink" Target="https://arxiv.org/abs/2005.09007" TargetMode="External"/><Relationship Id="rId4" Type="http://schemas.openxmlformats.org/officeDocument/2006/relationships/hyperlink" Target="https://github.com/plemeri/InSPyReNet" TargetMode="External"/><Relationship Id="rId9" Type="http://schemas.openxmlformats.org/officeDocument/2006/relationships/hyperlink" Target="https://arxiv.org/abs/2111.13409" TargetMode="External"/><Relationship Id="rId14" Type="http://schemas.openxmlformats.org/officeDocument/2006/relationships/hyperlink" Target="https://github.com/yuhuan-wu/EDN" TargetMode="External"/><Relationship Id="rId22" Type="http://schemas.openxmlformats.org/officeDocument/2006/relationships/hyperlink" Target="https://github.com/xuebinqin/BASNet" TargetMode="Externa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2-Multimedia-Lab/M3Net" TargetMode="External"/><Relationship Id="rId13" Type="http://schemas.openxmlformats.org/officeDocument/2006/relationships/hyperlink" Target="https://arxiv.org/abs/2012.13093" TargetMode="External"/><Relationship Id="rId18" Type="http://schemas.openxmlformats.org/officeDocument/2006/relationships/hyperlink" Target="https://github.com/lartpang/MINet" TargetMode="External"/><Relationship Id="rId3" Type="http://schemas.openxmlformats.org/officeDocument/2006/relationships/hyperlink" Target="https://arxiv.org/abs/2209.09475" TargetMode="External"/><Relationship Id="rId21" Type="http://schemas.openxmlformats.org/officeDocument/2006/relationships/hyperlink" Target="https://arxiv.org/abs/1904.07857" TargetMode="External"/><Relationship Id="rId7" Type="http://schemas.openxmlformats.org/officeDocument/2006/relationships/hyperlink" Target="https://arxiv.org/abs/2309.08365" TargetMode="External"/><Relationship Id="rId12" Type="http://schemas.openxmlformats.org/officeDocument/2006/relationships/hyperlink" Target="https://github.com/nnizhang/VST" TargetMode="External"/><Relationship Id="rId17" Type="http://schemas.openxmlformats.org/officeDocument/2006/relationships/hyperlink" Target="https://arxiv.org/abs/2007.09062" TargetMode="External"/><Relationship Id="rId2" Type="http://schemas.openxmlformats.org/officeDocument/2006/relationships/hyperlink" Target="https://github.com/ZhengPeng7/BiRefNet" TargetMode="External"/><Relationship Id="rId16" Type="http://schemas.openxmlformats.org/officeDocument/2006/relationships/hyperlink" Target="https://github.com/backseason/PoolNet" TargetMode="External"/><Relationship Id="rId20" Type="http://schemas.openxmlformats.org/officeDocument/2006/relationships/hyperlink" Target="https://github.com/xuebinqin/U-2-Net" TargetMode="External"/><Relationship Id="rId1" Type="http://schemas.openxmlformats.org/officeDocument/2006/relationships/hyperlink" Target="https://arxiv.org/abs/2401.03407" TargetMode="External"/><Relationship Id="rId6" Type="http://schemas.openxmlformats.org/officeDocument/2006/relationships/hyperlink" Target="https://github.com/qianyu-dlut/MVANet" TargetMode="External"/><Relationship Id="rId11" Type="http://schemas.openxmlformats.org/officeDocument/2006/relationships/hyperlink" Target="https://arxiv.org/abs/2104.12099" TargetMode="External"/><Relationship Id="rId24" Type="http://schemas.openxmlformats.org/officeDocument/2006/relationships/hyperlink" Target="https://github.com/I2-Multimedia-Lab/UGRAN" TargetMode="External"/><Relationship Id="rId5" Type="http://schemas.openxmlformats.org/officeDocument/2006/relationships/hyperlink" Target="https://arxiv.org/abs/2404.07445" TargetMode="External"/><Relationship Id="rId15" Type="http://schemas.openxmlformats.org/officeDocument/2006/relationships/hyperlink" Target="https://arxiv.org/abs/1904.09569" TargetMode="External"/><Relationship Id="rId23" Type="http://schemas.openxmlformats.org/officeDocument/2006/relationships/hyperlink" Target="https://github.com/I2-Multimedia-Lab/UGRAN" TargetMode="External"/><Relationship Id="rId10" Type="http://schemas.openxmlformats.org/officeDocument/2006/relationships/hyperlink" Target="https://github.com/mczhuge/ICON" TargetMode="External"/><Relationship Id="rId19" Type="http://schemas.openxmlformats.org/officeDocument/2006/relationships/hyperlink" Target="https://arxiv.org/abs/2005.09007" TargetMode="External"/><Relationship Id="rId4" Type="http://schemas.openxmlformats.org/officeDocument/2006/relationships/hyperlink" Target="https://github.com/plemeri/InSPyReNet" TargetMode="External"/><Relationship Id="rId9" Type="http://schemas.openxmlformats.org/officeDocument/2006/relationships/hyperlink" Target="https://arxiv.org/abs/2111.13409" TargetMode="External"/><Relationship Id="rId14" Type="http://schemas.openxmlformats.org/officeDocument/2006/relationships/hyperlink" Target="https://github.com/yuhuan-wu/EDN" TargetMode="External"/><Relationship Id="rId22" Type="http://schemas.openxmlformats.org/officeDocument/2006/relationships/hyperlink" Target="https://github.com/xuebinqin/BASNet" TargetMode="External"/></Relationships>
</file>

<file path=xl/worksheets/_rels/sheet26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2-Multimedia-Lab/M3Net" TargetMode="External"/><Relationship Id="rId13" Type="http://schemas.openxmlformats.org/officeDocument/2006/relationships/hyperlink" Target="https://arxiv.org/abs/2012.13093" TargetMode="External"/><Relationship Id="rId18" Type="http://schemas.openxmlformats.org/officeDocument/2006/relationships/hyperlink" Target="https://github.com/lartpang/MINet" TargetMode="External"/><Relationship Id="rId3" Type="http://schemas.openxmlformats.org/officeDocument/2006/relationships/hyperlink" Target="https://arxiv.org/abs/2209.09475" TargetMode="External"/><Relationship Id="rId21" Type="http://schemas.openxmlformats.org/officeDocument/2006/relationships/hyperlink" Target="https://arxiv.org/abs/1904.07857" TargetMode="External"/><Relationship Id="rId7" Type="http://schemas.openxmlformats.org/officeDocument/2006/relationships/hyperlink" Target="https://arxiv.org/abs/2309.08365" TargetMode="External"/><Relationship Id="rId12" Type="http://schemas.openxmlformats.org/officeDocument/2006/relationships/hyperlink" Target="https://github.com/nnizhang/VST" TargetMode="External"/><Relationship Id="rId17" Type="http://schemas.openxmlformats.org/officeDocument/2006/relationships/hyperlink" Target="https://arxiv.org/abs/2007.09062" TargetMode="External"/><Relationship Id="rId2" Type="http://schemas.openxmlformats.org/officeDocument/2006/relationships/hyperlink" Target="https://github.com/ZhengPeng7/BiRefNet" TargetMode="External"/><Relationship Id="rId16" Type="http://schemas.openxmlformats.org/officeDocument/2006/relationships/hyperlink" Target="https://github.com/backseason/PoolNet" TargetMode="External"/><Relationship Id="rId20" Type="http://schemas.openxmlformats.org/officeDocument/2006/relationships/hyperlink" Target="https://github.com/xuebinqin/U-2-Net" TargetMode="External"/><Relationship Id="rId1" Type="http://schemas.openxmlformats.org/officeDocument/2006/relationships/hyperlink" Target="https://arxiv.org/abs/2401.03407" TargetMode="External"/><Relationship Id="rId6" Type="http://schemas.openxmlformats.org/officeDocument/2006/relationships/hyperlink" Target="https://github.com/qianyu-dlut/MVANet" TargetMode="External"/><Relationship Id="rId11" Type="http://schemas.openxmlformats.org/officeDocument/2006/relationships/hyperlink" Target="https://arxiv.org/abs/2104.12099" TargetMode="External"/><Relationship Id="rId24" Type="http://schemas.openxmlformats.org/officeDocument/2006/relationships/hyperlink" Target="https://github.com/I2-Multimedia-Lab/UGRAN" TargetMode="External"/><Relationship Id="rId5" Type="http://schemas.openxmlformats.org/officeDocument/2006/relationships/hyperlink" Target="https://arxiv.org/abs/2404.07445" TargetMode="External"/><Relationship Id="rId15" Type="http://schemas.openxmlformats.org/officeDocument/2006/relationships/hyperlink" Target="https://arxiv.org/abs/1904.09569" TargetMode="External"/><Relationship Id="rId23" Type="http://schemas.openxmlformats.org/officeDocument/2006/relationships/hyperlink" Target="https://github.com/I2-Multimedia-Lab/UGRAN" TargetMode="External"/><Relationship Id="rId10" Type="http://schemas.openxmlformats.org/officeDocument/2006/relationships/hyperlink" Target="https://github.com/mczhuge/ICON" TargetMode="External"/><Relationship Id="rId19" Type="http://schemas.openxmlformats.org/officeDocument/2006/relationships/hyperlink" Target="https://arxiv.org/abs/2005.09007" TargetMode="External"/><Relationship Id="rId4" Type="http://schemas.openxmlformats.org/officeDocument/2006/relationships/hyperlink" Target="https://github.com/plemeri/InSPyReNet" TargetMode="External"/><Relationship Id="rId9" Type="http://schemas.openxmlformats.org/officeDocument/2006/relationships/hyperlink" Target="https://arxiv.org/abs/2111.13409" TargetMode="External"/><Relationship Id="rId14" Type="http://schemas.openxmlformats.org/officeDocument/2006/relationships/hyperlink" Target="https://github.com/yuhuan-wu/EDN" TargetMode="External"/><Relationship Id="rId22" Type="http://schemas.openxmlformats.org/officeDocument/2006/relationships/hyperlink" Target="https://github.com/xuebinqin/BASNet" TargetMode="External"/></Relationships>
</file>

<file path=xl/worksheets/_rels/sheet27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ovelyqian/CDFSOD-benchmark" TargetMode="External"/><Relationship Id="rId13" Type="http://schemas.openxmlformats.org/officeDocument/2006/relationships/hyperlink" Target="https://arxiv.org/abs/2504.10685" TargetMode="External"/><Relationship Id="rId18" Type="http://schemas.openxmlformats.org/officeDocument/2006/relationships/hyperlink" Target="https://github.com/megvii-research/FSCE" TargetMode="External"/><Relationship Id="rId3" Type="http://schemas.openxmlformats.org/officeDocument/2006/relationships/hyperlink" Target="https://arxiv.org/abs/2304.00000" TargetMode="External"/><Relationship Id="rId21" Type="http://schemas.openxmlformats.org/officeDocument/2006/relationships/hyperlink" Target="https://arxiv.org/abs/2402.03094" TargetMode="External"/><Relationship Id="rId7" Type="http://schemas.openxmlformats.org/officeDocument/2006/relationships/hyperlink" Target="https://github.com/lovelyqian/CDFSOD-benchmark" TargetMode="External"/><Relationship Id="rId12" Type="http://schemas.openxmlformats.org/officeDocument/2006/relationships/hyperlink" Target="https://github.com/IDEA-Research/GroundingDINO" TargetMode="External"/><Relationship Id="rId17" Type="http://schemas.openxmlformats.org/officeDocument/2006/relationships/hyperlink" Target="https://arxiv.org/abs/2103.05950" TargetMode="External"/><Relationship Id="rId2" Type="http://schemas.openxmlformats.org/officeDocument/2006/relationships/hyperlink" Target="https://github.com/lovelyqian/CDFSOD-benchmark" TargetMode="External"/><Relationship Id="rId16" Type="http://schemas.openxmlformats.org/officeDocument/2006/relationships/hyperlink" Target="https://github.com/er-muyue/DeFRCN" TargetMode="External"/><Relationship Id="rId20" Type="http://schemas.openxmlformats.org/officeDocument/2006/relationships/hyperlink" Target="https://github.com/" TargetMode="External"/><Relationship Id="rId1" Type="http://schemas.openxmlformats.org/officeDocument/2006/relationships/hyperlink" Target="https://arxiv.org/abs/2402.03094" TargetMode="External"/><Relationship Id="rId6" Type="http://schemas.openxmlformats.org/officeDocument/2006/relationships/hyperlink" Target="https://github.com/yanxp/MetaR-CNN" TargetMode="External"/><Relationship Id="rId11" Type="http://schemas.openxmlformats.org/officeDocument/2006/relationships/hyperlink" Target="https://arxiv.org/abs/2303.05499" TargetMode="External"/><Relationship Id="rId5" Type="http://schemas.openxmlformats.org/officeDocument/2006/relationships/hyperlink" Target="https://arxiv.org/abs/1909.13032" TargetMode="External"/><Relationship Id="rId15" Type="http://schemas.openxmlformats.org/officeDocument/2006/relationships/hyperlink" Target="https://arxiv.org/abs/2108.09017" TargetMode="External"/><Relationship Id="rId10" Type="http://schemas.openxmlformats.org/officeDocument/2006/relationships/hyperlink" Target="https://github.com/facebookresearch/Detic" TargetMode="External"/><Relationship Id="rId19" Type="http://schemas.openxmlformats.org/officeDocument/2006/relationships/hyperlink" Target="https://www.sciencedirect.com/science/article/abs/pii/S1566253525007900" TargetMode="External"/><Relationship Id="rId4" Type="http://schemas.openxmlformats.org/officeDocument/2006/relationships/hyperlink" Target="https://github.com/" TargetMode="External"/><Relationship Id="rId9" Type="http://schemas.openxmlformats.org/officeDocument/2006/relationships/hyperlink" Target="https://arxiv.org/abs/2201.02605" TargetMode="External"/><Relationship Id="rId14" Type="http://schemas.openxmlformats.org/officeDocument/2006/relationships/hyperlink" Target="https://github.com/lovelyqian/NTIRE2025_CDFSOD" TargetMode="External"/><Relationship Id="rId22" Type="http://schemas.openxmlformats.org/officeDocument/2006/relationships/hyperlink" Target="https://github.com/lovelyqian/CDFSOD-benchmark" TargetMode="External"/></Relationships>
</file>

<file path=xl/worksheets/_rels/sheet28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yaoyao-liu/CL-DETR" TargetMode="External"/><Relationship Id="rId13" Type="http://schemas.openxmlformats.org/officeDocument/2006/relationships/hyperlink" Target="https://arxiv.org/abs/2003.03901" TargetMode="External"/><Relationship Id="rId18" Type="http://schemas.openxmlformats.org/officeDocument/2006/relationships/hyperlink" Target="https://github.com/akshitac8/OW-DETR" TargetMode="External"/><Relationship Id="rId3" Type="http://schemas.openxmlformats.org/officeDocument/2006/relationships/hyperlink" Target="https://arxiv.org/abs/2305.18068" TargetMode="External"/><Relationship Id="rId21" Type="http://schemas.openxmlformats.org/officeDocument/2006/relationships/hyperlink" Target="https://arxiv.org/abs/1506.01497" TargetMode="External"/><Relationship Id="rId7" Type="http://schemas.openxmlformats.org/officeDocument/2006/relationships/hyperlink" Target="https://arxiv.org/abs/2304.03110" TargetMode="External"/><Relationship Id="rId12" Type="http://schemas.openxmlformats.org/officeDocument/2006/relationships/hyperlink" Target="https://github.com/lhyfst/LwF" TargetMode="External"/><Relationship Id="rId17" Type="http://schemas.openxmlformats.org/officeDocument/2006/relationships/hyperlink" Target="https://arxiv.org/abs/2112.01513" TargetMode="External"/><Relationship Id="rId2" Type="http://schemas.openxmlformats.org/officeDocument/2006/relationships/hyperlink" Target="https://github.com/fcdl94/MMA" TargetMode="External"/><Relationship Id="rId16" Type="http://schemas.openxmlformats.org/officeDocument/2006/relationships/hyperlink" Target="https://github.com/JosephKJ/OWOD" TargetMode="External"/><Relationship Id="rId20" Type="http://schemas.openxmlformats.org/officeDocument/2006/relationships/hyperlink" Target="https://github.com/" TargetMode="External"/><Relationship Id="rId1" Type="http://schemas.openxmlformats.org/officeDocument/2006/relationships/hyperlink" Target="https://arxiv.org/abs/2204.05507" TargetMode="External"/><Relationship Id="rId6" Type="http://schemas.openxmlformats.org/officeDocument/2006/relationships/hyperlink" Target="https://github.com/Hi-FT/ERD" TargetMode="External"/><Relationship Id="rId11" Type="http://schemas.openxmlformats.org/officeDocument/2006/relationships/hyperlink" Target="https://arxiv.org/abs/1606.09282" TargetMode="External"/><Relationship Id="rId5" Type="http://schemas.openxmlformats.org/officeDocument/2006/relationships/hyperlink" Target="https://arxiv.org/abs/2204.02136" TargetMode="External"/><Relationship Id="rId15" Type="http://schemas.openxmlformats.org/officeDocument/2006/relationships/hyperlink" Target="https://arxiv.org/abs/2103.02603" TargetMode="External"/><Relationship Id="rId10" Type="http://schemas.openxmlformats.org/officeDocument/2006/relationships/hyperlink" Target="https://github.com/orrzohar/PROB" TargetMode="External"/><Relationship Id="rId19" Type="http://schemas.openxmlformats.org/officeDocument/2006/relationships/hyperlink" Target="https://arxiv.org/abs/2404.00000" TargetMode="External"/><Relationship Id="rId4" Type="http://schemas.openxmlformats.org/officeDocument/2006/relationships/hyperlink" Target="https://github.com/Yiyao-Liu/ABR" TargetMode="External"/><Relationship Id="rId9" Type="http://schemas.openxmlformats.org/officeDocument/2006/relationships/hyperlink" Target="https://arxiv.org/abs/2212.01424" TargetMode="External"/><Relationship Id="rId14" Type="http://schemas.openxmlformats.org/officeDocument/2006/relationships/hyperlink" Target="https://github.com/JosephKJ/iOD" TargetMode="External"/><Relationship Id="rId22" Type="http://schemas.openxmlformats.org/officeDocument/2006/relationships/hyperlink" Target="https://github.com/rbgirshick/py-faster-rcnn" TargetMode="External"/></Relationships>
</file>

<file path=xl/worksheets/_rels/sheet29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megvii-research/FSCE" TargetMode="External"/><Relationship Id="rId13" Type="http://schemas.openxmlformats.org/officeDocument/2006/relationships/hyperlink" Target="https://arxiv.org/abs/1909.13032" TargetMode="External"/><Relationship Id="rId18" Type="http://schemas.openxmlformats.org/officeDocument/2006/relationships/hyperlink" Target="https://github.com/han-tianyu/FM-FSOD" TargetMode="External"/><Relationship Id="rId3" Type="http://schemas.openxmlformats.org/officeDocument/2006/relationships/hyperlink" Target="https://arxiv.org/abs/2108.09017" TargetMode="External"/><Relationship Id="rId21" Type="http://schemas.openxmlformats.org/officeDocument/2006/relationships/hyperlink" Target="https://arxiv.org/abs/2404.00700" TargetMode="External"/><Relationship Id="rId7" Type="http://schemas.openxmlformats.org/officeDocument/2006/relationships/hyperlink" Target="https://arxiv.org/abs/2103.05950" TargetMode="External"/><Relationship Id="rId12" Type="http://schemas.openxmlformats.org/officeDocument/2006/relationships/hyperlink" Target="https://github.com/ucbdrive/few-shot-object-detection" TargetMode="External"/><Relationship Id="rId17" Type="http://schemas.openxmlformats.org/officeDocument/2006/relationships/hyperlink" Target="https://arxiv.org/abs/2402.10433" TargetMode="External"/><Relationship Id="rId2" Type="http://schemas.openxmlformats.org/officeDocument/2006/relationships/hyperlink" Target="https://github.com/ZhangGongjie/Meta-DETR" TargetMode="External"/><Relationship Id="rId16" Type="http://schemas.openxmlformats.org/officeDocument/2006/relationships/hyperlink" Target="https://github.com/bingykang/Fewshot_Detection" TargetMode="External"/><Relationship Id="rId20" Type="http://schemas.openxmlformats.org/officeDocument/2006/relationships/hyperlink" Target="https://github.com/" TargetMode="External"/><Relationship Id="rId1" Type="http://schemas.openxmlformats.org/officeDocument/2006/relationships/hyperlink" Target="https://arxiv.org/abs/2208.00219" TargetMode="External"/><Relationship Id="rId6" Type="http://schemas.openxmlformats.org/officeDocument/2006/relationships/hyperlink" Target="https://github.com/amirbar/DETReg" TargetMode="External"/><Relationship Id="rId11" Type="http://schemas.openxmlformats.org/officeDocument/2006/relationships/hyperlink" Target="https://arxiv.org/abs/2003.06957" TargetMode="External"/><Relationship Id="rId5" Type="http://schemas.openxmlformats.org/officeDocument/2006/relationships/hyperlink" Target="https://arxiv.org/abs/2106.04550" TargetMode="External"/><Relationship Id="rId15" Type="http://schemas.openxmlformats.org/officeDocument/2006/relationships/hyperlink" Target="https://arxiv.org/abs/1812.01866" TargetMode="External"/><Relationship Id="rId10" Type="http://schemas.openxmlformats.org/officeDocument/2006/relationships/hyperlink" Target="https://github.com/jiaxi-wu/MPSR" TargetMode="External"/><Relationship Id="rId19" Type="http://schemas.openxmlformats.org/officeDocument/2006/relationships/hyperlink" Target="https://www.sciencedirect.com/science/article/abs/pii/S1566253525007900" TargetMode="External"/><Relationship Id="rId4" Type="http://schemas.openxmlformats.org/officeDocument/2006/relationships/hyperlink" Target="https://github.com/er-muyue/DeFRCN" TargetMode="External"/><Relationship Id="rId9" Type="http://schemas.openxmlformats.org/officeDocument/2006/relationships/hyperlink" Target="https://arxiv.org/abs/2007.09384" TargetMode="External"/><Relationship Id="rId14" Type="http://schemas.openxmlformats.org/officeDocument/2006/relationships/hyperlink" Target="https://github.com/yanxp/MetaR-CNN" TargetMode="External"/><Relationship Id="rId22" Type="http://schemas.openxmlformats.org/officeDocument/2006/relationships/hyperlink" Target="https://github.com/" TargetMode="External"/></Relationships>
</file>

<file path=xl/worksheets/_rels/sheet30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megvii-research/FSCE" TargetMode="External"/><Relationship Id="rId13" Type="http://schemas.openxmlformats.org/officeDocument/2006/relationships/hyperlink" Target="https://arxiv.org/abs/1909.13032" TargetMode="External"/><Relationship Id="rId18" Type="http://schemas.openxmlformats.org/officeDocument/2006/relationships/hyperlink" Target="https://github.com/han-tianyu/FM-FSOD" TargetMode="External"/><Relationship Id="rId3" Type="http://schemas.openxmlformats.org/officeDocument/2006/relationships/hyperlink" Target="https://arxiv.org/abs/2108.09017" TargetMode="External"/><Relationship Id="rId21" Type="http://schemas.openxmlformats.org/officeDocument/2006/relationships/hyperlink" Target="https://arxiv.org/abs/2404.00700" TargetMode="External"/><Relationship Id="rId7" Type="http://schemas.openxmlformats.org/officeDocument/2006/relationships/hyperlink" Target="https://arxiv.org/abs/2103.05950" TargetMode="External"/><Relationship Id="rId12" Type="http://schemas.openxmlformats.org/officeDocument/2006/relationships/hyperlink" Target="https://github.com/ucbdrive/few-shot-object-detection" TargetMode="External"/><Relationship Id="rId17" Type="http://schemas.openxmlformats.org/officeDocument/2006/relationships/hyperlink" Target="https://arxiv.org/abs/2402.10433" TargetMode="External"/><Relationship Id="rId2" Type="http://schemas.openxmlformats.org/officeDocument/2006/relationships/hyperlink" Target="https://github.com/ZhangGongjie/Meta-DETR" TargetMode="External"/><Relationship Id="rId16" Type="http://schemas.openxmlformats.org/officeDocument/2006/relationships/hyperlink" Target="https://github.com/bingykang/Fewshot_Detection" TargetMode="External"/><Relationship Id="rId20" Type="http://schemas.openxmlformats.org/officeDocument/2006/relationships/hyperlink" Target="https://github.com/" TargetMode="External"/><Relationship Id="rId1" Type="http://schemas.openxmlformats.org/officeDocument/2006/relationships/hyperlink" Target="https://arxiv.org/abs/2208.00219" TargetMode="External"/><Relationship Id="rId6" Type="http://schemas.openxmlformats.org/officeDocument/2006/relationships/hyperlink" Target="https://github.com/amirbar/DETReg" TargetMode="External"/><Relationship Id="rId11" Type="http://schemas.openxmlformats.org/officeDocument/2006/relationships/hyperlink" Target="https://arxiv.org/abs/2003.06957" TargetMode="External"/><Relationship Id="rId5" Type="http://schemas.openxmlformats.org/officeDocument/2006/relationships/hyperlink" Target="https://arxiv.org/abs/2106.04550" TargetMode="External"/><Relationship Id="rId15" Type="http://schemas.openxmlformats.org/officeDocument/2006/relationships/hyperlink" Target="https://arxiv.org/abs/1812.01866" TargetMode="External"/><Relationship Id="rId10" Type="http://schemas.openxmlformats.org/officeDocument/2006/relationships/hyperlink" Target="https://github.com/jiaxi-wu/MPSR" TargetMode="External"/><Relationship Id="rId19" Type="http://schemas.openxmlformats.org/officeDocument/2006/relationships/hyperlink" Target="https://www.sciencedirect.com/science/article/abs/pii/S1566253525007900" TargetMode="External"/><Relationship Id="rId4" Type="http://schemas.openxmlformats.org/officeDocument/2006/relationships/hyperlink" Target="https://github.com/er-muyue/DeFRCN" TargetMode="External"/><Relationship Id="rId9" Type="http://schemas.openxmlformats.org/officeDocument/2006/relationships/hyperlink" Target="https://arxiv.org/abs/2007.09384" TargetMode="External"/><Relationship Id="rId14" Type="http://schemas.openxmlformats.org/officeDocument/2006/relationships/hyperlink" Target="https://github.com/yanxp/MetaR-CNN" TargetMode="External"/><Relationship Id="rId22" Type="http://schemas.openxmlformats.org/officeDocument/2006/relationships/hyperlink" Target="https://github.com/" TargetMode="External"/></Relationships>
</file>

<file path=xl/worksheets/_rels/sheet3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megvii-research/FSCE" TargetMode="External"/><Relationship Id="rId13" Type="http://schemas.openxmlformats.org/officeDocument/2006/relationships/hyperlink" Target="https://arxiv.org/abs/1909.13032" TargetMode="External"/><Relationship Id="rId18" Type="http://schemas.openxmlformats.org/officeDocument/2006/relationships/hyperlink" Target="https://github.com/han-tianyu/FM-FSOD" TargetMode="External"/><Relationship Id="rId3" Type="http://schemas.openxmlformats.org/officeDocument/2006/relationships/hyperlink" Target="https://arxiv.org/abs/2108.09017" TargetMode="External"/><Relationship Id="rId21" Type="http://schemas.openxmlformats.org/officeDocument/2006/relationships/hyperlink" Target="https://arxiv.org/abs/2404.00700" TargetMode="External"/><Relationship Id="rId7" Type="http://schemas.openxmlformats.org/officeDocument/2006/relationships/hyperlink" Target="https://arxiv.org/abs/2103.05950" TargetMode="External"/><Relationship Id="rId12" Type="http://schemas.openxmlformats.org/officeDocument/2006/relationships/hyperlink" Target="https://github.com/jiaxi-wu/MPSR" TargetMode="External"/><Relationship Id="rId17" Type="http://schemas.openxmlformats.org/officeDocument/2006/relationships/hyperlink" Target="https://arxiv.org/abs/2402.10433" TargetMode="External"/><Relationship Id="rId2" Type="http://schemas.openxmlformats.org/officeDocument/2006/relationships/hyperlink" Target="https://github.com/ZhangGongjie/Meta-DETR" TargetMode="External"/><Relationship Id="rId16" Type="http://schemas.openxmlformats.org/officeDocument/2006/relationships/hyperlink" Target="https://github.com/bingykang/Fewshot_Detection" TargetMode="External"/><Relationship Id="rId20" Type="http://schemas.openxmlformats.org/officeDocument/2006/relationships/hyperlink" Target="https://github.com/" TargetMode="External"/><Relationship Id="rId1" Type="http://schemas.openxmlformats.org/officeDocument/2006/relationships/hyperlink" Target="https://arxiv.org/abs/2208.00219" TargetMode="External"/><Relationship Id="rId6" Type="http://schemas.openxmlformats.org/officeDocument/2006/relationships/hyperlink" Target="https://github.com/amirbar/DETReg" TargetMode="External"/><Relationship Id="rId11" Type="http://schemas.openxmlformats.org/officeDocument/2006/relationships/hyperlink" Target="https://arxiv.org/abs/2007.09384" TargetMode="External"/><Relationship Id="rId5" Type="http://schemas.openxmlformats.org/officeDocument/2006/relationships/hyperlink" Target="https://arxiv.org/abs/2106.04550" TargetMode="External"/><Relationship Id="rId15" Type="http://schemas.openxmlformats.org/officeDocument/2006/relationships/hyperlink" Target="https://arxiv.org/abs/1812.01866" TargetMode="External"/><Relationship Id="rId10" Type="http://schemas.openxmlformats.org/officeDocument/2006/relationships/hyperlink" Target="https://github.com/ucbdrive/few-shot-object-detection" TargetMode="External"/><Relationship Id="rId19" Type="http://schemas.openxmlformats.org/officeDocument/2006/relationships/hyperlink" Target="https://www.sciencedirect.com/science/article/abs/pii/S1566253525007900" TargetMode="External"/><Relationship Id="rId4" Type="http://schemas.openxmlformats.org/officeDocument/2006/relationships/hyperlink" Target="https://github.com/er-muyue/DeFRCN" TargetMode="External"/><Relationship Id="rId9" Type="http://schemas.openxmlformats.org/officeDocument/2006/relationships/hyperlink" Target="https://arxiv.org/abs/2003.06957" TargetMode="External"/><Relationship Id="rId14" Type="http://schemas.openxmlformats.org/officeDocument/2006/relationships/hyperlink" Target="https://github.com/yanxp/MetaR-CNN" TargetMode="External"/><Relationship Id="rId22" Type="http://schemas.openxmlformats.org/officeDocument/2006/relationships/hyperlink" Target="https://github.com/" TargetMode="External"/></Relationships>
</file>

<file path=xl/worksheets/_rels/sheet3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megvii-research/FSCE" TargetMode="External"/><Relationship Id="rId13" Type="http://schemas.openxmlformats.org/officeDocument/2006/relationships/hyperlink" Target="https://arxiv.org/abs/1909.13032" TargetMode="External"/><Relationship Id="rId18" Type="http://schemas.openxmlformats.org/officeDocument/2006/relationships/hyperlink" Target="https://github.com/han-tianyu/FM-FSOD" TargetMode="External"/><Relationship Id="rId3" Type="http://schemas.openxmlformats.org/officeDocument/2006/relationships/hyperlink" Target="https://arxiv.org/abs/2208.00219" TargetMode="External"/><Relationship Id="rId21" Type="http://schemas.openxmlformats.org/officeDocument/2006/relationships/hyperlink" Target="https://arxiv.org/abs/2404.00700" TargetMode="External"/><Relationship Id="rId7" Type="http://schemas.openxmlformats.org/officeDocument/2006/relationships/hyperlink" Target="https://arxiv.org/abs/2103.05950" TargetMode="External"/><Relationship Id="rId12" Type="http://schemas.openxmlformats.org/officeDocument/2006/relationships/hyperlink" Target="https://github.com/ucbdrive/few-shot-object-detection" TargetMode="External"/><Relationship Id="rId17" Type="http://schemas.openxmlformats.org/officeDocument/2006/relationships/hyperlink" Target="https://arxiv.org/abs/2402.10433" TargetMode="External"/><Relationship Id="rId2" Type="http://schemas.openxmlformats.org/officeDocument/2006/relationships/hyperlink" Target="https://github.com/er-muyue/DeFRCN" TargetMode="External"/><Relationship Id="rId16" Type="http://schemas.openxmlformats.org/officeDocument/2006/relationships/hyperlink" Target="https://github.com/bingykang/Fewshot_Detection" TargetMode="External"/><Relationship Id="rId20" Type="http://schemas.openxmlformats.org/officeDocument/2006/relationships/hyperlink" Target="https://github.com/" TargetMode="External"/><Relationship Id="rId1" Type="http://schemas.openxmlformats.org/officeDocument/2006/relationships/hyperlink" Target="https://arxiv.org/abs/2108.09017" TargetMode="External"/><Relationship Id="rId6" Type="http://schemas.openxmlformats.org/officeDocument/2006/relationships/hyperlink" Target="https://github.com/amirbar/DETReg" TargetMode="External"/><Relationship Id="rId11" Type="http://schemas.openxmlformats.org/officeDocument/2006/relationships/hyperlink" Target="https://arxiv.org/abs/2003.06957" TargetMode="External"/><Relationship Id="rId5" Type="http://schemas.openxmlformats.org/officeDocument/2006/relationships/hyperlink" Target="https://arxiv.org/abs/2106.04550" TargetMode="External"/><Relationship Id="rId15" Type="http://schemas.openxmlformats.org/officeDocument/2006/relationships/hyperlink" Target="https://arxiv.org/abs/1812.01866" TargetMode="External"/><Relationship Id="rId10" Type="http://schemas.openxmlformats.org/officeDocument/2006/relationships/hyperlink" Target="https://github.com/jiaxi-wu/MPSR" TargetMode="External"/><Relationship Id="rId19" Type="http://schemas.openxmlformats.org/officeDocument/2006/relationships/hyperlink" Target="https://www.sciencedirect.com/science/article/abs/pii/S1566253525007900" TargetMode="External"/><Relationship Id="rId4" Type="http://schemas.openxmlformats.org/officeDocument/2006/relationships/hyperlink" Target="https://github.com/ZhangGongjie/Meta-DETR" TargetMode="External"/><Relationship Id="rId9" Type="http://schemas.openxmlformats.org/officeDocument/2006/relationships/hyperlink" Target="https://arxiv.org/abs/2007.09384" TargetMode="External"/><Relationship Id="rId14" Type="http://schemas.openxmlformats.org/officeDocument/2006/relationships/hyperlink" Target="https://github.com/yanxp/MetaR-CNN" TargetMode="External"/><Relationship Id="rId22" Type="http://schemas.openxmlformats.org/officeDocument/2006/relationships/hyperlink" Target="https://github.com/" TargetMode="External"/></Relationships>
</file>

<file path=xl/worksheets/_rels/sheet3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megvii-research/FSCE" TargetMode="External"/><Relationship Id="rId13" Type="http://schemas.openxmlformats.org/officeDocument/2006/relationships/hyperlink" Target="https://arxiv.org/abs/1909.13032" TargetMode="External"/><Relationship Id="rId18" Type="http://schemas.openxmlformats.org/officeDocument/2006/relationships/hyperlink" Target="https://github.com/han-tianyu/FM-FSOD" TargetMode="External"/><Relationship Id="rId3" Type="http://schemas.openxmlformats.org/officeDocument/2006/relationships/hyperlink" Target="https://arxiv.org/abs/2108.09017" TargetMode="External"/><Relationship Id="rId21" Type="http://schemas.openxmlformats.org/officeDocument/2006/relationships/hyperlink" Target="https://arxiv.org/abs/2404.00700" TargetMode="External"/><Relationship Id="rId7" Type="http://schemas.openxmlformats.org/officeDocument/2006/relationships/hyperlink" Target="https://arxiv.org/abs/2103.05950" TargetMode="External"/><Relationship Id="rId12" Type="http://schemas.openxmlformats.org/officeDocument/2006/relationships/hyperlink" Target="https://github.com/jiaxi-wu/MPSR" TargetMode="External"/><Relationship Id="rId17" Type="http://schemas.openxmlformats.org/officeDocument/2006/relationships/hyperlink" Target="https://arxiv.org/abs/2402.10433" TargetMode="External"/><Relationship Id="rId2" Type="http://schemas.openxmlformats.org/officeDocument/2006/relationships/hyperlink" Target="https://github.com/ZhangGongjie/Meta-DETR" TargetMode="External"/><Relationship Id="rId16" Type="http://schemas.openxmlformats.org/officeDocument/2006/relationships/hyperlink" Target="https://github.com/bingykang/Fewshot_Detection" TargetMode="External"/><Relationship Id="rId20" Type="http://schemas.openxmlformats.org/officeDocument/2006/relationships/hyperlink" Target="https://github.com/" TargetMode="External"/><Relationship Id="rId1" Type="http://schemas.openxmlformats.org/officeDocument/2006/relationships/hyperlink" Target="https://arxiv.org/abs/2208.00219" TargetMode="External"/><Relationship Id="rId6" Type="http://schemas.openxmlformats.org/officeDocument/2006/relationships/hyperlink" Target="https://github.com/amirbar/DETReg" TargetMode="External"/><Relationship Id="rId11" Type="http://schemas.openxmlformats.org/officeDocument/2006/relationships/hyperlink" Target="https://arxiv.org/abs/2007.09384" TargetMode="External"/><Relationship Id="rId5" Type="http://schemas.openxmlformats.org/officeDocument/2006/relationships/hyperlink" Target="https://arxiv.org/abs/2106.04550" TargetMode="External"/><Relationship Id="rId15" Type="http://schemas.openxmlformats.org/officeDocument/2006/relationships/hyperlink" Target="https://arxiv.org/abs/1812.01866" TargetMode="External"/><Relationship Id="rId10" Type="http://schemas.openxmlformats.org/officeDocument/2006/relationships/hyperlink" Target="https://github.com/ucbdrive/few-shot-object-detection" TargetMode="External"/><Relationship Id="rId19" Type="http://schemas.openxmlformats.org/officeDocument/2006/relationships/hyperlink" Target="https://www.sciencedirect.com/science/article/abs/pii/S1566253525007900" TargetMode="External"/><Relationship Id="rId4" Type="http://schemas.openxmlformats.org/officeDocument/2006/relationships/hyperlink" Target="https://github.com/er-muyue/DeFRCN" TargetMode="External"/><Relationship Id="rId9" Type="http://schemas.openxmlformats.org/officeDocument/2006/relationships/hyperlink" Target="https://arxiv.org/abs/2003.06957" TargetMode="External"/><Relationship Id="rId14" Type="http://schemas.openxmlformats.org/officeDocument/2006/relationships/hyperlink" Target="https://github.com/yanxp/MetaR-CNN" TargetMode="External"/><Relationship Id="rId22" Type="http://schemas.openxmlformats.org/officeDocument/2006/relationships/hyperlink" Target="https://github.com/" TargetMode="External"/></Relationships>
</file>

<file path=xl/worksheets/_rels/sheet34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microsoft/GLIP" TargetMode="External"/><Relationship Id="rId13" Type="http://schemas.openxmlformats.org/officeDocument/2006/relationships/hyperlink" Target="https://arxiv.org/abs/2401.17270" TargetMode="External"/><Relationship Id="rId18" Type="http://schemas.openxmlformats.org/officeDocument/2006/relationships/hyperlink" Target="https://github.com/zhenyuw16/UniDetector" TargetMode="External"/><Relationship Id="rId3" Type="http://schemas.openxmlformats.org/officeDocument/2006/relationships/hyperlink" Target="https://arxiv.org/abs/2405.10300" TargetMode="External"/><Relationship Id="rId21" Type="http://schemas.openxmlformats.org/officeDocument/2006/relationships/hyperlink" Target="https://arxiv.org/abs/2303.11331" TargetMode="External"/><Relationship Id="rId7" Type="http://schemas.openxmlformats.org/officeDocument/2006/relationships/hyperlink" Target="https://arxiv.org/abs/2112.03857" TargetMode="External"/><Relationship Id="rId12" Type="http://schemas.openxmlformats.org/officeDocument/2006/relationships/hyperlink" Target="https://github.com/IDEA-Research/DINO-X-API" TargetMode="External"/><Relationship Id="rId17" Type="http://schemas.openxmlformats.org/officeDocument/2006/relationships/hyperlink" Target="https://arxiv.org/abs/2303.11749" TargetMode="External"/><Relationship Id="rId2" Type="http://schemas.openxmlformats.org/officeDocument/2006/relationships/hyperlink" Target="https://github.com/facebookresearch/Detic" TargetMode="External"/><Relationship Id="rId16" Type="http://schemas.openxmlformats.org/officeDocument/2006/relationships/hyperlink" Target="https://github.com/microsoft/RegionCLIP" TargetMode="External"/><Relationship Id="rId20" Type="http://schemas.openxmlformats.org/officeDocument/2006/relationships/hyperlink" Target="https://github.com/facebookresearch/Detic" TargetMode="External"/><Relationship Id="rId1" Type="http://schemas.openxmlformats.org/officeDocument/2006/relationships/hyperlink" Target="https://arxiv.org/abs/2201.02605" TargetMode="External"/><Relationship Id="rId6" Type="http://schemas.openxmlformats.org/officeDocument/2006/relationships/hyperlink" Target="https://github.com/IDEA-Research/GroundingDINO" TargetMode="External"/><Relationship Id="rId11" Type="http://schemas.openxmlformats.org/officeDocument/2006/relationships/hyperlink" Target="https://arxiv.org/abs/2411.14347" TargetMode="External"/><Relationship Id="rId5" Type="http://schemas.openxmlformats.org/officeDocument/2006/relationships/hyperlink" Target="https://arxiv.org/abs/2303.05499" TargetMode="External"/><Relationship Id="rId15" Type="http://schemas.openxmlformats.org/officeDocument/2006/relationships/hyperlink" Target="https://arxiv.org/abs/2112.09106" TargetMode="External"/><Relationship Id="rId10" Type="http://schemas.openxmlformats.org/officeDocument/2006/relationships/hyperlink" Target="https://github.com/google-research/scenic/tree/main/scenic/projects/owl_vit" TargetMode="External"/><Relationship Id="rId19" Type="http://schemas.openxmlformats.org/officeDocument/2006/relationships/hyperlink" Target="https://arxiv.org/abs/2201.02605" TargetMode="External"/><Relationship Id="rId4" Type="http://schemas.openxmlformats.org/officeDocument/2006/relationships/hyperlink" Target="https://github.com/IDEA-Research/Grounding-DINO-1.5-API" TargetMode="External"/><Relationship Id="rId9" Type="http://schemas.openxmlformats.org/officeDocument/2006/relationships/hyperlink" Target="https://arxiv.org/abs/2306.09683" TargetMode="External"/><Relationship Id="rId14" Type="http://schemas.openxmlformats.org/officeDocument/2006/relationships/hyperlink" Target="https://github.com/AILab-CVC/YOLO-World" TargetMode="External"/><Relationship Id="rId22" Type="http://schemas.openxmlformats.org/officeDocument/2006/relationships/hyperlink" Target="https://github.com/baaivision/EVA" TargetMode="External"/></Relationships>
</file>

<file path=xl/worksheets/_rels/sheet35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microsoft/GLIP" TargetMode="External"/><Relationship Id="rId13" Type="http://schemas.openxmlformats.org/officeDocument/2006/relationships/hyperlink" Target="https://arxiv.org/abs/2401.17270" TargetMode="External"/><Relationship Id="rId18" Type="http://schemas.openxmlformats.org/officeDocument/2006/relationships/hyperlink" Target="https://github.com/zhenyuw16/UniDetector" TargetMode="External"/><Relationship Id="rId3" Type="http://schemas.openxmlformats.org/officeDocument/2006/relationships/hyperlink" Target="https://arxiv.org/abs/2405.10300" TargetMode="External"/><Relationship Id="rId21" Type="http://schemas.openxmlformats.org/officeDocument/2006/relationships/hyperlink" Target="https://arxiv.org/abs/2303.11331" TargetMode="External"/><Relationship Id="rId7" Type="http://schemas.openxmlformats.org/officeDocument/2006/relationships/hyperlink" Target="https://arxiv.org/abs/2112.03857" TargetMode="External"/><Relationship Id="rId12" Type="http://schemas.openxmlformats.org/officeDocument/2006/relationships/hyperlink" Target="https://github.com/IDEA-Research/DINO-X-API" TargetMode="External"/><Relationship Id="rId17" Type="http://schemas.openxmlformats.org/officeDocument/2006/relationships/hyperlink" Target="https://arxiv.org/abs/2303.11749" TargetMode="External"/><Relationship Id="rId2" Type="http://schemas.openxmlformats.org/officeDocument/2006/relationships/hyperlink" Target="https://github.com/facebookresearch/Detic" TargetMode="External"/><Relationship Id="rId16" Type="http://schemas.openxmlformats.org/officeDocument/2006/relationships/hyperlink" Target="https://github.com/microsoft/RegionCLIP" TargetMode="External"/><Relationship Id="rId20" Type="http://schemas.openxmlformats.org/officeDocument/2006/relationships/hyperlink" Target="https://github.com/facebookresearch/Detic" TargetMode="External"/><Relationship Id="rId1" Type="http://schemas.openxmlformats.org/officeDocument/2006/relationships/hyperlink" Target="https://arxiv.org/abs/2201.02605" TargetMode="External"/><Relationship Id="rId6" Type="http://schemas.openxmlformats.org/officeDocument/2006/relationships/hyperlink" Target="https://github.com/IDEA-Research/GroundingDINO" TargetMode="External"/><Relationship Id="rId11" Type="http://schemas.openxmlformats.org/officeDocument/2006/relationships/hyperlink" Target="https://arxiv.org/abs/2411.14347" TargetMode="External"/><Relationship Id="rId5" Type="http://schemas.openxmlformats.org/officeDocument/2006/relationships/hyperlink" Target="https://arxiv.org/abs/2303.05499" TargetMode="External"/><Relationship Id="rId15" Type="http://schemas.openxmlformats.org/officeDocument/2006/relationships/hyperlink" Target="https://arxiv.org/abs/2112.09106" TargetMode="External"/><Relationship Id="rId10" Type="http://schemas.openxmlformats.org/officeDocument/2006/relationships/hyperlink" Target="https://github.com/google-research/scenic/tree/main/scenic/projects/owl_vit" TargetMode="External"/><Relationship Id="rId19" Type="http://schemas.openxmlformats.org/officeDocument/2006/relationships/hyperlink" Target="https://arxiv.org/abs/2201.02605" TargetMode="External"/><Relationship Id="rId4" Type="http://schemas.openxmlformats.org/officeDocument/2006/relationships/hyperlink" Target="https://github.com/IDEA-Research/Grounding-DINO-1.5-API" TargetMode="External"/><Relationship Id="rId9" Type="http://schemas.openxmlformats.org/officeDocument/2006/relationships/hyperlink" Target="https://arxiv.org/abs/2306.09683" TargetMode="External"/><Relationship Id="rId14" Type="http://schemas.openxmlformats.org/officeDocument/2006/relationships/hyperlink" Target="https://github.com/AILab-CVC/YOLO-World" TargetMode="External"/><Relationship Id="rId22" Type="http://schemas.openxmlformats.org/officeDocument/2006/relationships/hyperlink" Target="https://github.com/baaivision/EVA" TargetMode="External"/></Relationships>
</file>

<file path=xl/worksheets/_rels/sheet36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microsoft/GLIP" TargetMode="External"/><Relationship Id="rId13" Type="http://schemas.openxmlformats.org/officeDocument/2006/relationships/hyperlink" Target="https://arxiv.org/abs/2306.09683" TargetMode="External"/><Relationship Id="rId18" Type="http://schemas.openxmlformats.org/officeDocument/2006/relationships/hyperlink" Target="https://github.com/microsoft/RegionCLIP" TargetMode="External"/><Relationship Id="rId3" Type="http://schemas.openxmlformats.org/officeDocument/2006/relationships/hyperlink" Target="https://arxiv.org/abs/2303.05499" TargetMode="External"/><Relationship Id="rId21" Type="http://schemas.openxmlformats.org/officeDocument/2006/relationships/hyperlink" Target="https://arxiv.org/abs/2401.17270" TargetMode="External"/><Relationship Id="rId7" Type="http://schemas.openxmlformats.org/officeDocument/2006/relationships/hyperlink" Target="https://arxiv.org/abs/2112.03857" TargetMode="External"/><Relationship Id="rId12" Type="http://schemas.openxmlformats.org/officeDocument/2006/relationships/hyperlink" Target="https://github.com/google-research/scenic/tree/main/scenic/projects/owl_vit" TargetMode="External"/><Relationship Id="rId17" Type="http://schemas.openxmlformats.org/officeDocument/2006/relationships/hyperlink" Target="https://arxiv.org/abs/2112.09106" TargetMode="External"/><Relationship Id="rId2" Type="http://schemas.openxmlformats.org/officeDocument/2006/relationships/hyperlink" Target="https://github.com/IDEA-Research/Grounding-DINO-1.5-API" TargetMode="External"/><Relationship Id="rId16" Type="http://schemas.openxmlformats.org/officeDocument/2006/relationships/hyperlink" Target="https://github.com/facebookresearch/Detic" TargetMode="External"/><Relationship Id="rId20" Type="http://schemas.openxmlformats.org/officeDocument/2006/relationships/hyperlink" Target="https://github.com/zhenyuw16/UniDetector" TargetMode="External"/><Relationship Id="rId1" Type="http://schemas.openxmlformats.org/officeDocument/2006/relationships/hyperlink" Target="https://arxiv.org/abs/2405.10300" TargetMode="External"/><Relationship Id="rId6" Type="http://schemas.openxmlformats.org/officeDocument/2006/relationships/hyperlink" Target="https://github.com/IDEA-Research/DINO-X-API" TargetMode="External"/><Relationship Id="rId11" Type="http://schemas.openxmlformats.org/officeDocument/2006/relationships/hyperlink" Target="https://arxiv.org/abs/2205.06230" TargetMode="External"/><Relationship Id="rId5" Type="http://schemas.openxmlformats.org/officeDocument/2006/relationships/hyperlink" Target="https://arxiv.org/abs/2411.14347" TargetMode="External"/><Relationship Id="rId15" Type="http://schemas.openxmlformats.org/officeDocument/2006/relationships/hyperlink" Target="https://arxiv.org/abs/2201.02605" TargetMode="External"/><Relationship Id="rId10" Type="http://schemas.openxmlformats.org/officeDocument/2006/relationships/hyperlink" Target="https://github.com/microsoft/GLIP" TargetMode="External"/><Relationship Id="rId19" Type="http://schemas.openxmlformats.org/officeDocument/2006/relationships/hyperlink" Target="https://arxiv.org/abs/2303.11749" TargetMode="External"/><Relationship Id="rId4" Type="http://schemas.openxmlformats.org/officeDocument/2006/relationships/hyperlink" Target="https://github.com/IDEA-Research/GroundingDINO" TargetMode="External"/><Relationship Id="rId9" Type="http://schemas.openxmlformats.org/officeDocument/2006/relationships/hyperlink" Target="https://arxiv.org/abs/2206.05836" TargetMode="External"/><Relationship Id="rId14" Type="http://schemas.openxmlformats.org/officeDocument/2006/relationships/hyperlink" Target="https://github.com/google-research/scenic/tree/main/scenic/projects/owl_vit" TargetMode="External"/><Relationship Id="rId22" Type="http://schemas.openxmlformats.org/officeDocument/2006/relationships/hyperlink" Target="https://github.com/AILab-CVC/YOLO-World" TargetMode="External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DEA-Research/DINO-X-API" TargetMode="External"/><Relationship Id="rId13" Type="http://schemas.openxmlformats.org/officeDocument/2006/relationships/hyperlink" Target="https://arxiv.org/abs/2201.02605" TargetMode="External"/><Relationship Id="rId18" Type="http://schemas.openxmlformats.org/officeDocument/2006/relationships/hyperlink" Target="https://github.com/zhenyuw16/UniDetector" TargetMode="External"/><Relationship Id="rId3" Type="http://schemas.openxmlformats.org/officeDocument/2006/relationships/hyperlink" Target="https://arxiv.org/abs/2303.05499" TargetMode="External"/><Relationship Id="rId21" Type="http://schemas.openxmlformats.org/officeDocument/2006/relationships/hyperlink" Target="https://arxiv.org/abs/2404.00000" TargetMode="External"/><Relationship Id="rId7" Type="http://schemas.openxmlformats.org/officeDocument/2006/relationships/hyperlink" Target="https://arxiv.org/abs/2411.14347" TargetMode="External"/><Relationship Id="rId12" Type="http://schemas.openxmlformats.org/officeDocument/2006/relationships/hyperlink" Target="https://github.com/AILab-CVC/YOLO-World" TargetMode="External"/><Relationship Id="rId17" Type="http://schemas.openxmlformats.org/officeDocument/2006/relationships/hyperlink" Target="https://arxiv.org/abs/2303.11749" TargetMode="External"/><Relationship Id="rId2" Type="http://schemas.openxmlformats.org/officeDocument/2006/relationships/hyperlink" Target="https://github.com/IDEA-Research/Grounding-DINO-1.5-API" TargetMode="External"/><Relationship Id="rId16" Type="http://schemas.openxmlformats.org/officeDocument/2006/relationships/hyperlink" Target="https://github.com/google-research/scenic/tree/main/scenic/projects/owl_vit" TargetMode="External"/><Relationship Id="rId20" Type="http://schemas.openxmlformats.org/officeDocument/2006/relationships/hyperlink" Target="https://github.com/microsoft/RegionCLIP" TargetMode="External"/><Relationship Id="rId1" Type="http://schemas.openxmlformats.org/officeDocument/2006/relationships/hyperlink" Target="https://arxiv.org/abs/2405.10300" TargetMode="External"/><Relationship Id="rId6" Type="http://schemas.openxmlformats.org/officeDocument/2006/relationships/hyperlink" Target="https://github.com/microsoft/GLIP" TargetMode="External"/><Relationship Id="rId11" Type="http://schemas.openxmlformats.org/officeDocument/2006/relationships/hyperlink" Target="https://arxiv.org/abs/2401.17270" TargetMode="External"/><Relationship Id="rId5" Type="http://schemas.openxmlformats.org/officeDocument/2006/relationships/hyperlink" Target="https://arxiv.org/abs/2112.03857" TargetMode="External"/><Relationship Id="rId15" Type="http://schemas.openxmlformats.org/officeDocument/2006/relationships/hyperlink" Target="https://arxiv.org/abs/2205.06230" TargetMode="External"/><Relationship Id="rId10" Type="http://schemas.openxmlformats.org/officeDocument/2006/relationships/hyperlink" Target="https://github.com/google-research/scenic/tree/main/scenic/projects/owl_vit" TargetMode="External"/><Relationship Id="rId19" Type="http://schemas.openxmlformats.org/officeDocument/2006/relationships/hyperlink" Target="https://arxiv.org/abs/2112.09106" TargetMode="External"/><Relationship Id="rId4" Type="http://schemas.openxmlformats.org/officeDocument/2006/relationships/hyperlink" Target="https://github.com/IDEA-Research/GroundingDINO" TargetMode="External"/><Relationship Id="rId9" Type="http://schemas.openxmlformats.org/officeDocument/2006/relationships/hyperlink" Target="https://arxiv.org/abs/2306.09683" TargetMode="External"/><Relationship Id="rId14" Type="http://schemas.openxmlformats.org/officeDocument/2006/relationships/hyperlink" Target="https://github.com/facebookresearch/Detic" TargetMode="External"/><Relationship Id="rId22" Type="http://schemas.openxmlformats.org/officeDocument/2006/relationships/hyperlink" Target="https://github.com/open-mmlab/mmdete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4"/>
  <sheetViews>
    <sheetView workbookViewId="0">
      <pane ySplit="1" topLeftCell="A2" activePane="bottomLeft" state="frozen"/>
      <selection pane="bottomLeft" activeCell="F2" sqref="F2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8" customWidth="1"/>
    <col min="5" max="5" width="12" customWidth="1"/>
    <col min="6" max="6" width="70" customWidth="1"/>
    <col min="7" max="8" width="50" customWidth="1"/>
  </cols>
  <sheetData>
    <row r="1" spans="1:8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8" customHeight="1" x14ac:dyDescent="0.25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6" t="s">
        <v>14</v>
      </c>
      <c r="H2" s="6" t="s">
        <v>15</v>
      </c>
    </row>
    <row r="3" spans="1:8" ht="48" customHeight="1" x14ac:dyDescent="0.25">
      <c r="A3" s="3" t="s">
        <v>8</v>
      </c>
      <c r="B3" s="3" t="s">
        <v>16</v>
      </c>
      <c r="C3" s="3" t="s">
        <v>10</v>
      </c>
      <c r="D3" s="3" t="s">
        <v>11</v>
      </c>
      <c r="E3" s="3" t="s">
        <v>12</v>
      </c>
      <c r="F3" s="3" t="s">
        <v>17</v>
      </c>
      <c r="G3" s="6" t="s">
        <v>14</v>
      </c>
      <c r="H3" s="6" t="s">
        <v>15</v>
      </c>
    </row>
    <row r="4" spans="1:8" ht="48" customHeight="1" x14ac:dyDescent="0.25">
      <c r="A4" s="3" t="s">
        <v>8</v>
      </c>
      <c r="B4" s="3" t="s">
        <v>18</v>
      </c>
      <c r="C4" s="3" t="s">
        <v>19</v>
      </c>
      <c r="D4" s="3" t="s">
        <v>20</v>
      </c>
      <c r="E4" s="3" t="s">
        <v>21</v>
      </c>
      <c r="F4" s="3" t="s">
        <v>22</v>
      </c>
      <c r="G4" s="6" t="s">
        <v>23</v>
      </c>
      <c r="H4" s="6" t="s">
        <v>24</v>
      </c>
    </row>
    <row r="5" spans="1:8" ht="48" customHeight="1" x14ac:dyDescent="0.25">
      <c r="A5" s="3" t="s">
        <v>8</v>
      </c>
      <c r="B5" s="3" t="s">
        <v>25</v>
      </c>
      <c r="C5" s="3" t="s">
        <v>19</v>
      </c>
      <c r="D5" s="3" t="s">
        <v>20</v>
      </c>
      <c r="E5" s="3" t="s">
        <v>21</v>
      </c>
      <c r="F5" s="3" t="s">
        <v>26</v>
      </c>
      <c r="G5" s="6" t="s">
        <v>23</v>
      </c>
      <c r="H5" s="6" t="s">
        <v>24</v>
      </c>
    </row>
    <row r="6" spans="1:8" ht="48" customHeight="1" x14ac:dyDescent="0.25">
      <c r="A6" s="3" t="s">
        <v>8</v>
      </c>
      <c r="B6" s="3" t="s">
        <v>27</v>
      </c>
      <c r="C6" s="3" t="s">
        <v>28</v>
      </c>
      <c r="D6" s="3" t="s">
        <v>29</v>
      </c>
      <c r="E6" s="3" t="s">
        <v>30</v>
      </c>
      <c r="F6" s="3" t="s">
        <v>31</v>
      </c>
      <c r="G6" s="6" t="s">
        <v>32</v>
      </c>
      <c r="H6" s="6" t="s">
        <v>33</v>
      </c>
    </row>
    <row r="7" spans="1:8" ht="48" customHeight="1" x14ac:dyDescent="0.25">
      <c r="A7" s="4" t="s">
        <v>34</v>
      </c>
      <c r="B7" s="4" t="s">
        <v>35</v>
      </c>
      <c r="C7" s="4" t="s">
        <v>36</v>
      </c>
      <c r="D7" s="4" t="s">
        <v>29</v>
      </c>
      <c r="E7" s="4" t="s">
        <v>30</v>
      </c>
      <c r="F7" s="4" t="s">
        <v>37</v>
      </c>
      <c r="G7" s="7" t="s">
        <v>38</v>
      </c>
      <c r="H7" s="7" t="s">
        <v>39</v>
      </c>
    </row>
    <row r="8" spans="1:8" ht="48" customHeight="1" x14ac:dyDescent="0.25">
      <c r="A8" s="3" t="s">
        <v>8</v>
      </c>
      <c r="B8" s="3" t="s">
        <v>40</v>
      </c>
      <c r="C8" s="3" t="s">
        <v>41</v>
      </c>
      <c r="D8" s="3" t="s">
        <v>29</v>
      </c>
      <c r="E8" s="3" t="s">
        <v>42</v>
      </c>
      <c r="F8" s="3" t="s">
        <v>43</v>
      </c>
      <c r="G8" s="6" t="s">
        <v>44</v>
      </c>
      <c r="H8" s="6" t="s">
        <v>45</v>
      </c>
    </row>
    <row r="9" spans="1:8" ht="48" customHeight="1" x14ac:dyDescent="0.25">
      <c r="A9" s="3" t="s">
        <v>8</v>
      </c>
      <c r="B9" s="3" t="s">
        <v>46</v>
      </c>
      <c r="C9" s="3" t="s">
        <v>36</v>
      </c>
      <c r="D9" s="3" t="s">
        <v>7</v>
      </c>
      <c r="E9" s="3" t="s">
        <v>42</v>
      </c>
      <c r="F9" s="3" t="s">
        <v>47</v>
      </c>
      <c r="G9" s="6" t="s">
        <v>48</v>
      </c>
      <c r="H9" s="6" t="s">
        <v>48</v>
      </c>
    </row>
    <row r="10" spans="1:8" ht="48" customHeight="1" x14ac:dyDescent="0.25">
      <c r="A10" s="3" t="s">
        <v>8</v>
      </c>
      <c r="B10" s="3" t="s">
        <v>49</v>
      </c>
      <c r="C10" s="3" t="s">
        <v>41</v>
      </c>
      <c r="D10" s="3" t="s">
        <v>50</v>
      </c>
      <c r="E10" s="3" t="s">
        <v>51</v>
      </c>
      <c r="F10" s="3" t="s">
        <v>52</v>
      </c>
      <c r="G10" s="6" t="s">
        <v>53</v>
      </c>
      <c r="H10" s="6" t="s">
        <v>54</v>
      </c>
    </row>
    <row r="11" spans="1:8" ht="48" customHeight="1" x14ac:dyDescent="0.25">
      <c r="A11" s="3" t="s">
        <v>8</v>
      </c>
      <c r="B11" s="3" t="s">
        <v>55</v>
      </c>
      <c r="C11" s="3" t="s">
        <v>56</v>
      </c>
      <c r="D11" s="3" t="s">
        <v>29</v>
      </c>
      <c r="E11" s="3" t="s">
        <v>51</v>
      </c>
      <c r="F11" s="3" t="s">
        <v>57</v>
      </c>
      <c r="G11" s="6" t="s">
        <v>58</v>
      </c>
      <c r="H11" s="6" t="s">
        <v>59</v>
      </c>
    </row>
    <row r="12" spans="1:8" ht="48" customHeight="1" x14ac:dyDescent="0.25">
      <c r="A12" s="3" t="s">
        <v>8</v>
      </c>
      <c r="B12" s="3" t="s">
        <v>60</v>
      </c>
      <c r="C12" s="3" t="s">
        <v>41</v>
      </c>
      <c r="D12" s="3" t="s">
        <v>50</v>
      </c>
      <c r="E12" s="3" t="s">
        <v>51</v>
      </c>
      <c r="F12" s="3" t="s">
        <v>61</v>
      </c>
      <c r="G12" s="6" t="s">
        <v>53</v>
      </c>
      <c r="H12" s="6" t="s">
        <v>54</v>
      </c>
    </row>
    <row r="13" spans="1:8" ht="48" customHeight="1" x14ac:dyDescent="0.25">
      <c r="A13" s="5" t="s">
        <v>62</v>
      </c>
      <c r="B13" s="5" t="s">
        <v>63</v>
      </c>
      <c r="C13" s="5" t="s">
        <v>64</v>
      </c>
      <c r="D13" s="5" t="s">
        <v>65</v>
      </c>
      <c r="E13" s="5" t="s">
        <v>51</v>
      </c>
      <c r="F13" s="5" t="s">
        <v>66</v>
      </c>
      <c r="G13" s="8" t="s">
        <v>67</v>
      </c>
      <c r="H13" s="8" t="s">
        <v>68</v>
      </c>
    </row>
    <row r="14" spans="1:8" ht="48" customHeight="1" x14ac:dyDescent="0.25">
      <c r="A14" s="3" t="s">
        <v>8</v>
      </c>
      <c r="B14" s="3" t="s">
        <v>69</v>
      </c>
      <c r="C14" s="3" t="s">
        <v>70</v>
      </c>
      <c r="D14" s="3" t="s">
        <v>11</v>
      </c>
      <c r="E14" s="3" t="s">
        <v>71</v>
      </c>
      <c r="F14" s="3" t="s">
        <v>72</v>
      </c>
      <c r="G14" s="6" t="s">
        <v>73</v>
      </c>
      <c r="H14" s="6" t="s">
        <v>74</v>
      </c>
    </row>
    <row r="15" spans="1:8" ht="48" customHeight="1" x14ac:dyDescent="0.25">
      <c r="A15" s="3" t="s">
        <v>8</v>
      </c>
      <c r="B15" s="3" t="s">
        <v>75</v>
      </c>
      <c r="C15" s="3" t="s">
        <v>70</v>
      </c>
      <c r="D15" s="3" t="s">
        <v>11</v>
      </c>
      <c r="E15" s="3" t="s">
        <v>71</v>
      </c>
      <c r="F15" s="3" t="s">
        <v>76</v>
      </c>
      <c r="G15" s="6" t="s">
        <v>73</v>
      </c>
      <c r="H15" s="6" t="s">
        <v>74</v>
      </c>
    </row>
    <row r="16" spans="1:8" ht="48" customHeight="1" x14ac:dyDescent="0.25">
      <c r="A16" s="3" t="s">
        <v>8</v>
      </c>
      <c r="B16" s="3" t="s">
        <v>77</v>
      </c>
      <c r="C16" s="3" t="s">
        <v>78</v>
      </c>
      <c r="D16" s="3" t="s">
        <v>79</v>
      </c>
      <c r="E16" s="3" t="s">
        <v>80</v>
      </c>
      <c r="F16" s="3" t="s">
        <v>81</v>
      </c>
      <c r="G16" s="6" t="s">
        <v>82</v>
      </c>
      <c r="H16" s="6" t="s">
        <v>83</v>
      </c>
    </row>
    <row r="17" spans="1:8" ht="48" customHeight="1" x14ac:dyDescent="0.25">
      <c r="A17" s="3" t="s">
        <v>8</v>
      </c>
      <c r="B17" s="3" t="s">
        <v>84</v>
      </c>
      <c r="C17" s="3" t="s">
        <v>85</v>
      </c>
      <c r="D17" s="3" t="s">
        <v>86</v>
      </c>
      <c r="E17" s="3" t="s">
        <v>80</v>
      </c>
      <c r="F17" s="3" t="s">
        <v>87</v>
      </c>
      <c r="G17" s="6" t="s">
        <v>88</v>
      </c>
      <c r="H17" s="6" t="s">
        <v>89</v>
      </c>
    </row>
    <row r="18" spans="1:8" ht="48" customHeight="1" x14ac:dyDescent="0.25">
      <c r="A18" s="4" t="s">
        <v>34</v>
      </c>
      <c r="B18" s="4" t="s">
        <v>90</v>
      </c>
      <c r="C18" s="4" t="s">
        <v>36</v>
      </c>
      <c r="D18" s="4" t="s">
        <v>91</v>
      </c>
      <c r="E18" s="4" t="s">
        <v>80</v>
      </c>
      <c r="F18" s="4" t="s">
        <v>92</v>
      </c>
      <c r="G18" s="7" t="s">
        <v>93</v>
      </c>
      <c r="H18" s="7" t="s">
        <v>93</v>
      </c>
    </row>
    <row r="19" spans="1:8" ht="48" customHeight="1" x14ac:dyDescent="0.25">
      <c r="A19" s="5" t="s">
        <v>62</v>
      </c>
      <c r="B19" s="5" t="s">
        <v>94</v>
      </c>
      <c r="C19" s="5" t="s">
        <v>36</v>
      </c>
      <c r="D19" s="5" t="s">
        <v>95</v>
      </c>
      <c r="E19" s="5" t="s">
        <v>96</v>
      </c>
      <c r="F19" s="5" t="s">
        <v>97</v>
      </c>
      <c r="G19" s="8" t="s">
        <v>98</v>
      </c>
      <c r="H19" s="8" t="s">
        <v>39</v>
      </c>
    </row>
    <row r="20" spans="1:8" ht="48" customHeight="1" x14ac:dyDescent="0.25">
      <c r="A20" s="3" t="s">
        <v>8</v>
      </c>
      <c r="B20" s="3" t="s">
        <v>99</v>
      </c>
      <c r="C20" s="3" t="s">
        <v>85</v>
      </c>
      <c r="D20" s="3" t="s">
        <v>79</v>
      </c>
      <c r="E20" s="3" t="s">
        <v>100</v>
      </c>
      <c r="F20" s="3" t="s">
        <v>101</v>
      </c>
      <c r="G20" s="6" t="s">
        <v>102</v>
      </c>
      <c r="H20" s="6" t="s">
        <v>103</v>
      </c>
    </row>
    <row r="21" spans="1:8" ht="48" customHeight="1" x14ac:dyDescent="0.25">
      <c r="A21" s="2" t="s">
        <v>104</v>
      </c>
      <c r="B21" s="2" t="s">
        <v>105</v>
      </c>
      <c r="C21" s="2" t="s">
        <v>106</v>
      </c>
      <c r="D21" s="2" t="s">
        <v>29</v>
      </c>
      <c r="E21" s="2" t="s">
        <v>107</v>
      </c>
      <c r="F21" s="2" t="s">
        <v>108</v>
      </c>
      <c r="G21" s="9" t="s">
        <v>109</v>
      </c>
      <c r="H21" s="9" t="s">
        <v>110</v>
      </c>
    </row>
    <row r="22" spans="1:8" ht="48" customHeight="1" x14ac:dyDescent="0.25">
      <c r="A22" s="5" t="s">
        <v>62</v>
      </c>
      <c r="B22" s="5" t="s">
        <v>111</v>
      </c>
      <c r="C22" s="5" t="s">
        <v>112</v>
      </c>
      <c r="D22" s="5" t="s">
        <v>113</v>
      </c>
      <c r="E22" s="5" t="s">
        <v>114</v>
      </c>
      <c r="F22" s="5" t="s">
        <v>115</v>
      </c>
      <c r="G22" s="8" t="s">
        <v>116</v>
      </c>
      <c r="H22" s="8" t="s">
        <v>117</v>
      </c>
    </row>
    <row r="23" spans="1:8" ht="48" customHeight="1" x14ac:dyDescent="0.25">
      <c r="A23" s="5" t="s">
        <v>62</v>
      </c>
      <c r="B23" s="5" t="s">
        <v>118</v>
      </c>
      <c r="C23" s="5" t="s">
        <v>119</v>
      </c>
      <c r="D23" s="5" t="s">
        <v>113</v>
      </c>
      <c r="E23" s="5" t="s">
        <v>114</v>
      </c>
      <c r="F23" s="5" t="s">
        <v>120</v>
      </c>
      <c r="G23" s="8" t="s">
        <v>121</v>
      </c>
      <c r="H23" s="8" t="s">
        <v>122</v>
      </c>
    </row>
    <row r="24" spans="1:8" ht="48" customHeight="1" x14ac:dyDescent="0.25">
      <c r="A24" s="2" t="s">
        <v>104</v>
      </c>
      <c r="B24" s="2" t="s">
        <v>123</v>
      </c>
      <c r="C24" s="2" t="s">
        <v>124</v>
      </c>
      <c r="D24" s="2" t="s">
        <v>113</v>
      </c>
      <c r="E24" s="2" t="s">
        <v>125</v>
      </c>
      <c r="F24" s="2" t="s">
        <v>126</v>
      </c>
      <c r="G24" s="9" t="s">
        <v>127</v>
      </c>
      <c r="H24" s="9" t="s">
        <v>128</v>
      </c>
    </row>
    <row r="25" spans="1:8" ht="48" customHeight="1" x14ac:dyDescent="0.25">
      <c r="A25" s="3" t="s">
        <v>8</v>
      </c>
      <c r="B25" s="3" t="s">
        <v>129</v>
      </c>
      <c r="C25" s="3" t="s">
        <v>85</v>
      </c>
      <c r="D25" s="3" t="s">
        <v>113</v>
      </c>
      <c r="E25" s="3" t="s">
        <v>125</v>
      </c>
      <c r="F25" s="3" t="s">
        <v>130</v>
      </c>
      <c r="G25" s="6" t="s">
        <v>131</v>
      </c>
      <c r="H25" s="6" t="s">
        <v>132</v>
      </c>
    </row>
    <row r="26" spans="1:8" ht="48" customHeight="1" x14ac:dyDescent="0.25">
      <c r="A26" s="3" t="s">
        <v>8</v>
      </c>
      <c r="B26" s="3" t="s">
        <v>133</v>
      </c>
      <c r="C26" s="3" t="s">
        <v>19</v>
      </c>
      <c r="D26" s="3" t="s">
        <v>20</v>
      </c>
      <c r="E26" s="3" t="s">
        <v>125</v>
      </c>
      <c r="F26" s="3" t="s">
        <v>134</v>
      </c>
      <c r="G26" s="6" t="s">
        <v>135</v>
      </c>
      <c r="H26" s="6" t="s">
        <v>24</v>
      </c>
    </row>
    <row r="27" spans="1:8" ht="48" customHeight="1" x14ac:dyDescent="0.25">
      <c r="A27" s="3" t="s">
        <v>8</v>
      </c>
      <c r="B27" s="3" t="s">
        <v>136</v>
      </c>
      <c r="C27" s="3" t="s">
        <v>137</v>
      </c>
      <c r="D27" s="3" t="s">
        <v>29</v>
      </c>
      <c r="E27" s="3" t="s">
        <v>138</v>
      </c>
      <c r="F27" s="3" t="s">
        <v>139</v>
      </c>
      <c r="G27" s="6" t="s">
        <v>140</v>
      </c>
      <c r="H27" s="6" t="s">
        <v>141</v>
      </c>
    </row>
    <row r="28" spans="1:8" ht="48" customHeight="1" x14ac:dyDescent="0.25">
      <c r="A28" s="3" t="s">
        <v>8</v>
      </c>
      <c r="B28" s="3" t="s">
        <v>142</v>
      </c>
      <c r="C28" s="3" t="s">
        <v>143</v>
      </c>
      <c r="D28" s="3" t="s">
        <v>50</v>
      </c>
      <c r="E28" s="3" t="s">
        <v>144</v>
      </c>
      <c r="F28" s="3" t="s">
        <v>145</v>
      </c>
      <c r="G28" s="6" t="s">
        <v>146</v>
      </c>
      <c r="H28" s="6" t="s">
        <v>141</v>
      </c>
    </row>
    <row r="29" spans="1:8" ht="48" customHeight="1" x14ac:dyDescent="0.25">
      <c r="A29" s="4" t="s">
        <v>34</v>
      </c>
      <c r="B29" s="4" t="s">
        <v>147</v>
      </c>
      <c r="C29" s="4" t="s">
        <v>148</v>
      </c>
      <c r="D29" s="4" t="s">
        <v>50</v>
      </c>
      <c r="E29" s="4" t="s">
        <v>144</v>
      </c>
      <c r="F29" s="4" t="s">
        <v>149</v>
      </c>
      <c r="G29" s="7" t="s">
        <v>150</v>
      </c>
      <c r="H29" s="7" t="s">
        <v>151</v>
      </c>
    </row>
    <row r="30" spans="1:8" ht="48" customHeight="1" x14ac:dyDescent="0.25">
      <c r="A30" s="4" t="s">
        <v>34</v>
      </c>
      <c r="B30" s="4" t="s">
        <v>152</v>
      </c>
      <c r="C30" s="4" t="s">
        <v>153</v>
      </c>
      <c r="D30" s="4" t="s">
        <v>50</v>
      </c>
      <c r="E30" s="4" t="s">
        <v>144</v>
      </c>
      <c r="F30" s="4" t="s">
        <v>154</v>
      </c>
      <c r="G30" s="7" t="s">
        <v>155</v>
      </c>
      <c r="H30" s="7" t="s">
        <v>156</v>
      </c>
    </row>
    <row r="31" spans="1:8" ht="48" customHeight="1" x14ac:dyDescent="0.25">
      <c r="A31" s="5" t="s">
        <v>62</v>
      </c>
      <c r="B31" s="5" t="s">
        <v>157</v>
      </c>
      <c r="C31" s="5" t="s">
        <v>158</v>
      </c>
      <c r="D31" s="5" t="s">
        <v>50</v>
      </c>
      <c r="E31" s="5" t="s">
        <v>144</v>
      </c>
      <c r="F31" s="5" t="s">
        <v>159</v>
      </c>
      <c r="G31" s="8" t="s">
        <v>160</v>
      </c>
      <c r="H31" s="8" t="s">
        <v>161</v>
      </c>
    </row>
    <row r="32" spans="1:8" ht="48" customHeight="1" x14ac:dyDescent="0.25">
      <c r="A32" s="2" t="s">
        <v>104</v>
      </c>
      <c r="B32" s="2" t="s">
        <v>162</v>
      </c>
      <c r="C32" s="2" t="s">
        <v>163</v>
      </c>
      <c r="D32" s="2" t="s">
        <v>29</v>
      </c>
      <c r="E32" s="2" t="s">
        <v>164</v>
      </c>
      <c r="F32" s="2" t="s">
        <v>165</v>
      </c>
      <c r="G32" s="9" t="s">
        <v>166</v>
      </c>
      <c r="H32" s="9" t="s">
        <v>167</v>
      </c>
    </row>
    <row r="33" spans="1:8" ht="48" customHeight="1" x14ac:dyDescent="0.25">
      <c r="A33" s="5" t="s">
        <v>62</v>
      </c>
      <c r="B33" s="5" t="s">
        <v>162</v>
      </c>
      <c r="C33" s="5" t="s">
        <v>163</v>
      </c>
      <c r="D33" s="5" t="s">
        <v>29</v>
      </c>
      <c r="E33" s="5" t="s">
        <v>164</v>
      </c>
      <c r="F33" s="5" t="s">
        <v>168</v>
      </c>
      <c r="G33" s="8" t="s">
        <v>166</v>
      </c>
      <c r="H33" s="8" t="s">
        <v>167</v>
      </c>
    </row>
    <row r="34" spans="1:8" ht="48" customHeight="1" x14ac:dyDescent="0.25">
      <c r="A34" s="4" t="s">
        <v>34</v>
      </c>
      <c r="B34" s="4" t="s">
        <v>169</v>
      </c>
      <c r="C34" s="4" t="s">
        <v>170</v>
      </c>
      <c r="D34" s="4" t="s">
        <v>171</v>
      </c>
      <c r="E34" s="4" t="s">
        <v>172</v>
      </c>
      <c r="F34" s="4" t="s">
        <v>173</v>
      </c>
      <c r="G34" s="7" t="s">
        <v>174</v>
      </c>
      <c r="H34" s="7" t="s">
        <v>175</v>
      </c>
    </row>
    <row r="35" spans="1:8" ht="48" customHeight="1" x14ac:dyDescent="0.25">
      <c r="A35" s="5" t="s">
        <v>62</v>
      </c>
      <c r="B35" s="5" t="s">
        <v>176</v>
      </c>
      <c r="C35" s="5" t="s">
        <v>36</v>
      </c>
      <c r="D35" s="5" t="s">
        <v>29</v>
      </c>
      <c r="E35" s="5" t="s">
        <v>172</v>
      </c>
      <c r="F35" s="5" t="s">
        <v>177</v>
      </c>
      <c r="G35" s="8" t="s">
        <v>178</v>
      </c>
      <c r="H35" s="8" t="s">
        <v>39</v>
      </c>
    </row>
    <row r="36" spans="1:8" ht="48" customHeight="1" x14ac:dyDescent="0.25">
      <c r="A36" s="2" t="s">
        <v>104</v>
      </c>
      <c r="B36" s="2" t="s">
        <v>179</v>
      </c>
      <c r="C36" s="2" t="s">
        <v>180</v>
      </c>
      <c r="D36" s="2" t="s">
        <v>181</v>
      </c>
      <c r="E36" s="2" t="s">
        <v>182</v>
      </c>
      <c r="F36" s="2" t="s">
        <v>183</v>
      </c>
      <c r="G36" s="9" t="s">
        <v>184</v>
      </c>
      <c r="H36" s="9" t="s">
        <v>185</v>
      </c>
    </row>
    <row r="37" spans="1:8" ht="48" customHeight="1" x14ac:dyDescent="0.25">
      <c r="A37" s="2" t="s">
        <v>104</v>
      </c>
      <c r="B37" s="2" t="s">
        <v>186</v>
      </c>
      <c r="C37" s="2" t="s">
        <v>187</v>
      </c>
      <c r="D37" s="2" t="s">
        <v>188</v>
      </c>
      <c r="E37" s="2" t="s">
        <v>182</v>
      </c>
      <c r="F37" s="2" t="s">
        <v>189</v>
      </c>
      <c r="G37" s="9" t="s">
        <v>190</v>
      </c>
      <c r="H37" s="9" t="s">
        <v>191</v>
      </c>
    </row>
    <row r="38" spans="1:8" ht="48" customHeight="1" x14ac:dyDescent="0.25">
      <c r="A38" s="4" t="s">
        <v>34</v>
      </c>
      <c r="B38" s="4" t="s">
        <v>192</v>
      </c>
      <c r="C38" s="4" t="s">
        <v>193</v>
      </c>
      <c r="D38" s="4" t="s">
        <v>181</v>
      </c>
      <c r="E38" s="4" t="s">
        <v>182</v>
      </c>
      <c r="F38" s="4" t="s">
        <v>194</v>
      </c>
      <c r="G38" s="7" t="s">
        <v>195</v>
      </c>
      <c r="H38" s="7" t="s">
        <v>196</v>
      </c>
    </row>
    <row r="39" spans="1:8" ht="48" customHeight="1" x14ac:dyDescent="0.25">
      <c r="A39" s="2" t="s">
        <v>104</v>
      </c>
      <c r="B39" s="2" t="s">
        <v>197</v>
      </c>
      <c r="C39" s="2" t="s">
        <v>85</v>
      </c>
      <c r="D39" s="2" t="s">
        <v>50</v>
      </c>
      <c r="E39" s="2" t="s">
        <v>198</v>
      </c>
      <c r="F39" s="2" t="s">
        <v>199</v>
      </c>
      <c r="G39" s="9" t="s">
        <v>200</v>
      </c>
      <c r="H39" s="9" t="s">
        <v>201</v>
      </c>
    </row>
    <row r="40" spans="1:8" ht="48" customHeight="1" x14ac:dyDescent="0.25">
      <c r="A40" s="3" t="s">
        <v>8</v>
      </c>
      <c r="B40" s="3" t="s">
        <v>202</v>
      </c>
      <c r="C40" s="3" t="s">
        <v>85</v>
      </c>
      <c r="D40" s="3" t="s">
        <v>50</v>
      </c>
      <c r="E40" s="3" t="s">
        <v>198</v>
      </c>
      <c r="F40" s="3" t="s">
        <v>203</v>
      </c>
      <c r="G40" s="6" t="s">
        <v>204</v>
      </c>
      <c r="H40" s="6" t="s">
        <v>205</v>
      </c>
    </row>
    <row r="41" spans="1:8" ht="48" customHeight="1" x14ac:dyDescent="0.25">
      <c r="A41" s="5" t="s">
        <v>62</v>
      </c>
      <c r="B41" s="5" t="s">
        <v>206</v>
      </c>
      <c r="C41" s="5" t="s">
        <v>85</v>
      </c>
      <c r="D41" s="5" t="s">
        <v>50</v>
      </c>
      <c r="E41" s="5" t="s">
        <v>198</v>
      </c>
      <c r="F41" s="5" t="s">
        <v>207</v>
      </c>
      <c r="G41" s="8" t="s">
        <v>208</v>
      </c>
      <c r="H41" s="8" t="s">
        <v>209</v>
      </c>
    </row>
    <row r="42" spans="1:8" ht="48" customHeight="1" x14ac:dyDescent="0.25">
      <c r="A42" s="3" t="s">
        <v>8</v>
      </c>
      <c r="B42" s="3" t="s">
        <v>210</v>
      </c>
      <c r="C42" s="3" t="s">
        <v>211</v>
      </c>
      <c r="D42" s="3" t="s">
        <v>7</v>
      </c>
      <c r="E42" s="3" t="s">
        <v>212</v>
      </c>
      <c r="F42" s="3" t="s">
        <v>213</v>
      </c>
      <c r="G42" s="6" t="s">
        <v>214</v>
      </c>
      <c r="H42" s="6" t="s">
        <v>214</v>
      </c>
    </row>
    <row r="43" spans="1:8" ht="48" customHeight="1" x14ac:dyDescent="0.25">
      <c r="A43" s="2" t="s">
        <v>104</v>
      </c>
      <c r="B43" s="2" t="s">
        <v>215</v>
      </c>
      <c r="C43" s="2" t="s">
        <v>216</v>
      </c>
      <c r="D43" s="2" t="s">
        <v>11</v>
      </c>
      <c r="E43" s="2" t="s">
        <v>217</v>
      </c>
      <c r="F43" s="2" t="s">
        <v>218</v>
      </c>
      <c r="G43" s="9" t="s">
        <v>219</v>
      </c>
      <c r="H43" s="9" t="s">
        <v>220</v>
      </c>
    </row>
    <row r="44" spans="1:8" ht="48" customHeight="1" x14ac:dyDescent="0.25">
      <c r="A44" s="4" t="s">
        <v>34</v>
      </c>
      <c r="B44" s="4" t="s">
        <v>221</v>
      </c>
      <c r="C44" s="4" t="s">
        <v>222</v>
      </c>
      <c r="D44" s="4" t="s">
        <v>223</v>
      </c>
      <c r="E44" s="4" t="s">
        <v>217</v>
      </c>
      <c r="F44" s="4" t="s">
        <v>224</v>
      </c>
      <c r="G44" s="7" t="s">
        <v>225</v>
      </c>
      <c r="H44" s="7" t="s">
        <v>226</v>
      </c>
    </row>
    <row r="45" spans="1:8" ht="48" customHeight="1" x14ac:dyDescent="0.25">
      <c r="A45" s="3" t="s">
        <v>8</v>
      </c>
      <c r="B45" s="3" t="s">
        <v>227</v>
      </c>
      <c r="C45" s="3" t="s">
        <v>228</v>
      </c>
      <c r="D45" s="3" t="s">
        <v>7</v>
      </c>
      <c r="E45" s="3" t="s">
        <v>229</v>
      </c>
      <c r="F45" s="3" t="s">
        <v>230</v>
      </c>
      <c r="G45" s="6" t="s">
        <v>231</v>
      </c>
      <c r="H45" s="6" t="s">
        <v>24</v>
      </c>
    </row>
    <row r="46" spans="1:8" ht="48" customHeight="1" x14ac:dyDescent="0.25">
      <c r="A46" s="3" t="s">
        <v>8</v>
      </c>
      <c r="B46" s="3" t="s">
        <v>232</v>
      </c>
      <c r="C46" s="3" t="s">
        <v>233</v>
      </c>
      <c r="D46" s="3" t="s">
        <v>29</v>
      </c>
      <c r="E46" s="3" t="s">
        <v>234</v>
      </c>
      <c r="F46" s="3" t="s">
        <v>235</v>
      </c>
      <c r="G46" s="6" t="s">
        <v>236</v>
      </c>
      <c r="H46" s="6" t="s">
        <v>237</v>
      </c>
    </row>
    <row r="47" spans="1:8" ht="48" customHeight="1" x14ac:dyDescent="0.25">
      <c r="A47" s="3" t="s">
        <v>8</v>
      </c>
      <c r="B47" s="3" t="s">
        <v>238</v>
      </c>
      <c r="C47" s="3" t="s">
        <v>239</v>
      </c>
      <c r="D47" s="3" t="s">
        <v>29</v>
      </c>
      <c r="E47" s="3" t="s">
        <v>234</v>
      </c>
      <c r="F47" s="3" t="s">
        <v>240</v>
      </c>
      <c r="G47" s="6" t="s">
        <v>241</v>
      </c>
      <c r="H47" s="6" t="s">
        <v>242</v>
      </c>
    </row>
    <row r="48" spans="1:8" ht="48" customHeight="1" x14ac:dyDescent="0.25">
      <c r="A48" s="4" t="s">
        <v>34</v>
      </c>
      <c r="B48" s="4" t="s">
        <v>243</v>
      </c>
      <c r="C48" s="4" t="s">
        <v>244</v>
      </c>
      <c r="D48" s="4" t="s">
        <v>245</v>
      </c>
      <c r="E48" s="4" t="s">
        <v>234</v>
      </c>
      <c r="F48" s="4" t="s">
        <v>246</v>
      </c>
      <c r="G48" s="7" t="s">
        <v>247</v>
      </c>
      <c r="H48" s="7" t="s">
        <v>248</v>
      </c>
    </row>
    <row r="49" spans="1:8" ht="48" customHeight="1" x14ac:dyDescent="0.25">
      <c r="A49" s="2" t="s">
        <v>104</v>
      </c>
      <c r="B49" s="2" t="s">
        <v>249</v>
      </c>
      <c r="C49" s="2" t="s">
        <v>250</v>
      </c>
      <c r="D49" s="2" t="s">
        <v>113</v>
      </c>
      <c r="E49" s="2" t="s">
        <v>251</v>
      </c>
      <c r="F49" s="2" t="s">
        <v>252</v>
      </c>
      <c r="G49" s="9" t="s">
        <v>253</v>
      </c>
      <c r="H49" s="9" t="s">
        <v>254</v>
      </c>
    </row>
    <row r="50" spans="1:8" ht="48" customHeight="1" x14ac:dyDescent="0.25">
      <c r="A50" s="2" t="s">
        <v>104</v>
      </c>
      <c r="B50" s="2" t="s">
        <v>255</v>
      </c>
      <c r="C50" s="2" t="s">
        <v>256</v>
      </c>
      <c r="D50" s="2" t="s">
        <v>113</v>
      </c>
      <c r="E50" s="2" t="s">
        <v>251</v>
      </c>
      <c r="F50" s="2" t="s">
        <v>257</v>
      </c>
      <c r="G50" s="9" t="s">
        <v>258</v>
      </c>
      <c r="H50" s="9" t="s">
        <v>259</v>
      </c>
    </row>
    <row r="51" spans="1:8" ht="48" customHeight="1" x14ac:dyDescent="0.25">
      <c r="A51" s="3" t="s">
        <v>8</v>
      </c>
      <c r="B51" s="3" t="s">
        <v>260</v>
      </c>
      <c r="C51" s="3" t="s">
        <v>250</v>
      </c>
      <c r="D51" s="3" t="s">
        <v>29</v>
      </c>
      <c r="E51" s="3" t="s">
        <v>251</v>
      </c>
      <c r="F51" s="3" t="s">
        <v>261</v>
      </c>
      <c r="G51" s="6" t="s">
        <v>262</v>
      </c>
      <c r="H51" s="6" t="s">
        <v>263</v>
      </c>
    </row>
    <row r="52" spans="1:8" ht="48" customHeight="1" x14ac:dyDescent="0.25">
      <c r="A52" s="4" t="s">
        <v>34</v>
      </c>
      <c r="B52" s="4" t="s">
        <v>264</v>
      </c>
      <c r="C52" s="4" t="s">
        <v>265</v>
      </c>
      <c r="D52" s="4" t="s">
        <v>91</v>
      </c>
      <c r="E52" s="4" t="s">
        <v>266</v>
      </c>
      <c r="F52" s="4" t="s">
        <v>267</v>
      </c>
      <c r="G52" s="7" t="s">
        <v>268</v>
      </c>
      <c r="H52" s="7" t="s">
        <v>269</v>
      </c>
    </row>
    <row r="53" spans="1:8" ht="48" customHeight="1" x14ac:dyDescent="0.25">
      <c r="A53" s="5" t="s">
        <v>62</v>
      </c>
      <c r="B53" s="5" t="s">
        <v>270</v>
      </c>
      <c r="C53" s="5" t="s">
        <v>216</v>
      </c>
      <c r="D53" s="5" t="s">
        <v>223</v>
      </c>
      <c r="E53" s="5" t="s">
        <v>266</v>
      </c>
      <c r="F53" s="5" t="s">
        <v>271</v>
      </c>
      <c r="G53" s="8" t="s">
        <v>272</v>
      </c>
      <c r="H53" s="8" t="s">
        <v>273</v>
      </c>
    </row>
    <row r="54" spans="1:8" ht="48" customHeight="1" x14ac:dyDescent="0.25">
      <c r="A54" s="3" t="s">
        <v>8</v>
      </c>
      <c r="B54" s="3" t="s">
        <v>274</v>
      </c>
      <c r="C54" s="3" t="s">
        <v>239</v>
      </c>
      <c r="D54" s="3" t="s">
        <v>29</v>
      </c>
      <c r="E54" s="3" t="s">
        <v>275</v>
      </c>
      <c r="F54" s="3" t="s">
        <v>276</v>
      </c>
      <c r="G54" s="6" t="s">
        <v>277</v>
      </c>
      <c r="H54" s="6" t="s">
        <v>278</v>
      </c>
    </row>
    <row r="55" spans="1:8" ht="48" customHeight="1" x14ac:dyDescent="0.25">
      <c r="A55" s="5" t="s">
        <v>62</v>
      </c>
      <c r="B55" s="5" t="s">
        <v>279</v>
      </c>
      <c r="C55" s="5" t="s">
        <v>280</v>
      </c>
      <c r="D55" s="5" t="s">
        <v>50</v>
      </c>
      <c r="E55" s="5" t="s">
        <v>281</v>
      </c>
      <c r="F55" s="5" t="s">
        <v>282</v>
      </c>
      <c r="G55" s="8" t="s">
        <v>283</v>
      </c>
      <c r="H55" s="8" t="s">
        <v>284</v>
      </c>
    </row>
    <row r="56" spans="1:8" ht="48" customHeight="1" x14ac:dyDescent="0.25">
      <c r="A56" s="2" t="s">
        <v>104</v>
      </c>
      <c r="B56" s="2" t="s">
        <v>285</v>
      </c>
      <c r="C56" s="2" t="s">
        <v>112</v>
      </c>
      <c r="D56" s="2" t="s">
        <v>50</v>
      </c>
      <c r="E56" s="2" t="s">
        <v>286</v>
      </c>
      <c r="F56" s="2" t="s">
        <v>287</v>
      </c>
      <c r="G56" s="9" t="s">
        <v>288</v>
      </c>
      <c r="H56" s="9" t="s">
        <v>289</v>
      </c>
    </row>
    <row r="57" spans="1:8" ht="48" customHeight="1" x14ac:dyDescent="0.25">
      <c r="A57" s="2" t="s">
        <v>104</v>
      </c>
      <c r="B57" s="2" t="s">
        <v>290</v>
      </c>
      <c r="C57" s="2" t="s">
        <v>250</v>
      </c>
      <c r="D57" s="2" t="s">
        <v>50</v>
      </c>
      <c r="E57" s="2" t="s">
        <v>286</v>
      </c>
      <c r="F57" s="2" t="s">
        <v>291</v>
      </c>
      <c r="G57" s="9" t="s">
        <v>292</v>
      </c>
      <c r="H57" s="9" t="s">
        <v>293</v>
      </c>
    </row>
    <row r="58" spans="1:8" ht="48" customHeight="1" x14ac:dyDescent="0.25">
      <c r="A58" s="2" t="s">
        <v>104</v>
      </c>
      <c r="B58" s="2" t="s">
        <v>294</v>
      </c>
      <c r="C58" s="2" t="s">
        <v>112</v>
      </c>
      <c r="D58" s="2" t="s">
        <v>11</v>
      </c>
      <c r="E58" s="2" t="s">
        <v>286</v>
      </c>
      <c r="F58" s="2" t="s">
        <v>295</v>
      </c>
      <c r="G58" s="9" t="s">
        <v>296</v>
      </c>
      <c r="H58" s="9" t="s">
        <v>297</v>
      </c>
    </row>
    <row r="59" spans="1:8" ht="48" customHeight="1" x14ac:dyDescent="0.25">
      <c r="A59" s="3" t="s">
        <v>8</v>
      </c>
      <c r="B59" s="3" t="s">
        <v>298</v>
      </c>
      <c r="C59" s="3" t="s">
        <v>299</v>
      </c>
      <c r="D59" s="3" t="s">
        <v>7</v>
      </c>
      <c r="E59" s="3" t="s">
        <v>300</v>
      </c>
      <c r="F59" s="3" t="s">
        <v>301</v>
      </c>
      <c r="G59" s="6" t="s">
        <v>302</v>
      </c>
      <c r="H59" s="6" t="s">
        <v>302</v>
      </c>
    </row>
    <row r="60" spans="1:8" ht="48" customHeight="1" x14ac:dyDescent="0.25">
      <c r="A60" s="4" t="s">
        <v>34</v>
      </c>
      <c r="B60" s="4" t="s">
        <v>303</v>
      </c>
      <c r="C60" s="4" t="s">
        <v>112</v>
      </c>
      <c r="D60" s="4" t="s">
        <v>181</v>
      </c>
      <c r="E60" s="4" t="s">
        <v>304</v>
      </c>
      <c r="F60" s="4" t="s">
        <v>305</v>
      </c>
      <c r="G60" s="7" t="s">
        <v>306</v>
      </c>
      <c r="H60" s="7" t="s">
        <v>307</v>
      </c>
    </row>
    <row r="61" spans="1:8" ht="48" customHeight="1" x14ac:dyDescent="0.25">
      <c r="A61" s="5" t="s">
        <v>62</v>
      </c>
      <c r="B61" s="5" t="s">
        <v>308</v>
      </c>
      <c r="C61" s="5" t="s">
        <v>309</v>
      </c>
      <c r="D61" s="5" t="s">
        <v>181</v>
      </c>
      <c r="E61" s="5" t="s">
        <v>304</v>
      </c>
      <c r="F61" s="5" t="s">
        <v>310</v>
      </c>
      <c r="G61" s="8" t="s">
        <v>311</v>
      </c>
      <c r="H61" s="8" t="s">
        <v>312</v>
      </c>
    </row>
    <row r="62" spans="1:8" ht="48" customHeight="1" x14ac:dyDescent="0.25">
      <c r="A62" s="2" t="s">
        <v>104</v>
      </c>
      <c r="B62" s="2" t="s">
        <v>313</v>
      </c>
      <c r="C62" s="2" t="s">
        <v>112</v>
      </c>
      <c r="D62" s="2" t="s">
        <v>181</v>
      </c>
      <c r="E62" s="2" t="s">
        <v>314</v>
      </c>
      <c r="F62" s="2" t="s">
        <v>315</v>
      </c>
      <c r="G62" s="9" t="s">
        <v>316</v>
      </c>
      <c r="H62" s="9" t="s">
        <v>317</v>
      </c>
    </row>
    <row r="63" spans="1:8" ht="48" customHeight="1" x14ac:dyDescent="0.25">
      <c r="A63" s="3" t="s">
        <v>8</v>
      </c>
      <c r="B63" s="3" t="s">
        <v>318</v>
      </c>
      <c r="C63" s="3" t="s">
        <v>319</v>
      </c>
      <c r="D63" s="3" t="s">
        <v>29</v>
      </c>
      <c r="E63" s="3" t="s">
        <v>314</v>
      </c>
      <c r="F63" s="3" t="s">
        <v>320</v>
      </c>
      <c r="G63" s="6" t="s">
        <v>321</v>
      </c>
      <c r="H63" s="6" t="s">
        <v>322</v>
      </c>
    </row>
    <row r="64" spans="1:8" ht="48" customHeight="1" x14ac:dyDescent="0.25">
      <c r="A64" s="5" t="s">
        <v>62</v>
      </c>
      <c r="B64" s="5" t="s">
        <v>323</v>
      </c>
      <c r="C64" s="5" t="s">
        <v>324</v>
      </c>
      <c r="D64" s="5" t="s">
        <v>50</v>
      </c>
      <c r="E64" s="5" t="s">
        <v>325</v>
      </c>
      <c r="F64" s="5" t="s">
        <v>326</v>
      </c>
      <c r="G64" s="8" t="s">
        <v>327</v>
      </c>
      <c r="H64" s="8" t="s">
        <v>328</v>
      </c>
    </row>
    <row r="65" spans="1:8" ht="48" customHeight="1" x14ac:dyDescent="0.25">
      <c r="A65" s="2" t="s">
        <v>104</v>
      </c>
      <c r="B65" s="2" t="s">
        <v>329</v>
      </c>
      <c r="C65" s="2" t="s">
        <v>330</v>
      </c>
      <c r="D65" s="2" t="s">
        <v>11</v>
      </c>
      <c r="E65" s="2" t="s">
        <v>331</v>
      </c>
      <c r="F65" s="2" t="s">
        <v>332</v>
      </c>
      <c r="G65" s="9" t="s">
        <v>333</v>
      </c>
      <c r="H65" s="9" t="s">
        <v>334</v>
      </c>
    </row>
    <row r="66" spans="1:8" ht="48" customHeight="1" x14ac:dyDescent="0.25">
      <c r="A66" s="4" t="s">
        <v>34</v>
      </c>
      <c r="B66" s="4" t="s">
        <v>335</v>
      </c>
      <c r="C66" s="4" t="s">
        <v>112</v>
      </c>
      <c r="D66" s="4" t="s">
        <v>223</v>
      </c>
      <c r="E66" s="4" t="s">
        <v>336</v>
      </c>
      <c r="F66" s="4" t="s">
        <v>337</v>
      </c>
      <c r="G66" s="7" t="s">
        <v>338</v>
      </c>
      <c r="H66" s="7" t="s">
        <v>339</v>
      </c>
    </row>
    <row r="67" spans="1:8" ht="48" customHeight="1" x14ac:dyDescent="0.25">
      <c r="A67" s="2" t="s">
        <v>104</v>
      </c>
      <c r="B67" s="2" t="s">
        <v>340</v>
      </c>
      <c r="C67" s="2" t="s">
        <v>324</v>
      </c>
      <c r="D67" s="2" t="s">
        <v>50</v>
      </c>
      <c r="E67" s="2" t="s">
        <v>341</v>
      </c>
      <c r="F67" s="2" t="s">
        <v>342</v>
      </c>
      <c r="G67" s="9" t="s">
        <v>343</v>
      </c>
      <c r="H67" s="9" t="s">
        <v>344</v>
      </c>
    </row>
    <row r="68" spans="1:8" ht="48" customHeight="1" x14ac:dyDescent="0.25">
      <c r="A68" s="2" t="s">
        <v>104</v>
      </c>
      <c r="B68" s="2" t="s">
        <v>345</v>
      </c>
      <c r="C68" s="2" t="s">
        <v>346</v>
      </c>
      <c r="D68" s="2" t="s">
        <v>113</v>
      </c>
      <c r="E68" s="2" t="s">
        <v>347</v>
      </c>
      <c r="F68" s="2" t="s">
        <v>348</v>
      </c>
      <c r="G68" s="9" t="s">
        <v>349</v>
      </c>
      <c r="H68" s="9" t="s">
        <v>350</v>
      </c>
    </row>
    <row r="69" spans="1:8" ht="48" customHeight="1" x14ac:dyDescent="0.25">
      <c r="A69" s="5" t="s">
        <v>62</v>
      </c>
      <c r="B69" s="5" t="s">
        <v>351</v>
      </c>
      <c r="C69" s="5" t="s">
        <v>265</v>
      </c>
      <c r="D69" s="5" t="s">
        <v>113</v>
      </c>
      <c r="E69" s="5" t="s">
        <v>352</v>
      </c>
      <c r="F69" s="5" t="s">
        <v>353</v>
      </c>
      <c r="G69" s="8" t="s">
        <v>354</v>
      </c>
      <c r="H69" s="8" t="s">
        <v>355</v>
      </c>
    </row>
    <row r="70" spans="1:8" ht="48" customHeight="1" x14ac:dyDescent="0.25">
      <c r="A70" s="5" t="s">
        <v>62</v>
      </c>
      <c r="B70" s="5" t="s">
        <v>356</v>
      </c>
      <c r="C70" s="5" t="s">
        <v>85</v>
      </c>
      <c r="D70" s="5" t="s">
        <v>357</v>
      </c>
      <c r="E70" s="5" t="s">
        <v>358</v>
      </c>
      <c r="F70" s="5" t="s">
        <v>359</v>
      </c>
      <c r="G70" s="8" t="s">
        <v>360</v>
      </c>
      <c r="H70" s="8" t="s">
        <v>361</v>
      </c>
    </row>
    <row r="71" spans="1:8" ht="48" customHeight="1" x14ac:dyDescent="0.25">
      <c r="A71" s="3" t="s">
        <v>8</v>
      </c>
      <c r="B71" s="3" t="s">
        <v>362</v>
      </c>
      <c r="C71" s="3" t="s">
        <v>363</v>
      </c>
      <c r="D71" s="3" t="s">
        <v>50</v>
      </c>
      <c r="E71" s="3" t="s">
        <v>364</v>
      </c>
      <c r="F71" s="3" t="s">
        <v>365</v>
      </c>
      <c r="G71" s="6" t="s">
        <v>366</v>
      </c>
      <c r="H71" s="6" t="s">
        <v>367</v>
      </c>
    </row>
    <row r="72" spans="1:8" ht="48" customHeight="1" x14ac:dyDescent="0.25">
      <c r="A72" s="3" t="s">
        <v>8</v>
      </c>
      <c r="B72" s="3" t="s">
        <v>368</v>
      </c>
      <c r="C72" s="3" t="s">
        <v>228</v>
      </c>
      <c r="D72" s="3" t="s">
        <v>7</v>
      </c>
      <c r="E72" s="3" t="s">
        <v>364</v>
      </c>
      <c r="F72" s="3" t="s">
        <v>369</v>
      </c>
      <c r="G72" s="6" t="s">
        <v>370</v>
      </c>
      <c r="H72" s="6" t="s">
        <v>370</v>
      </c>
    </row>
    <row r="73" spans="1:8" ht="48" customHeight="1" x14ac:dyDescent="0.25">
      <c r="A73" s="4" t="s">
        <v>34</v>
      </c>
      <c r="B73" s="4" t="s">
        <v>371</v>
      </c>
      <c r="C73" s="4" t="s">
        <v>372</v>
      </c>
      <c r="D73" s="4" t="s">
        <v>50</v>
      </c>
      <c r="E73" s="4" t="s">
        <v>364</v>
      </c>
      <c r="F73" s="4" t="s">
        <v>373</v>
      </c>
      <c r="G73" s="7" t="s">
        <v>374</v>
      </c>
      <c r="H73" s="7" t="s">
        <v>375</v>
      </c>
    </row>
    <row r="74" spans="1:8" ht="48" customHeight="1" x14ac:dyDescent="0.25">
      <c r="A74" s="4" t="s">
        <v>34</v>
      </c>
      <c r="B74" s="4" t="s">
        <v>376</v>
      </c>
      <c r="C74" s="4" t="s">
        <v>377</v>
      </c>
      <c r="D74" s="4" t="s">
        <v>378</v>
      </c>
      <c r="E74" s="4" t="s">
        <v>379</v>
      </c>
      <c r="F74" s="4" t="s">
        <v>380</v>
      </c>
      <c r="G74" s="7" t="s">
        <v>381</v>
      </c>
      <c r="H74" s="7" t="s">
        <v>382</v>
      </c>
    </row>
    <row r="75" spans="1:8" ht="48" customHeight="1" x14ac:dyDescent="0.25">
      <c r="A75" s="5" t="s">
        <v>62</v>
      </c>
      <c r="B75" s="5" t="s">
        <v>383</v>
      </c>
      <c r="C75" s="5" t="s">
        <v>384</v>
      </c>
      <c r="D75" s="5" t="s">
        <v>181</v>
      </c>
      <c r="E75" s="5" t="s">
        <v>385</v>
      </c>
      <c r="F75" s="5" t="s">
        <v>386</v>
      </c>
      <c r="G75" s="8" t="s">
        <v>387</v>
      </c>
      <c r="H75" s="8" t="s">
        <v>388</v>
      </c>
    </row>
    <row r="76" spans="1:8" ht="48" customHeight="1" x14ac:dyDescent="0.25">
      <c r="A76" s="5" t="s">
        <v>62</v>
      </c>
      <c r="B76" s="5" t="s">
        <v>389</v>
      </c>
      <c r="C76" s="5" t="s">
        <v>390</v>
      </c>
      <c r="D76" s="5" t="s">
        <v>181</v>
      </c>
      <c r="E76" s="5" t="s">
        <v>385</v>
      </c>
      <c r="F76" s="5" t="s">
        <v>391</v>
      </c>
      <c r="G76" s="8" t="s">
        <v>392</v>
      </c>
      <c r="H76" s="8" t="s">
        <v>393</v>
      </c>
    </row>
    <row r="77" spans="1:8" ht="48" customHeight="1" x14ac:dyDescent="0.25">
      <c r="A77" s="4" t="s">
        <v>34</v>
      </c>
      <c r="B77" s="4" t="s">
        <v>394</v>
      </c>
      <c r="C77" s="4" t="s">
        <v>377</v>
      </c>
      <c r="D77" s="4" t="s">
        <v>50</v>
      </c>
      <c r="E77" s="4" t="s">
        <v>395</v>
      </c>
      <c r="F77" s="4" t="s">
        <v>396</v>
      </c>
      <c r="G77" s="7" t="s">
        <v>397</v>
      </c>
      <c r="H77" s="7" t="s">
        <v>398</v>
      </c>
    </row>
    <row r="78" spans="1:8" ht="48" customHeight="1" x14ac:dyDescent="0.25">
      <c r="A78" s="4" t="s">
        <v>34</v>
      </c>
      <c r="B78" s="4" t="s">
        <v>399</v>
      </c>
      <c r="C78" s="4" t="s">
        <v>265</v>
      </c>
      <c r="D78" s="4" t="s">
        <v>50</v>
      </c>
      <c r="E78" s="4" t="s">
        <v>395</v>
      </c>
      <c r="F78" s="4" t="s">
        <v>400</v>
      </c>
      <c r="G78" s="7" t="s">
        <v>401</v>
      </c>
      <c r="H78" s="7" t="s">
        <v>402</v>
      </c>
    </row>
    <row r="79" spans="1:8" ht="48" customHeight="1" x14ac:dyDescent="0.25">
      <c r="A79" s="2" t="s">
        <v>104</v>
      </c>
      <c r="B79" s="2" t="s">
        <v>403</v>
      </c>
      <c r="C79" s="2" t="s">
        <v>404</v>
      </c>
      <c r="D79" s="2" t="s">
        <v>29</v>
      </c>
      <c r="E79" s="2" t="s">
        <v>405</v>
      </c>
      <c r="F79" s="2" t="s">
        <v>406</v>
      </c>
      <c r="G79" s="9" t="s">
        <v>407</v>
      </c>
      <c r="H79" s="9" t="s">
        <v>408</v>
      </c>
    </row>
    <row r="80" spans="1:8" ht="48" customHeight="1" x14ac:dyDescent="0.25">
      <c r="A80" s="2" t="s">
        <v>104</v>
      </c>
      <c r="B80" s="2" t="s">
        <v>409</v>
      </c>
      <c r="C80" s="2" t="s">
        <v>78</v>
      </c>
      <c r="D80" s="2" t="s">
        <v>181</v>
      </c>
      <c r="E80" s="2" t="s">
        <v>405</v>
      </c>
      <c r="F80" s="2" t="s">
        <v>410</v>
      </c>
      <c r="G80" s="9" t="s">
        <v>411</v>
      </c>
      <c r="H80" s="9" t="s">
        <v>412</v>
      </c>
    </row>
    <row r="81" spans="1:8" ht="48" customHeight="1" x14ac:dyDescent="0.25">
      <c r="A81" s="2" t="s">
        <v>104</v>
      </c>
      <c r="B81" s="2" t="s">
        <v>413</v>
      </c>
      <c r="C81" s="2" t="s">
        <v>414</v>
      </c>
      <c r="D81" s="2" t="s">
        <v>50</v>
      </c>
      <c r="E81" s="2" t="s">
        <v>415</v>
      </c>
      <c r="F81" s="2" t="s">
        <v>416</v>
      </c>
      <c r="G81" s="9" t="s">
        <v>417</v>
      </c>
      <c r="H81" s="9" t="s">
        <v>418</v>
      </c>
    </row>
    <row r="82" spans="1:8" ht="48" customHeight="1" x14ac:dyDescent="0.25">
      <c r="A82" s="2" t="s">
        <v>104</v>
      </c>
      <c r="B82" s="2" t="s">
        <v>419</v>
      </c>
      <c r="C82" s="2" t="s">
        <v>420</v>
      </c>
      <c r="D82" s="2" t="s">
        <v>181</v>
      </c>
      <c r="E82" s="2" t="s">
        <v>421</v>
      </c>
      <c r="F82" s="2" t="s">
        <v>422</v>
      </c>
      <c r="G82" s="9" t="s">
        <v>423</v>
      </c>
      <c r="H82" s="9" t="s">
        <v>424</v>
      </c>
    </row>
    <row r="83" spans="1:8" ht="48" customHeight="1" x14ac:dyDescent="0.25">
      <c r="A83" s="2" t="s">
        <v>104</v>
      </c>
      <c r="B83" s="2" t="s">
        <v>425</v>
      </c>
      <c r="C83" s="2" t="s">
        <v>426</v>
      </c>
      <c r="D83" s="2" t="s">
        <v>181</v>
      </c>
      <c r="E83" s="2" t="s">
        <v>421</v>
      </c>
      <c r="F83" s="2" t="s">
        <v>427</v>
      </c>
      <c r="G83" s="9" t="s">
        <v>428</v>
      </c>
      <c r="H83" s="9" t="s">
        <v>429</v>
      </c>
    </row>
    <row r="84" spans="1:8" ht="48" customHeight="1" x14ac:dyDescent="0.25">
      <c r="A84" s="2" t="s">
        <v>104</v>
      </c>
      <c r="B84" s="2" t="s">
        <v>430</v>
      </c>
      <c r="C84" s="2" t="s">
        <v>163</v>
      </c>
      <c r="D84" s="2" t="s">
        <v>79</v>
      </c>
      <c r="E84" s="2" t="s">
        <v>431</v>
      </c>
      <c r="F84" s="2" t="s">
        <v>432</v>
      </c>
      <c r="G84" s="9" t="s">
        <v>433</v>
      </c>
      <c r="H84" s="9" t="s">
        <v>434</v>
      </c>
    </row>
  </sheetData>
  <autoFilter ref="A1:H84" xr:uid="{00000000-0009-0000-0000-000000000000}"/>
  <phoneticPr fontId="4" type="noConversion"/>
  <hyperlinks>
    <hyperlink ref="G2" r:id="rId1" xr:uid="{00000000-0004-0000-0000-000000000000}"/>
    <hyperlink ref="H2" r:id="rId2" xr:uid="{00000000-0004-0000-0000-000001000000}"/>
    <hyperlink ref="G3" r:id="rId3" xr:uid="{00000000-0004-0000-0000-000002000000}"/>
    <hyperlink ref="H3" r:id="rId4" xr:uid="{00000000-0004-0000-0000-000003000000}"/>
    <hyperlink ref="G4" r:id="rId5" xr:uid="{00000000-0004-0000-0000-000004000000}"/>
    <hyperlink ref="H4" r:id="rId6" xr:uid="{00000000-0004-0000-0000-000005000000}"/>
    <hyperlink ref="G5" r:id="rId7" xr:uid="{00000000-0004-0000-0000-000006000000}"/>
    <hyperlink ref="H5" r:id="rId8" xr:uid="{00000000-0004-0000-0000-000007000000}"/>
    <hyperlink ref="G6" r:id="rId9" xr:uid="{00000000-0004-0000-0000-000008000000}"/>
    <hyperlink ref="H6" r:id="rId10" xr:uid="{00000000-0004-0000-0000-000009000000}"/>
    <hyperlink ref="G7" r:id="rId11" xr:uid="{00000000-0004-0000-0000-00000A000000}"/>
    <hyperlink ref="H7" r:id="rId12" xr:uid="{00000000-0004-0000-0000-00000B000000}"/>
    <hyperlink ref="G8" r:id="rId13" xr:uid="{00000000-0004-0000-0000-00000C000000}"/>
    <hyperlink ref="H8" r:id="rId14" xr:uid="{00000000-0004-0000-0000-00000D000000}"/>
    <hyperlink ref="G9" r:id="rId15" xr:uid="{00000000-0004-0000-0000-00000E000000}"/>
    <hyperlink ref="H9" r:id="rId16" xr:uid="{00000000-0004-0000-0000-00000F000000}"/>
    <hyperlink ref="G10" r:id="rId17" xr:uid="{00000000-0004-0000-0000-000010000000}"/>
    <hyperlink ref="H10" r:id="rId18" xr:uid="{00000000-0004-0000-0000-000011000000}"/>
    <hyperlink ref="G11" r:id="rId19" xr:uid="{00000000-0004-0000-0000-000012000000}"/>
    <hyperlink ref="H11" r:id="rId20" xr:uid="{00000000-0004-0000-0000-000013000000}"/>
    <hyperlink ref="G12" r:id="rId21" xr:uid="{00000000-0004-0000-0000-000014000000}"/>
    <hyperlink ref="H12" r:id="rId22" xr:uid="{00000000-0004-0000-0000-000015000000}"/>
    <hyperlink ref="G13" r:id="rId23" xr:uid="{00000000-0004-0000-0000-000016000000}"/>
    <hyperlink ref="H13" r:id="rId24" xr:uid="{00000000-0004-0000-0000-000017000000}"/>
    <hyperlink ref="G14" r:id="rId25" xr:uid="{00000000-0004-0000-0000-000018000000}"/>
    <hyperlink ref="H14" r:id="rId26" xr:uid="{00000000-0004-0000-0000-000019000000}"/>
    <hyperlink ref="G15" r:id="rId27" xr:uid="{00000000-0004-0000-0000-00001A000000}"/>
    <hyperlink ref="H15" r:id="rId28" xr:uid="{00000000-0004-0000-0000-00001B000000}"/>
    <hyperlink ref="G16" r:id="rId29" xr:uid="{00000000-0004-0000-0000-00001C000000}"/>
    <hyperlink ref="H16" r:id="rId30" xr:uid="{00000000-0004-0000-0000-00001D000000}"/>
    <hyperlink ref="G17" r:id="rId31" xr:uid="{00000000-0004-0000-0000-00001E000000}"/>
    <hyperlink ref="H17" r:id="rId32" xr:uid="{00000000-0004-0000-0000-00001F000000}"/>
    <hyperlink ref="G18" r:id="rId33" xr:uid="{00000000-0004-0000-0000-000020000000}"/>
    <hyperlink ref="H18" r:id="rId34" xr:uid="{00000000-0004-0000-0000-000021000000}"/>
    <hyperlink ref="G19" r:id="rId35" xr:uid="{00000000-0004-0000-0000-000022000000}"/>
    <hyperlink ref="H19" r:id="rId36" xr:uid="{00000000-0004-0000-0000-000023000000}"/>
    <hyperlink ref="G20" r:id="rId37" xr:uid="{00000000-0004-0000-0000-000024000000}"/>
    <hyperlink ref="H20" r:id="rId38" xr:uid="{00000000-0004-0000-0000-000025000000}"/>
    <hyperlink ref="G21" r:id="rId39" xr:uid="{00000000-0004-0000-0000-000026000000}"/>
    <hyperlink ref="H21" r:id="rId40" xr:uid="{00000000-0004-0000-0000-000027000000}"/>
    <hyperlink ref="G22" r:id="rId41" xr:uid="{00000000-0004-0000-0000-000028000000}"/>
    <hyperlink ref="H22" r:id="rId42" xr:uid="{00000000-0004-0000-0000-000029000000}"/>
    <hyperlink ref="G23" r:id="rId43" xr:uid="{00000000-0004-0000-0000-00002A000000}"/>
    <hyperlink ref="H23" r:id="rId44" xr:uid="{00000000-0004-0000-0000-00002B000000}"/>
    <hyperlink ref="G24" r:id="rId45" xr:uid="{00000000-0004-0000-0000-00002C000000}"/>
    <hyperlink ref="H24" r:id="rId46" xr:uid="{00000000-0004-0000-0000-00002D000000}"/>
    <hyperlink ref="G25" r:id="rId47" xr:uid="{00000000-0004-0000-0000-00002E000000}"/>
    <hyperlink ref="H25" r:id="rId48" xr:uid="{00000000-0004-0000-0000-00002F000000}"/>
    <hyperlink ref="G26" r:id="rId49" xr:uid="{00000000-0004-0000-0000-000030000000}"/>
    <hyperlink ref="H26" r:id="rId50" xr:uid="{00000000-0004-0000-0000-000031000000}"/>
    <hyperlink ref="G27" r:id="rId51" xr:uid="{00000000-0004-0000-0000-000032000000}"/>
    <hyperlink ref="H27" r:id="rId52" xr:uid="{00000000-0004-0000-0000-000033000000}"/>
    <hyperlink ref="G28" r:id="rId53" xr:uid="{00000000-0004-0000-0000-000034000000}"/>
    <hyperlink ref="H28" r:id="rId54" xr:uid="{00000000-0004-0000-0000-000035000000}"/>
    <hyperlink ref="G29" r:id="rId55" xr:uid="{00000000-0004-0000-0000-000036000000}"/>
    <hyperlink ref="H29" r:id="rId56" xr:uid="{00000000-0004-0000-0000-000037000000}"/>
    <hyperlink ref="G30" r:id="rId57" xr:uid="{00000000-0004-0000-0000-000038000000}"/>
    <hyperlink ref="H30" r:id="rId58" xr:uid="{00000000-0004-0000-0000-000039000000}"/>
    <hyperlink ref="G31" r:id="rId59" xr:uid="{00000000-0004-0000-0000-00003A000000}"/>
    <hyperlink ref="H31" r:id="rId60" xr:uid="{00000000-0004-0000-0000-00003B000000}"/>
    <hyperlink ref="G32" r:id="rId61" xr:uid="{00000000-0004-0000-0000-00003C000000}"/>
    <hyperlink ref="H32" r:id="rId62" xr:uid="{00000000-0004-0000-0000-00003D000000}"/>
    <hyperlink ref="G33" r:id="rId63" xr:uid="{00000000-0004-0000-0000-00003E000000}"/>
    <hyperlink ref="H33" r:id="rId64" xr:uid="{00000000-0004-0000-0000-00003F000000}"/>
    <hyperlink ref="G34" r:id="rId65" xr:uid="{00000000-0004-0000-0000-000040000000}"/>
    <hyperlink ref="H34" r:id="rId66" xr:uid="{00000000-0004-0000-0000-000041000000}"/>
    <hyperlink ref="G35" r:id="rId67" xr:uid="{00000000-0004-0000-0000-000042000000}"/>
    <hyperlink ref="H35" r:id="rId68" xr:uid="{00000000-0004-0000-0000-000043000000}"/>
    <hyperlink ref="G36" r:id="rId69" xr:uid="{00000000-0004-0000-0000-000044000000}"/>
    <hyperlink ref="H36" r:id="rId70" xr:uid="{00000000-0004-0000-0000-000045000000}"/>
    <hyperlink ref="G37" r:id="rId71" xr:uid="{00000000-0004-0000-0000-000046000000}"/>
    <hyperlink ref="H37" r:id="rId72" xr:uid="{00000000-0004-0000-0000-000047000000}"/>
    <hyperlink ref="G38" r:id="rId73" xr:uid="{00000000-0004-0000-0000-000048000000}"/>
    <hyperlink ref="H38" r:id="rId74" xr:uid="{00000000-0004-0000-0000-000049000000}"/>
    <hyperlink ref="G39" r:id="rId75" xr:uid="{00000000-0004-0000-0000-00004A000000}"/>
    <hyperlink ref="H39" r:id="rId76" xr:uid="{00000000-0004-0000-0000-00004B000000}"/>
    <hyperlink ref="G40" r:id="rId77" xr:uid="{00000000-0004-0000-0000-00004C000000}"/>
    <hyperlink ref="H40" r:id="rId78" xr:uid="{00000000-0004-0000-0000-00004D000000}"/>
    <hyperlink ref="G41" r:id="rId79" xr:uid="{00000000-0004-0000-0000-00004E000000}"/>
    <hyperlink ref="H41" r:id="rId80" xr:uid="{00000000-0004-0000-0000-00004F000000}"/>
    <hyperlink ref="G42" r:id="rId81" xr:uid="{00000000-0004-0000-0000-000050000000}"/>
    <hyperlink ref="H42" r:id="rId82" xr:uid="{00000000-0004-0000-0000-000051000000}"/>
    <hyperlink ref="G43" r:id="rId83" xr:uid="{00000000-0004-0000-0000-000052000000}"/>
    <hyperlink ref="H43" r:id="rId84" xr:uid="{00000000-0004-0000-0000-000053000000}"/>
    <hyperlink ref="G44" r:id="rId85" xr:uid="{00000000-0004-0000-0000-000054000000}"/>
    <hyperlink ref="H44" r:id="rId86" xr:uid="{00000000-0004-0000-0000-000055000000}"/>
    <hyperlink ref="G45" r:id="rId87" xr:uid="{00000000-0004-0000-0000-000056000000}"/>
    <hyperlink ref="H45" r:id="rId88" xr:uid="{00000000-0004-0000-0000-000057000000}"/>
    <hyperlink ref="G46" r:id="rId89" xr:uid="{00000000-0004-0000-0000-000058000000}"/>
    <hyperlink ref="H46" r:id="rId90" xr:uid="{00000000-0004-0000-0000-000059000000}"/>
    <hyperlink ref="G47" r:id="rId91" xr:uid="{00000000-0004-0000-0000-00005A000000}"/>
    <hyperlink ref="H47" r:id="rId92" xr:uid="{00000000-0004-0000-0000-00005B000000}"/>
    <hyperlink ref="G48" r:id="rId93" xr:uid="{00000000-0004-0000-0000-00005C000000}"/>
    <hyperlink ref="H48" r:id="rId94" xr:uid="{00000000-0004-0000-0000-00005D000000}"/>
    <hyperlink ref="G49" r:id="rId95" xr:uid="{00000000-0004-0000-0000-00005E000000}"/>
    <hyperlink ref="H49" r:id="rId96" xr:uid="{00000000-0004-0000-0000-00005F000000}"/>
    <hyperlink ref="G50" r:id="rId97" xr:uid="{00000000-0004-0000-0000-000060000000}"/>
    <hyperlink ref="H50" r:id="rId98" xr:uid="{00000000-0004-0000-0000-000061000000}"/>
    <hyperlink ref="G51" r:id="rId99" xr:uid="{00000000-0004-0000-0000-000062000000}"/>
    <hyperlink ref="H51" r:id="rId100" xr:uid="{00000000-0004-0000-0000-000063000000}"/>
    <hyperlink ref="G52" r:id="rId101" xr:uid="{00000000-0004-0000-0000-000064000000}"/>
    <hyperlink ref="H52" r:id="rId102" xr:uid="{00000000-0004-0000-0000-000065000000}"/>
    <hyperlink ref="G53" r:id="rId103" xr:uid="{00000000-0004-0000-0000-000066000000}"/>
    <hyperlink ref="H53" r:id="rId104" xr:uid="{00000000-0004-0000-0000-000067000000}"/>
    <hyperlink ref="G54" r:id="rId105" xr:uid="{00000000-0004-0000-0000-000068000000}"/>
    <hyperlink ref="H54" r:id="rId106" xr:uid="{00000000-0004-0000-0000-000069000000}"/>
    <hyperlink ref="G55" r:id="rId107" xr:uid="{00000000-0004-0000-0000-00006A000000}"/>
    <hyperlink ref="H55" r:id="rId108" xr:uid="{00000000-0004-0000-0000-00006B000000}"/>
    <hyperlink ref="G56" r:id="rId109" xr:uid="{00000000-0004-0000-0000-00006C000000}"/>
    <hyperlink ref="H56" r:id="rId110" xr:uid="{00000000-0004-0000-0000-00006D000000}"/>
    <hyperlink ref="G57" r:id="rId111" xr:uid="{00000000-0004-0000-0000-00006E000000}"/>
    <hyperlink ref="H57" r:id="rId112" xr:uid="{00000000-0004-0000-0000-00006F000000}"/>
    <hyperlink ref="G58" r:id="rId113" xr:uid="{00000000-0004-0000-0000-000070000000}"/>
    <hyperlink ref="H58" r:id="rId114" xr:uid="{00000000-0004-0000-0000-000071000000}"/>
    <hyperlink ref="G59" r:id="rId115" xr:uid="{00000000-0004-0000-0000-000072000000}"/>
    <hyperlink ref="H59" r:id="rId116" xr:uid="{00000000-0004-0000-0000-000073000000}"/>
    <hyperlink ref="G60" r:id="rId117" xr:uid="{00000000-0004-0000-0000-000074000000}"/>
    <hyperlink ref="H60" r:id="rId118" xr:uid="{00000000-0004-0000-0000-000075000000}"/>
    <hyperlink ref="G61" r:id="rId119" xr:uid="{00000000-0004-0000-0000-000076000000}"/>
    <hyperlink ref="H61" r:id="rId120" xr:uid="{00000000-0004-0000-0000-000077000000}"/>
    <hyperlink ref="G62" r:id="rId121" xr:uid="{00000000-0004-0000-0000-000078000000}"/>
    <hyperlink ref="H62" r:id="rId122" xr:uid="{00000000-0004-0000-0000-000079000000}"/>
    <hyperlink ref="G63" r:id="rId123" xr:uid="{00000000-0004-0000-0000-00007A000000}"/>
    <hyperlink ref="H63" r:id="rId124" xr:uid="{00000000-0004-0000-0000-00007B000000}"/>
    <hyperlink ref="G64" r:id="rId125" xr:uid="{00000000-0004-0000-0000-00007C000000}"/>
    <hyperlink ref="H64" r:id="rId126" xr:uid="{00000000-0004-0000-0000-00007D000000}"/>
    <hyperlink ref="G65" r:id="rId127" xr:uid="{00000000-0004-0000-0000-00007E000000}"/>
    <hyperlink ref="H65" r:id="rId128" xr:uid="{00000000-0004-0000-0000-00007F000000}"/>
    <hyperlink ref="G66" r:id="rId129" xr:uid="{00000000-0004-0000-0000-000080000000}"/>
    <hyperlink ref="H66" r:id="rId130" xr:uid="{00000000-0004-0000-0000-000081000000}"/>
    <hyperlink ref="G67" r:id="rId131" xr:uid="{00000000-0004-0000-0000-000082000000}"/>
    <hyperlink ref="H67" r:id="rId132" xr:uid="{00000000-0004-0000-0000-000083000000}"/>
    <hyperlink ref="G68" r:id="rId133" xr:uid="{00000000-0004-0000-0000-000084000000}"/>
    <hyperlink ref="H68" r:id="rId134" xr:uid="{00000000-0004-0000-0000-000085000000}"/>
    <hyperlink ref="G69" r:id="rId135" xr:uid="{00000000-0004-0000-0000-000086000000}"/>
    <hyperlink ref="H69" r:id="rId136" xr:uid="{00000000-0004-0000-0000-000087000000}"/>
    <hyperlink ref="G70" r:id="rId137" xr:uid="{00000000-0004-0000-0000-000088000000}"/>
    <hyperlink ref="H70" r:id="rId138" xr:uid="{00000000-0004-0000-0000-000089000000}"/>
    <hyperlink ref="G71" r:id="rId139" xr:uid="{00000000-0004-0000-0000-00008A000000}"/>
    <hyperlink ref="H71" r:id="rId140" xr:uid="{00000000-0004-0000-0000-00008B000000}"/>
    <hyperlink ref="G72" r:id="rId141" xr:uid="{00000000-0004-0000-0000-00008C000000}"/>
    <hyperlink ref="H72" r:id="rId142" xr:uid="{00000000-0004-0000-0000-00008D000000}"/>
    <hyperlink ref="G73" r:id="rId143" xr:uid="{00000000-0004-0000-0000-00008E000000}"/>
    <hyperlink ref="H73" r:id="rId144" xr:uid="{00000000-0004-0000-0000-00008F000000}"/>
    <hyperlink ref="G74" r:id="rId145" xr:uid="{00000000-0004-0000-0000-000090000000}"/>
    <hyperlink ref="H74" r:id="rId146" xr:uid="{00000000-0004-0000-0000-000091000000}"/>
    <hyperlink ref="G75" r:id="rId147" xr:uid="{00000000-0004-0000-0000-000092000000}"/>
    <hyperlink ref="H75" r:id="rId148" xr:uid="{00000000-0004-0000-0000-000093000000}"/>
    <hyperlink ref="G76" r:id="rId149" xr:uid="{00000000-0004-0000-0000-000094000000}"/>
    <hyperlink ref="H76" r:id="rId150" xr:uid="{00000000-0004-0000-0000-000095000000}"/>
    <hyperlink ref="G77" r:id="rId151" xr:uid="{00000000-0004-0000-0000-000096000000}"/>
    <hyperlink ref="H77" r:id="rId152" xr:uid="{00000000-0004-0000-0000-000097000000}"/>
    <hyperlink ref="G78" r:id="rId153" xr:uid="{00000000-0004-0000-0000-000098000000}"/>
    <hyperlink ref="H78" r:id="rId154" xr:uid="{00000000-0004-0000-0000-000099000000}"/>
    <hyperlink ref="G79" r:id="rId155" xr:uid="{00000000-0004-0000-0000-00009A000000}"/>
    <hyperlink ref="H79" r:id="rId156" xr:uid="{00000000-0004-0000-0000-00009B000000}"/>
    <hyperlink ref="G80" r:id="rId157" xr:uid="{00000000-0004-0000-0000-00009C000000}"/>
    <hyperlink ref="H80" r:id="rId158" xr:uid="{00000000-0004-0000-0000-00009D000000}"/>
    <hyperlink ref="G81" r:id="rId159" xr:uid="{00000000-0004-0000-0000-00009E000000}"/>
    <hyperlink ref="H81" r:id="rId160" xr:uid="{00000000-0004-0000-0000-00009F000000}"/>
    <hyperlink ref="G82" r:id="rId161" xr:uid="{00000000-0004-0000-0000-0000A0000000}"/>
    <hyperlink ref="H82" r:id="rId162" xr:uid="{00000000-0004-0000-0000-0000A1000000}"/>
    <hyperlink ref="G83" r:id="rId163" xr:uid="{00000000-0004-0000-0000-0000A2000000}"/>
    <hyperlink ref="H83" r:id="rId164" xr:uid="{00000000-0004-0000-0000-0000A3000000}"/>
    <hyperlink ref="G84" r:id="rId165" xr:uid="{00000000-0004-0000-0000-0000A4000000}"/>
    <hyperlink ref="H84" r:id="rId166" xr:uid="{00000000-0004-0000-0000-0000A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defaultRowHeight="15.75" x14ac:dyDescent="0.25"/>
  <cols>
    <col min="1" max="2" width="28" customWidth="1"/>
    <col min="3" max="4" width="40" customWidth="1"/>
    <col min="5" max="5" width="70" customWidth="1"/>
  </cols>
  <sheetData>
    <row r="1" spans="1:5" ht="36" customHeight="1" x14ac:dyDescent="0.25">
      <c r="A1" s="1" t="s">
        <v>435</v>
      </c>
      <c r="B1" s="1" t="s">
        <v>436</v>
      </c>
      <c r="C1" s="1" t="s">
        <v>437</v>
      </c>
      <c r="D1" s="1" t="s">
        <v>438</v>
      </c>
      <c r="E1" s="1" t="s">
        <v>439</v>
      </c>
    </row>
    <row r="2" spans="1:5" ht="32.1" customHeight="1" x14ac:dyDescent="0.25">
      <c r="A2" s="2" t="s">
        <v>104</v>
      </c>
      <c r="B2" s="9" t="str">
        <f>HYPERLINK("#'COCO test-dev'!A1","COCO test-dev")</f>
        <v>COCO test-dev</v>
      </c>
      <c r="C2" s="2" t="s">
        <v>440</v>
      </c>
      <c r="D2" s="2" t="s">
        <v>441</v>
      </c>
      <c r="E2" s="2" t="s">
        <v>442</v>
      </c>
    </row>
    <row r="3" spans="1:5" ht="32.1" customHeight="1" x14ac:dyDescent="0.25">
      <c r="A3" s="2" t="s">
        <v>104</v>
      </c>
      <c r="B3" s="9" t="str">
        <f>HYPERLINK("#'COCO minival'!A1","COCO minival")</f>
        <v>COCO minival</v>
      </c>
      <c r="C3" s="2" t="s">
        <v>443</v>
      </c>
      <c r="D3" s="2"/>
      <c r="E3" s="2" t="s">
        <v>444</v>
      </c>
    </row>
    <row r="4" spans="1:5" ht="32.1" customHeight="1" x14ac:dyDescent="0.25">
      <c r="A4" s="2" t="s">
        <v>104</v>
      </c>
      <c r="B4" s="9" t="str">
        <f>HYPERLINK("#'COCO 2017 val'!A1","COCO 2017 val")</f>
        <v>COCO 2017 val</v>
      </c>
      <c r="C4" s="2" t="s">
        <v>443</v>
      </c>
      <c r="D4" s="2"/>
      <c r="E4" s="2" t="s">
        <v>445</v>
      </c>
    </row>
    <row r="5" spans="1:5" ht="32.1" customHeight="1" x14ac:dyDescent="0.25">
      <c r="A5" s="2" t="s">
        <v>104</v>
      </c>
      <c r="B5" s="9" t="str">
        <f>HYPERLINK("#'COCO 2017'!A1","COCO 2017")</f>
        <v>COCO 2017</v>
      </c>
      <c r="C5" s="2" t="s">
        <v>443</v>
      </c>
      <c r="D5" s="2"/>
      <c r="E5" s="2" t="s">
        <v>446</v>
      </c>
    </row>
    <row r="6" spans="1:5" ht="32.1" customHeight="1" x14ac:dyDescent="0.25">
      <c r="A6" s="2" t="s">
        <v>104</v>
      </c>
      <c r="B6" s="9" t="str">
        <f>HYPERLINK("#'COCO-O'!A1","COCO-O")</f>
        <v>COCO-O</v>
      </c>
      <c r="C6" s="2" t="s">
        <v>447</v>
      </c>
      <c r="D6" s="2"/>
      <c r="E6" s="2" t="s">
        <v>448</v>
      </c>
    </row>
    <row r="7" spans="1:5" ht="32.1" customHeight="1" x14ac:dyDescent="0.25">
      <c r="A7" s="2" t="s">
        <v>104</v>
      </c>
      <c r="B7" s="9" t="str">
        <f>HYPERLINK("#'PASCAL VOC 2007'!A1","PASCAL VOC 2007")</f>
        <v>PASCAL VOC 2007</v>
      </c>
      <c r="C7" s="2" t="s">
        <v>449</v>
      </c>
      <c r="D7" s="2"/>
      <c r="E7" s="2" t="s">
        <v>450</v>
      </c>
    </row>
    <row r="8" spans="1:5" ht="32.1" customHeight="1" x14ac:dyDescent="0.25">
      <c r="A8" s="2" t="s">
        <v>104</v>
      </c>
      <c r="B8" s="9" t="str">
        <f>HYPERLINK("#'CrowdHuman'!A1","CrowdHuman")</f>
        <v>CrowdHuman</v>
      </c>
      <c r="C8" s="2" t="s">
        <v>451</v>
      </c>
      <c r="D8" s="2" t="s">
        <v>452</v>
      </c>
      <c r="E8" s="2" t="s">
        <v>453</v>
      </c>
    </row>
    <row r="9" spans="1:5" ht="32.1" customHeight="1" x14ac:dyDescent="0.25">
      <c r="A9" s="2" t="s">
        <v>104</v>
      </c>
      <c r="B9" s="9" t="str">
        <f>HYPERLINK("#'GraZPEDWRI-DX'!A1","GraZPEDWRI-DX")</f>
        <v>GraZPEDWRI-DX</v>
      </c>
      <c r="C9" s="2" t="s">
        <v>454</v>
      </c>
      <c r="D9" s="2"/>
      <c r="E9" s="2" t="s">
        <v>455</v>
      </c>
    </row>
    <row r="10" spans="1:5" ht="32.1" customHeight="1" x14ac:dyDescent="0.25">
      <c r="A10" s="2" t="s">
        <v>104</v>
      </c>
      <c r="B10" s="9" t="str">
        <f>HYPERLINK("#'CPPE-5'!A1","CPPE-5")</f>
        <v>CPPE-5</v>
      </c>
      <c r="C10" s="2" t="s">
        <v>454</v>
      </c>
      <c r="D10" s="2"/>
      <c r="E10" s="2" t="s">
        <v>456</v>
      </c>
    </row>
    <row r="11" spans="1:5" ht="32.1" customHeight="1" x14ac:dyDescent="0.25">
      <c r="A11" s="2" t="s">
        <v>104</v>
      </c>
      <c r="B11" s="9" t="str">
        <f>HYPERLINK("#'Waymo 2D'!A1","Waymo 2D")</f>
        <v>Waymo 2D</v>
      </c>
      <c r="C11" s="2" t="s">
        <v>457</v>
      </c>
      <c r="D11" s="2"/>
      <c r="E11" s="2" t="s">
        <v>458</v>
      </c>
    </row>
    <row r="12" spans="1:5" ht="32.1" customHeight="1" x14ac:dyDescent="0.25">
      <c r="A12" s="3" t="s">
        <v>8</v>
      </c>
      <c r="B12" s="6" t="str">
        <f>HYPERLINK("#'Argoverse-HD FS Val'!A1","Argoverse-HD FS Val")</f>
        <v>Argoverse-HD FS Val</v>
      </c>
      <c r="C12" s="3" t="s">
        <v>459</v>
      </c>
      <c r="D12" s="3" t="s">
        <v>460</v>
      </c>
      <c r="E12" s="3" t="s">
        <v>461</v>
      </c>
    </row>
    <row r="13" spans="1:5" ht="32.1" customHeight="1" x14ac:dyDescent="0.25">
      <c r="A13" s="3" t="s">
        <v>8</v>
      </c>
      <c r="B13" s="6" t="str">
        <f>HYPERLINK("#'Argoverse-HD DO Val'!A1","Argoverse-HD DO Val")</f>
        <v>Argoverse-HD DO Val</v>
      </c>
      <c r="C13" s="3" t="s">
        <v>459</v>
      </c>
      <c r="D13" s="3" t="s">
        <v>460</v>
      </c>
      <c r="E13" s="3" t="s">
        <v>462</v>
      </c>
    </row>
    <row r="14" spans="1:5" ht="32.1" customHeight="1" x14ac:dyDescent="0.25">
      <c r="A14" s="3" t="s">
        <v>8</v>
      </c>
      <c r="B14" s="6" t="str">
        <f>HYPERLINK("#'Argoverse-HD DO Test'!A1","Argoverse-HD DO Test")</f>
        <v>Argoverse-HD DO Test</v>
      </c>
      <c r="C14" s="3" t="s">
        <v>459</v>
      </c>
      <c r="D14" s="3" t="s">
        <v>460</v>
      </c>
      <c r="E14" s="3" t="s">
        <v>463</v>
      </c>
    </row>
    <row r="15" spans="1:5" ht="32.1" customHeight="1" x14ac:dyDescent="0.25">
      <c r="A15" s="3" t="s">
        <v>8</v>
      </c>
      <c r="B15" s="6" t="str">
        <f>HYPERLINK("#'Argoverse-HD FS Test'!A1","Argoverse-HD FS Test")</f>
        <v>Argoverse-HD FS Test</v>
      </c>
      <c r="C15" s="3" t="s">
        <v>459</v>
      </c>
      <c r="D15" s="3" t="s">
        <v>460</v>
      </c>
      <c r="E15" s="3" t="s">
        <v>464</v>
      </c>
    </row>
    <row r="16" spans="1:5" ht="32.1" customHeight="1" x14ac:dyDescent="0.25">
      <c r="A16" s="4" t="s">
        <v>34</v>
      </c>
      <c r="B16" s="7" t="str">
        <f>HYPERLINK("#'DUTS-TE'!A1","DUTS-TE")</f>
        <v>DUTS-TE</v>
      </c>
      <c r="C16" s="4" t="s">
        <v>465</v>
      </c>
      <c r="D16" s="4"/>
      <c r="E16" s="4" t="s">
        <v>466</v>
      </c>
    </row>
    <row r="17" spans="1:5" ht="32.1" customHeight="1" x14ac:dyDescent="0.25">
      <c r="A17" s="4" t="s">
        <v>34</v>
      </c>
      <c r="B17" s="7" t="str">
        <f>HYPERLINK("#'DUT-OMRON'!A1","DUT-OMRON")</f>
        <v>DUT-OMRON</v>
      </c>
      <c r="C17" s="4" t="s">
        <v>467</v>
      </c>
      <c r="D17" s="4"/>
      <c r="E17" s="4" t="s">
        <v>468</v>
      </c>
    </row>
    <row r="18" spans="1:5" ht="32.1" customHeight="1" x14ac:dyDescent="0.25">
      <c r="A18" s="4" t="s">
        <v>34</v>
      </c>
      <c r="B18" s="7" t="str">
        <f>HYPERLINK("#'ECSSD'!A1","ECSSD")</f>
        <v>ECSSD</v>
      </c>
      <c r="C18" s="4" t="s">
        <v>467</v>
      </c>
      <c r="D18" s="4"/>
      <c r="E18" s="4"/>
    </row>
    <row r="19" spans="1:5" ht="32.1" customHeight="1" x14ac:dyDescent="0.25">
      <c r="A19" s="4" t="s">
        <v>34</v>
      </c>
      <c r="B19" s="7" t="str">
        <f>HYPERLINK("#'HKU-IS'!A1","HKU-IS")</f>
        <v>HKU-IS</v>
      </c>
      <c r="C19" s="4" t="s">
        <v>467</v>
      </c>
      <c r="D19" s="4"/>
      <c r="E19" s="4"/>
    </row>
    <row r="20" spans="1:5" ht="32.1" customHeight="1" x14ac:dyDescent="0.25">
      <c r="A20" s="4" t="s">
        <v>34</v>
      </c>
      <c r="B20" s="7" t="str">
        <f>HYPERLINK("#'PASCAL-S'!A1","PASCAL-S")</f>
        <v>PASCAL-S</v>
      </c>
      <c r="C20" s="4" t="s">
        <v>467</v>
      </c>
      <c r="D20" s="4"/>
      <c r="E20" s="4"/>
    </row>
    <row r="21" spans="1:5" ht="32.1" customHeight="1" x14ac:dyDescent="0.25">
      <c r="A21" s="4" t="s">
        <v>34</v>
      </c>
      <c r="B21" s="7" t="str">
        <f>HYPERLINK("#'HRSOD'!A1","HRSOD")</f>
        <v>HRSOD</v>
      </c>
      <c r="C21" s="4" t="s">
        <v>467</v>
      </c>
      <c r="D21" s="4"/>
      <c r="E21" s="4" t="s">
        <v>469</v>
      </c>
    </row>
    <row r="22" spans="1:5" ht="32.1" customHeight="1" x14ac:dyDescent="0.25">
      <c r="A22" s="4" t="s">
        <v>34</v>
      </c>
      <c r="B22" s="7" t="str">
        <f>HYPERLINK("#'DAVIS-S'!A1","DAVIS-S")</f>
        <v>DAVIS-S</v>
      </c>
      <c r="C22" s="4" t="s">
        <v>467</v>
      </c>
      <c r="D22" s="4"/>
      <c r="E22" s="4" t="s">
        <v>470</v>
      </c>
    </row>
    <row r="23" spans="1:5" ht="32.1" customHeight="1" x14ac:dyDescent="0.25">
      <c r="A23" s="4" t="s">
        <v>34</v>
      </c>
      <c r="B23" s="7" t="str">
        <f>HYPERLINK("#'UHRSD'!A1","UHRSD")</f>
        <v>UHRSD</v>
      </c>
      <c r="C23" s="4" t="s">
        <v>467</v>
      </c>
      <c r="D23" s="4"/>
      <c r="E23" s="4" t="s">
        <v>471</v>
      </c>
    </row>
    <row r="24" spans="1:5" ht="32.1" customHeight="1" x14ac:dyDescent="0.25">
      <c r="A24" s="4" t="s">
        <v>34</v>
      </c>
      <c r="B24" s="7" t="str">
        <f>HYPERLINK("#'SBU-Refine'!A1","SBU-Refine")</f>
        <v>SBU-Refine</v>
      </c>
      <c r="C24" s="4" t="s">
        <v>467</v>
      </c>
      <c r="D24" s="4"/>
      <c r="E24" s="4" t="s">
        <v>472</v>
      </c>
    </row>
    <row r="25" spans="1:5" ht="32.1" customHeight="1" x14ac:dyDescent="0.25">
      <c r="A25" s="4" t="s">
        <v>34</v>
      </c>
      <c r="B25" s="7" t="str">
        <f>HYPERLINK("#'ISTD'!A1","ISTD")</f>
        <v>ISTD</v>
      </c>
      <c r="C25" s="4" t="s">
        <v>467</v>
      </c>
      <c r="D25" s="4"/>
      <c r="E25" s="4" t="s">
        <v>472</v>
      </c>
    </row>
    <row r="26" spans="1:5" ht="32.1" customHeight="1" x14ac:dyDescent="0.25">
      <c r="A26" s="4" t="s">
        <v>34</v>
      </c>
      <c r="B26" s="7" t="str">
        <f>HYPERLINK("#'CAMO-FS'!A1","CAMO-FS")</f>
        <v>CAMO-FS</v>
      </c>
      <c r="C26" s="4" t="s">
        <v>473</v>
      </c>
      <c r="D26" s="4"/>
      <c r="E26" s="4" t="s">
        <v>474</v>
      </c>
    </row>
    <row r="27" spans="1:5" ht="32.1" customHeight="1" x14ac:dyDescent="0.25">
      <c r="A27" s="5" t="s">
        <v>62</v>
      </c>
      <c r="B27" s="8" t="str">
        <f>HYPERLINK("#'PASCAL VOC 2007 15+5'!A1","PASCAL VOC 2007 15+5")</f>
        <v>PASCAL VOC 2007 15+5</v>
      </c>
      <c r="C27" s="5" t="s">
        <v>475</v>
      </c>
      <c r="D27" s="5"/>
      <c r="E27" s="5" t="s">
        <v>476</v>
      </c>
    </row>
    <row r="28" spans="1:5" ht="32.1" customHeight="1" x14ac:dyDescent="0.25">
      <c r="A28" s="5" t="s">
        <v>62</v>
      </c>
      <c r="B28" s="8" t="str">
        <f>HYPERLINK("#'MS-COCO 1-shot'!A1","MS-COCO 1-shot")</f>
        <v>MS-COCO 1-shot</v>
      </c>
      <c r="C28" s="5" t="s">
        <v>477</v>
      </c>
      <c r="D28" s="5" t="s">
        <v>478</v>
      </c>
      <c r="E28" s="5" t="s">
        <v>479</v>
      </c>
    </row>
    <row r="29" spans="1:5" ht="32.1" customHeight="1" x14ac:dyDescent="0.25">
      <c r="A29" s="5" t="s">
        <v>62</v>
      </c>
      <c r="B29" s="8" t="str">
        <f>HYPERLINK("#'MS-COCO 5-shot'!A1","MS-COCO 5-shot")</f>
        <v>MS-COCO 5-shot</v>
      </c>
      <c r="C29" s="5" t="s">
        <v>477</v>
      </c>
      <c r="D29" s="5" t="s">
        <v>478</v>
      </c>
      <c r="E29" s="5" t="s">
        <v>480</v>
      </c>
    </row>
    <row r="30" spans="1:5" ht="32.1" customHeight="1" x14ac:dyDescent="0.25">
      <c r="A30" s="5" t="s">
        <v>62</v>
      </c>
      <c r="B30" s="8" t="str">
        <f>HYPERLINK("#'MS-COCO 10-shot'!A1","MS-COCO 10-shot")</f>
        <v>MS-COCO 10-shot</v>
      </c>
      <c r="C30" s="5" t="s">
        <v>477</v>
      </c>
      <c r="D30" s="5" t="s">
        <v>478</v>
      </c>
      <c r="E30" s="5" t="s">
        <v>481</v>
      </c>
    </row>
    <row r="31" spans="1:5" ht="32.1" customHeight="1" x14ac:dyDescent="0.25">
      <c r="A31" s="5" t="s">
        <v>62</v>
      </c>
      <c r="B31" s="8" t="str">
        <f>HYPERLINK("#'MS-COCO 30-shot'!A1","MS-COCO 30-shot")</f>
        <v>MS-COCO 30-shot</v>
      </c>
      <c r="C31" s="5" t="s">
        <v>477</v>
      </c>
      <c r="D31" s="5" t="s">
        <v>478</v>
      </c>
      <c r="E31" s="5" t="s">
        <v>482</v>
      </c>
    </row>
    <row r="32" spans="1:5" ht="32.1" customHeight="1" x14ac:dyDescent="0.25">
      <c r="A32" s="5" t="s">
        <v>62</v>
      </c>
      <c r="B32" s="8" t="str">
        <f>HYPERLINK("#'COCO 2017 FSOD'!A1","COCO 2017 FSOD")</f>
        <v>COCO 2017 FSOD</v>
      </c>
      <c r="C32" s="5" t="s">
        <v>477</v>
      </c>
      <c r="D32" s="5" t="s">
        <v>483</v>
      </c>
      <c r="E32" s="5" t="s">
        <v>484</v>
      </c>
    </row>
    <row r="33" spans="1:5" ht="32.1" customHeight="1" x14ac:dyDescent="0.25">
      <c r="A33" s="5" t="s">
        <v>62</v>
      </c>
      <c r="B33" s="8" t="str">
        <f>HYPERLINK("#'LVIS v1.0 val'!A1","LVIS v1.0 val")</f>
        <v>LVIS v1.0 val</v>
      </c>
      <c r="C33" s="5" t="s">
        <v>485</v>
      </c>
      <c r="D33" s="5"/>
      <c r="E33" s="5" t="s">
        <v>486</v>
      </c>
    </row>
    <row r="34" spans="1:5" ht="32.1" customHeight="1" x14ac:dyDescent="0.25">
      <c r="A34" s="5" t="s">
        <v>62</v>
      </c>
      <c r="B34" s="8" t="str">
        <f>HYPERLINK("#'LVIS v1.0 test-dev'!A1","LVIS v1.0 test-dev")</f>
        <v>LVIS v1.0 test-dev</v>
      </c>
      <c r="C34" s="5" t="s">
        <v>485</v>
      </c>
      <c r="D34" s="5"/>
      <c r="E34" s="5" t="s">
        <v>487</v>
      </c>
    </row>
    <row r="35" spans="1:5" ht="32.1" customHeight="1" x14ac:dyDescent="0.25">
      <c r="A35" s="5" t="s">
        <v>62</v>
      </c>
      <c r="B35" s="8" t="str">
        <f>HYPERLINK("#'ODinW-13'!A1","ODinW-13")</f>
        <v>ODinW-13</v>
      </c>
      <c r="C35" s="5" t="s">
        <v>488</v>
      </c>
      <c r="D35" s="5" t="s">
        <v>489</v>
      </c>
      <c r="E35" s="5" t="s">
        <v>490</v>
      </c>
    </row>
    <row r="36" spans="1:5" ht="32.1" customHeight="1" x14ac:dyDescent="0.25">
      <c r="A36" s="5" t="s">
        <v>62</v>
      </c>
      <c r="B36" s="8" t="str">
        <f>HYPERLINK("#'ODinW-35'!A1","ODinW-35")</f>
        <v>ODinW-35</v>
      </c>
      <c r="C36" s="5" t="s">
        <v>491</v>
      </c>
      <c r="D36" s="5" t="s">
        <v>489</v>
      </c>
      <c r="E36" s="5" t="s">
        <v>492</v>
      </c>
    </row>
  </sheetData>
  <autoFilter ref="A1:E36" xr:uid="{00000000-0009-0000-0000-000001000000}"/>
  <phoneticPr fontId="4" type="noConversion"/>
  <hyperlinks>
    <hyperlink ref="B2" location="'COCO test-dev'!A1" display="'COCO test-dev'!A1" xr:uid="{00000000-0004-0000-0100-000000000000}"/>
    <hyperlink ref="B3" location="'COCO minival'!A1" display="'COCO minival'!A1" xr:uid="{00000000-0004-0000-0100-000001000000}"/>
    <hyperlink ref="B4" location="'COCO 2017 val'!A1" display="'COCO 2017 val'!A1" xr:uid="{00000000-0004-0000-0100-000002000000}"/>
    <hyperlink ref="B5" location="'COCO 2017'!A1" display="'COCO 2017'!A1" xr:uid="{00000000-0004-0000-0100-000003000000}"/>
    <hyperlink ref="B6" location="'COCO-O'!A1" display="'COCO-O'!A1" xr:uid="{00000000-0004-0000-0100-000004000000}"/>
    <hyperlink ref="B7" location="'PASCAL VOC 2007'!A1" display="'PASCAL VOC 2007'!A1" xr:uid="{00000000-0004-0000-0100-000005000000}"/>
    <hyperlink ref="B8" location="'CrowdHuman'!A1" display="'CrowdHuman'!A1" xr:uid="{00000000-0004-0000-0100-000006000000}"/>
    <hyperlink ref="B9" location="'GraZPEDWRI-DX'!A1" display="'GraZPEDWRI-DX'!A1" xr:uid="{00000000-0004-0000-0100-000007000000}"/>
    <hyperlink ref="B10" location="'CPPE-5'!A1" display="'CPPE-5'!A1" xr:uid="{00000000-0004-0000-0100-000008000000}"/>
    <hyperlink ref="B11" location="'Waymo 2D'!A1" display="'Waymo 2D'!A1" xr:uid="{00000000-0004-0000-0100-000009000000}"/>
    <hyperlink ref="B12" location="'Argoverse-HD FS Val'!A1" display="'Argoverse-HD FS Val'!A1" xr:uid="{00000000-0004-0000-0100-00000A000000}"/>
    <hyperlink ref="B13" location="'Argoverse-HD DO Val'!A1" display="'Argoverse-HD DO Val'!A1" xr:uid="{00000000-0004-0000-0100-00000B000000}"/>
    <hyperlink ref="B14" location="'Argoverse-HD DO Test'!A1" display="'Argoverse-HD DO Test'!A1" xr:uid="{00000000-0004-0000-0100-00000C000000}"/>
    <hyperlink ref="B15" location="'Argoverse-HD FS Test'!A1" display="'Argoverse-HD FS Test'!A1" xr:uid="{00000000-0004-0000-0100-00000D000000}"/>
    <hyperlink ref="B16" location="'DUTS-TE'!A1" display="'DUTS-TE'!A1" xr:uid="{00000000-0004-0000-0100-00000E000000}"/>
    <hyperlink ref="B17" location="'DUT-OMRON'!A1" display="'DUT-OMRON'!A1" xr:uid="{00000000-0004-0000-0100-00000F000000}"/>
    <hyperlink ref="B18" location="'ECSSD'!A1" display="'ECSSD'!A1" xr:uid="{00000000-0004-0000-0100-000010000000}"/>
    <hyperlink ref="B19" location="'HKU-IS'!A1" display="'HKU-IS'!A1" xr:uid="{00000000-0004-0000-0100-000011000000}"/>
    <hyperlink ref="B20" location="'PASCAL-S'!A1" display="'PASCAL-S'!A1" xr:uid="{00000000-0004-0000-0100-000012000000}"/>
    <hyperlink ref="B21" location="'HRSOD'!A1" display="'HRSOD'!A1" xr:uid="{00000000-0004-0000-0100-000013000000}"/>
    <hyperlink ref="B22" location="'DAVIS-S'!A1" display="'DAVIS-S'!A1" xr:uid="{00000000-0004-0000-0100-000014000000}"/>
    <hyperlink ref="B23" location="'UHRSD'!A1" display="'UHRSD'!A1" xr:uid="{00000000-0004-0000-0100-000015000000}"/>
    <hyperlink ref="B24" location="'SBU-Refine'!A1" display="'SBU-Refine'!A1" xr:uid="{00000000-0004-0000-0100-000016000000}"/>
    <hyperlink ref="B25" location="'ISTD'!A1" display="'ISTD'!A1" xr:uid="{00000000-0004-0000-0100-000017000000}"/>
    <hyperlink ref="B26" location="'CAMO-FS'!A1" display="'CAMO-FS'!A1" xr:uid="{00000000-0004-0000-0100-000018000000}"/>
    <hyperlink ref="B27" location="'PASCAL VOC 2007 15+5'!A1" display="'PASCAL VOC 2007 15+5'!A1" xr:uid="{00000000-0004-0000-0100-000019000000}"/>
    <hyperlink ref="B28" location="'MS-COCO 1-shot'!A1" display="'MS-COCO 1-shot'!A1" xr:uid="{00000000-0004-0000-0100-00001A000000}"/>
    <hyperlink ref="B29" location="'MS-COCO 5-shot'!A1" display="'MS-COCO 5-shot'!A1" xr:uid="{00000000-0004-0000-0100-00001B000000}"/>
    <hyperlink ref="B30" location="'MS-COCO 10-shot'!A1" display="'MS-COCO 10-shot'!A1" xr:uid="{00000000-0004-0000-0100-00001C000000}"/>
    <hyperlink ref="B31" location="'MS-COCO 30-shot'!A1" display="'MS-COCO 30-shot'!A1" xr:uid="{00000000-0004-0000-0100-00001D000000}"/>
    <hyperlink ref="B32" location="'COCO 2017 FSOD'!A1" display="'COCO 2017 FSOD'!A1" xr:uid="{00000000-0004-0000-0100-00001E000000}"/>
    <hyperlink ref="B33" location="'LVIS v1.0 val'!A1" display="'LVIS v1.0 val'!A1" xr:uid="{00000000-0004-0000-0100-00001F000000}"/>
    <hyperlink ref="B34" location="'LVIS v1.0 test-dev'!A1" display="'LVIS v1.0 test-dev'!A1" xr:uid="{00000000-0004-0000-0100-000020000000}"/>
    <hyperlink ref="B35" location="'ODinW-13'!A1" display="'ODinW-13'!A1" xr:uid="{00000000-0004-0000-0100-000021000000}"/>
    <hyperlink ref="B36" location="'ODinW-35'!A1" display="'ODinW-35'!A1" xr:uid="{00000000-0004-0000-0100-000022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3"/>
  <sheetViews>
    <sheetView workbookViewId="0">
      <pane ySplit="1" topLeftCell="A5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2" t="s">
        <v>104</v>
      </c>
      <c r="B2" s="2" t="s">
        <v>179</v>
      </c>
      <c r="C2" s="2" t="s">
        <v>180</v>
      </c>
      <c r="D2" s="2" t="s">
        <v>181</v>
      </c>
      <c r="E2" s="2" t="s">
        <v>182</v>
      </c>
      <c r="F2" s="2" t="s">
        <v>497</v>
      </c>
      <c r="G2" s="2" t="s">
        <v>498</v>
      </c>
      <c r="H2" s="2" t="s">
        <v>499</v>
      </c>
      <c r="I2" s="2" t="s">
        <v>500</v>
      </c>
      <c r="J2" s="2" t="s">
        <v>501</v>
      </c>
      <c r="K2" s="2" t="s">
        <v>502</v>
      </c>
      <c r="L2" s="9" t="s">
        <v>184</v>
      </c>
      <c r="M2" s="9" t="s">
        <v>185</v>
      </c>
    </row>
    <row r="3" spans="1:13" ht="48" customHeight="1" x14ac:dyDescent="0.25">
      <c r="A3" s="2" t="s">
        <v>104</v>
      </c>
      <c r="B3" s="2" t="s">
        <v>197</v>
      </c>
      <c r="C3" s="2" t="s">
        <v>85</v>
      </c>
      <c r="D3" s="2" t="s">
        <v>50</v>
      </c>
      <c r="E3" s="2" t="s">
        <v>198</v>
      </c>
      <c r="F3" s="2" t="s">
        <v>497</v>
      </c>
      <c r="G3" s="2" t="s">
        <v>503</v>
      </c>
      <c r="H3" s="2" t="s">
        <v>504</v>
      </c>
      <c r="I3" s="2" t="s">
        <v>500</v>
      </c>
      <c r="J3" s="2" t="s">
        <v>505</v>
      </c>
      <c r="K3" s="2" t="s">
        <v>506</v>
      </c>
      <c r="L3" s="9" t="s">
        <v>200</v>
      </c>
      <c r="M3" s="9" t="s">
        <v>201</v>
      </c>
    </row>
    <row r="4" spans="1:13" ht="48" customHeight="1" x14ac:dyDescent="0.25">
      <c r="A4" s="2" t="s">
        <v>104</v>
      </c>
      <c r="B4" s="2" t="s">
        <v>507</v>
      </c>
      <c r="C4" s="2" t="s">
        <v>187</v>
      </c>
      <c r="D4" s="2" t="s">
        <v>29</v>
      </c>
      <c r="E4" s="2" t="s">
        <v>182</v>
      </c>
      <c r="F4" s="2" t="s">
        <v>497</v>
      </c>
      <c r="G4" s="2" t="s">
        <v>508</v>
      </c>
      <c r="H4" s="2" t="s">
        <v>509</v>
      </c>
      <c r="I4" s="2" t="s">
        <v>500</v>
      </c>
      <c r="J4" s="2" t="s">
        <v>510</v>
      </c>
      <c r="K4" s="2" t="s">
        <v>511</v>
      </c>
      <c r="L4" s="9" t="s">
        <v>190</v>
      </c>
      <c r="M4" s="9" t="s">
        <v>191</v>
      </c>
    </row>
    <row r="5" spans="1:13" ht="48" customHeight="1" x14ac:dyDescent="0.25">
      <c r="A5" s="2" t="s">
        <v>104</v>
      </c>
      <c r="B5" s="2" t="s">
        <v>123</v>
      </c>
      <c r="C5" s="2" t="s">
        <v>124</v>
      </c>
      <c r="D5" s="2" t="s">
        <v>113</v>
      </c>
      <c r="E5" s="2" t="s">
        <v>125</v>
      </c>
      <c r="F5" s="2" t="s">
        <v>497</v>
      </c>
      <c r="G5" s="2" t="s">
        <v>512</v>
      </c>
      <c r="H5" s="2" t="s">
        <v>513</v>
      </c>
      <c r="I5" s="2" t="s">
        <v>500</v>
      </c>
      <c r="J5" s="2" t="s">
        <v>500</v>
      </c>
      <c r="K5" s="2" t="s">
        <v>514</v>
      </c>
      <c r="L5" s="9" t="s">
        <v>127</v>
      </c>
      <c r="M5" s="9" t="s">
        <v>128</v>
      </c>
    </row>
    <row r="6" spans="1:13" ht="48" customHeight="1" x14ac:dyDescent="0.25">
      <c r="A6" s="2" t="s">
        <v>104</v>
      </c>
      <c r="B6" s="2" t="s">
        <v>215</v>
      </c>
      <c r="C6" s="2" t="s">
        <v>216</v>
      </c>
      <c r="D6" s="2" t="s">
        <v>11</v>
      </c>
      <c r="E6" s="2" t="s">
        <v>217</v>
      </c>
      <c r="F6" s="2" t="s">
        <v>497</v>
      </c>
      <c r="G6" s="2" t="s">
        <v>515</v>
      </c>
      <c r="H6" s="2" t="s">
        <v>516</v>
      </c>
      <c r="I6" s="2" t="s">
        <v>500</v>
      </c>
      <c r="J6" s="2" t="s">
        <v>517</v>
      </c>
      <c r="K6" s="2" t="s">
        <v>511</v>
      </c>
      <c r="L6" s="9" t="s">
        <v>219</v>
      </c>
      <c r="M6" s="9" t="s">
        <v>220</v>
      </c>
    </row>
    <row r="7" spans="1:13" ht="48" customHeight="1" x14ac:dyDescent="0.25">
      <c r="A7" s="2" t="s">
        <v>104</v>
      </c>
      <c r="B7" s="2" t="s">
        <v>518</v>
      </c>
      <c r="C7" s="2" t="s">
        <v>250</v>
      </c>
      <c r="D7" s="2" t="s">
        <v>113</v>
      </c>
      <c r="E7" s="2" t="s">
        <v>251</v>
      </c>
      <c r="F7" s="2" t="s">
        <v>497</v>
      </c>
      <c r="G7" s="2" t="s">
        <v>519</v>
      </c>
      <c r="H7" s="2" t="s">
        <v>520</v>
      </c>
      <c r="I7" s="2" t="s">
        <v>500</v>
      </c>
      <c r="J7" s="2" t="s">
        <v>521</v>
      </c>
      <c r="K7" s="2" t="s">
        <v>522</v>
      </c>
      <c r="L7" s="9" t="s">
        <v>253</v>
      </c>
      <c r="M7" s="9" t="s">
        <v>254</v>
      </c>
    </row>
    <row r="8" spans="1:13" ht="48" customHeight="1" x14ac:dyDescent="0.25">
      <c r="A8" s="2" t="s">
        <v>104</v>
      </c>
      <c r="B8" s="2" t="s">
        <v>523</v>
      </c>
      <c r="C8" s="2" t="s">
        <v>112</v>
      </c>
      <c r="D8" s="2" t="s">
        <v>181</v>
      </c>
      <c r="E8" s="2" t="s">
        <v>314</v>
      </c>
      <c r="F8" s="2" t="s">
        <v>497</v>
      </c>
      <c r="G8" s="2" t="s">
        <v>524</v>
      </c>
      <c r="H8" s="2" t="s">
        <v>525</v>
      </c>
      <c r="I8" s="2" t="s">
        <v>500</v>
      </c>
      <c r="J8" s="2" t="s">
        <v>526</v>
      </c>
      <c r="K8" s="2" t="s">
        <v>511</v>
      </c>
      <c r="L8" s="9" t="s">
        <v>316</v>
      </c>
      <c r="M8" s="9" t="s">
        <v>317</v>
      </c>
    </row>
    <row r="9" spans="1:13" ht="48" customHeight="1" x14ac:dyDescent="0.25">
      <c r="A9" s="2" t="s">
        <v>104</v>
      </c>
      <c r="B9" s="2" t="s">
        <v>527</v>
      </c>
      <c r="C9" s="2" t="s">
        <v>528</v>
      </c>
      <c r="D9" s="2" t="s">
        <v>181</v>
      </c>
      <c r="E9" s="2" t="s">
        <v>286</v>
      </c>
      <c r="F9" s="2" t="s">
        <v>497</v>
      </c>
      <c r="G9" s="2" t="s">
        <v>529</v>
      </c>
      <c r="H9" s="2" t="s">
        <v>530</v>
      </c>
      <c r="I9" s="2" t="s">
        <v>500</v>
      </c>
      <c r="J9" s="2" t="s">
        <v>531</v>
      </c>
      <c r="K9" s="2" t="s">
        <v>511</v>
      </c>
      <c r="L9" s="9" t="s">
        <v>532</v>
      </c>
      <c r="M9" s="9" t="s">
        <v>533</v>
      </c>
    </row>
    <row r="10" spans="1:13" ht="48" customHeight="1" x14ac:dyDescent="0.25">
      <c r="A10" s="2" t="s">
        <v>104</v>
      </c>
      <c r="B10" s="2" t="s">
        <v>285</v>
      </c>
      <c r="C10" s="2" t="s">
        <v>112</v>
      </c>
      <c r="D10" s="2" t="s">
        <v>50</v>
      </c>
      <c r="E10" s="2" t="s">
        <v>286</v>
      </c>
      <c r="F10" s="2" t="s">
        <v>497</v>
      </c>
      <c r="G10" s="2" t="s">
        <v>534</v>
      </c>
      <c r="H10" s="2" t="s">
        <v>535</v>
      </c>
      <c r="I10" s="2" t="s">
        <v>500</v>
      </c>
      <c r="J10" s="2" t="s">
        <v>536</v>
      </c>
      <c r="K10" s="2" t="s">
        <v>511</v>
      </c>
      <c r="L10" s="9" t="s">
        <v>288</v>
      </c>
      <c r="M10" s="9" t="s">
        <v>289</v>
      </c>
    </row>
    <row r="11" spans="1:13" ht="48" customHeight="1" x14ac:dyDescent="0.25">
      <c r="A11" s="2" t="s">
        <v>104</v>
      </c>
      <c r="B11" s="2" t="s">
        <v>255</v>
      </c>
      <c r="C11" s="2" t="s">
        <v>256</v>
      </c>
      <c r="D11" s="2" t="s">
        <v>113</v>
      </c>
      <c r="E11" s="2" t="s">
        <v>251</v>
      </c>
      <c r="F11" s="2" t="s">
        <v>497</v>
      </c>
      <c r="G11" s="2" t="s">
        <v>537</v>
      </c>
      <c r="H11" s="2" t="s">
        <v>538</v>
      </c>
      <c r="I11" s="2" t="s">
        <v>500</v>
      </c>
      <c r="J11" s="2" t="s">
        <v>539</v>
      </c>
      <c r="K11" s="2" t="s">
        <v>511</v>
      </c>
      <c r="L11" s="9" t="s">
        <v>258</v>
      </c>
      <c r="M11" s="9" t="s">
        <v>259</v>
      </c>
    </row>
    <row r="12" spans="1:13" ht="48" customHeight="1" x14ac:dyDescent="0.25">
      <c r="A12" s="2" t="s">
        <v>104</v>
      </c>
      <c r="B12" s="2" t="s">
        <v>329</v>
      </c>
      <c r="C12" s="2" t="s">
        <v>330</v>
      </c>
      <c r="D12" s="2" t="s">
        <v>11</v>
      </c>
      <c r="E12" s="2" t="s">
        <v>331</v>
      </c>
      <c r="F12" s="2" t="s">
        <v>497</v>
      </c>
      <c r="G12" s="2" t="s">
        <v>540</v>
      </c>
      <c r="H12" s="2" t="s">
        <v>541</v>
      </c>
      <c r="I12" s="2" t="s">
        <v>542</v>
      </c>
      <c r="J12" s="2" t="s">
        <v>543</v>
      </c>
      <c r="K12" s="2" t="s">
        <v>544</v>
      </c>
      <c r="L12" s="9" t="s">
        <v>333</v>
      </c>
      <c r="M12" s="9" t="s">
        <v>334</v>
      </c>
    </row>
    <row r="13" spans="1:13" ht="48" customHeight="1" x14ac:dyDescent="0.25">
      <c r="A13" s="2" t="s">
        <v>104</v>
      </c>
      <c r="B13" s="2" t="s">
        <v>345</v>
      </c>
      <c r="C13" s="2" t="s">
        <v>346</v>
      </c>
      <c r="D13" s="2" t="s">
        <v>113</v>
      </c>
      <c r="E13" s="2" t="s">
        <v>347</v>
      </c>
      <c r="F13" s="2" t="s">
        <v>497</v>
      </c>
      <c r="G13" s="2" t="s">
        <v>545</v>
      </c>
      <c r="H13" s="2" t="s">
        <v>546</v>
      </c>
      <c r="I13" s="2" t="s">
        <v>547</v>
      </c>
      <c r="J13" s="2" t="s">
        <v>548</v>
      </c>
      <c r="K13" s="2" t="s">
        <v>549</v>
      </c>
      <c r="L13" s="9" t="s">
        <v>349</v>
      </c>
      <c r="M13" s="9" t="s">
        <v>350</v>
      </c>
    </row>
  </sheetData>
  <autoFilter ref="A1:M13" xr:uid="{00000000-0009-0000-0000-000002000000}"/>
  <phoneticPr fontId="4" type="noConversion"/>
  <hyperlinks>
    <hyperlink ref="L2" r:id="rId1" xr:uid="{00000000-0004-0000-0200-000000000000}"/>
    <hyperlink ref="M2" r:id="rId2" xr:uid="{00000000-0004-0000-0200-000001000000}"/>
    <hyperlink ref="L3" r:id="rId3" xr:uid="{00000000-0004-0000-0200-000002000000}"/>
    <hyperlink ref="M3" r:id="rId4" xr:uid="{00000000-0004-0000-0200-000003000000}"/>
    <hyperlink ref="L4" r:id="rId5" xr:uid="{00000000-0004-0000-0200-000004000000}"/>
    <hyperlink ref="M4" r:id="rId6" xr:uid="{00000000-0004-0000-0200-000005000000}"/>
    <hyperlink ref="L5" r:id="rId7" xr:uid="{00000000-0004-0000-0200-000006000000}"/>
    <hyperlink ref="M5" r:id="rId8" xr:uid="{00000000-0004-0000-0200-000007000000}"/>
    <hyperlink ref="L6" r:id="rId9" xr:uid="{00000000-0004-0000-0200-000008000000}"/>
    <hyperlink ref="M6" r:id="rId10" xr:uid="{00000000-0004-0000-0200-000009000000}"/>
    <hyperlink ref="L7" r:id="rId11" xr:uid="{00000000-0004-0000-0200-00000A000000}"/>
    <hyperlink ref="M7" r:id="rId12" xr:uid="{00000000-0004-0000-0200-00000B000000}"/>
    <hyperlink ref="L8" r:id="rId13" xr:uid="{00000000-0004-0000-0200-00000C000000}"/>
    <hyperlink ref="M8" r:id="rId14" xr:uid="{00000000-0004-0000-0200-00000D000000}"/>
    <hyperlink ref="L9" r:id="rId15" xr:uid="{00000000-0004-0000-0200-00000E000000}"/>
    <hyperlink ref="M9" r:id="rId16" xr:uid="{00000000-0004-0000-0200-00000F000000}"/>
    <hyperlink ref="L10" r:id="rId17" xr:uid="{00000000-0004-0000-0200-000010000000}"/>
    <hyperlink ref="M10" r:id="rId18" xr:uid="{00000000-0004-0000-0200-000011000000}"/>
    <hyperlink ref="L11" r:id="rId19" xr:uid="{00000000-0004-0000-0200-000012000000}"/>
    <hyperlink ref="M11" r:id="rId20" xr:uid="{00000000-0004-0000-0200-000013000000}"/>
    <hyperlink ref="L12" r:id="rId21" xr:uid="{00000000-0004-0000-0200-000014000000}"/>
    <hyperlink ref="M12" r:id="rId22" xr:uid="{00000000-0004-0000-0200-000015000000}"/>
    <hyperlink ref="L13" r:id="rId23" xr:uid="{00000000-0004-0000-0200-000016000000}"/>
    <hyperlink ref="M13" r:id="rId24" xr:uid="{00000000-0004-0000-0200-000017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2"/>
  <sheetViews>
    <sheetView workbookViewId="0">
      <pane ySplit="1" topLeftCell="A4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2" t="s">
        <v>104</v>
      </c>
      <c r="B2" s="2" t="s">
        <v>179</v>
      </c>
      <c r="C2" s="2" t="s">
        <v>180</v>
      </c>
      <c r="D2" s="2" t="s">
        <v>181</v>
      </c>
      <c r="E2" s="2" t="s">
        <v>182</v>
      </c>
      <c r="F2" s="2" t="s">
        <v>497</v>
      </c>
      <c r="G2" s="2" t="s">
        <v>550</v>
      </c>
      <c r="H2" s="2" t="s">
        <v>551</v>
      </c>
      <c r="I2" s="2" t="s">
        <v>500</v>
      </c>
      <c r="J2" s="2" t="s">
        <v>501</v>
      </c>
      <c r="K2" s="2" t="s">
        <v>552</v>
      </c>
      <c r="L2" s="9" t="s">
        <v>184</v>
      </c>
      <c r="M2" s="9" t="s">
        <v>185</v>
      </c>
    </row>
    <row r="3" spans="1:13" ht="48" customHeight="1" x14ac:dyDescent="0.25">
      <c r="A3" s="2" t="s">
        <v>104</v>
      </c>
      <c r="B3" s="2" t="s">
        <v>197</v>
      </c>
      <c r="C3" s="2" t="s">
        <v>85</v>
      </c>
      <c r="D3" s="2" t="s">
        <v>50</v>
      </c>
      <c r="E3" s="2" t="s">
        <v>198</v>
      </c>
      <c r="F3" s="2" t="s">
        <v>497</v>
      </c>
      <c r="G3" s="2" t="s">
        <v>553</v>
      </c>
      <c r="H3" s="2" t="s">
        <v>554</v>
      </c>
      <c r="I3" s="2" t="s">
        <v>500</v>
      </c>
      <c r="J3" s="2" t="s">
        <v>505</v>
      </c>
      <c r="K3" s="2" t="s">
        <v>511</v>
      </c>
      <c r="L3" s="9" t="s">
        <v>200</v>
      </c>
      <c r="M3" s="9" t="s">
        <v>201</v>
      </c>
    </row>
    <row r="4" spans="1:13" ht="48" customHeight="1" x14ac:dyDescent="0.25">
      <c r="A4" s="2" t="s">
        <v>104</v>
      </c>
      <c r="B4" s="2" t="s">
        <v>555</v>
      </c>
      <c r="C4" s="2" t="s">
        <v>187</v>
      </c>
      <c r="D4" s="2" t="s">
        <v>29</v>
      </c>
      <c r="E4" s="2" t="s">
        <v>182</v>
      </c>
      <c r="F4" s="2" t="s">
        <v>497</v>
      </c>
      <c r="G4" s="2" t="s">
        <v>556</v>
      </c>
      <c r="H4" s="2" t="s">
        <v>557</v>
      </c>
      <c r="I4" s="2" t="s">
        <v>500</v>
      </c>
      <c r="J4" s="2" t="s">
        <v>510</v>
      </c>
      <c r="K4" s="2" t="s">
        <v>511</v>
      </c>
      <c r="L4" s="9" t="s">
        <v>190</v>
      </c>
      <c r="M4" s="9" t="s">
        <v>191</v>
      </c>
    </row>
    <row r="5" spans="1:13" ht="48" customHeight="1" x14ac:dyDescent="0.25">
      <c r="A5" s="2" t="s">
        <v>104</v>
      </c>
      <c r="B5" s="2" t="s">
        <v>123</v>
      </c>
      <c r="C5" s="2" t="s">
        <v>124</v>
      </c>
      <c r="D5" s="2" t="s">
        <v>113</v>
      </c>
      <c r="E5" s="2" t="s">
        <v>125</v>
      </c>
      <c r="F5" s="2" t="s">
        <v>497</v>
      </c>
      <c r="G5" s="2" t="s">
        <v>512</v>
      </c>
      <c r="H5" s="2" t="s">
        <v>558</v>
      </c>
      <c r="I5" s="2" t="s">
        <v>500</v>
      </c>
      <c r="J5" s="2" t="s">
        <v>500</v>
      </c>
      <c r="K5" s="2" t="s">
        <v>514</v>
      </c>
      <c r="L5" s="9" t="s">
        <v>127</v>
      </c>
      <c r="M5" s="9" t="s">
        <v>128</v>
      </c>
    </row>
    <row r="6" spans="1:13" ht="48" customHeight="1" x14ac:dyDescent="0.25">
      <c r="A6" s="2" t="s">
        <v>104</v>
      </c>
      <c r="B6" s="2" t="s">
        <v>215</v>
      </c>
      <c r="C6" s="2" t="s">
        <v>216</v>
      </c>
      <c r="D6" s="2" t="s">
        <v>11</v>
      </c>
      <c r="E6" s="2" t="s">
        <v>217</v>
      </c>
      <c r="F6" s="2" t="s">
        <v>497</v>
      </c>
      <c r="G6" s="2" t="s">
        <v>515</v>
      </c>
      <c r="H6" s="2" t="s">
        <v>559</v>
      </c>
      <c r="I6" s="2" t="s">
        <v>500</v>
      </c>
      <c r="J6" s="2" t="s">
        <v>517</v>
      </c>
      <c r="K6" s="2" t="s">
        <v>511</v>
      </c>
      <c r="L6" s="9" t="s">
        <v>219</v>
      </c>
      <c r="M6" s="9" t="s">
        <v>220</v>
      </c>
    </row>
    <row r="7" spans="1:13" ht="48" customHeight="1" x14ac:dyDescent="0.25">
      <c r="A7" s="2" t="s">
        <v>104</v>
      </c>
      <c r="B7" s="2" t="s">
        <v>560</v>
      </c>
      <c r="C7" s="2" t="s">
        <v>561</v>
      </c>
      <c r="D7" s="2" t="s">
        <v>50</v>
      </c>
      <c r="E7" s="2" t="s">
        <v>198</v>
      </c>
      <c r="F7" s="2" t="s">
        <v>497</v>
      </c>
      <c r="G7" s="2" t="s">
        <v>562</v>
      </c>
      <c r="H7" s="2" t="s">
        <v>563</v>
      </c>
      <c r="I7" s="2" t="s">
        <v>500</v>
      </c>
      <c r="J7" s="2" t="s">
        <v>517</v>
      </c>
      <c r="K7" s="2" t="s">
        <v>564</v>
      </c>
      <c r="L7" s="9" t="s">
        <v>565</v>
      </c>
      <c r="M7" s="9" t="s">
        <v>566</v>
      </c>
    </row>
    <row r="8" spans="1:13" ht="48" customHeight="1" x14ac:dyDescent="0.25">
      <c r="A8" s="3" t="s">
        <v>8</v>
      </c>
      <c r="B8" s="3" t="s">
        <v>27</v>
      </c>
      <c r="C8" s="3" t="s">
        <v>28</v>
      </c>
      <c r="D8" s="3" t="s">
        <v>29</v>
      </c>
      <c r="E8" s="3" t="s">
        <v>30</v>
      </c>
      <c r="F8" s="3" t="s">
        <v>567</v>
      </c>
      <c r="G8" s="3" t="s">
        <v>568</v>
      </c>
      <c r="H8" s="3" t="s">
        <v>569</v>
      </c>
      <c r="I8" s="3" t="s">
        <v>570</v>
      </c>
      <c r="J8" s="3" t="s">
        <v>500</v>
      </c>
      <c r="K8" s="3" t="s">
        <v>571</v>
      </c>
      <c r="L8" s="6" t="s">
        <v>32</v>
      </c>
      <c r="M8" s="6" t="s">
        <v>33</v>
      </c>
    </row>
    <row r="9" spans="1:13" ht="48" customHeight="1" x14ac:dyDescent="0.25">
      <c r="A9" s="3" t="s">
        <v>8</v>
      </c>
      <c r="B9" s="3" t="s">
        <v>49</v>
      </c>
      <c r="C9" s="3" t="s">
        <v>41</v>
      </c>
      <c r="D9" s="3" t="s">
        <v>50</v>
      </c>
      <c r="E9" s="3" t="s">
        <v>51</v>
      </c>
      <c r="F9" s="3" t="s">
        <v>497</v>
      </c>
      <c r="G9" s="3" t="s">
        <v>572</v>
      </c>
      <c r="H9" s="3" t="s">
        <v>573</v>
      </c>
      <c r="I9" s="3" t="s">
        <v>570</v>
      </c>
      <c r="J9" s="3" t="s">
        <v>500</v>
      </c>
      <c r="K9" s="3" t="s">
        <v>511</v>
      </c>
      <c r="L9" s="6" t="s">
        <v>53</v>
      </c>
      <c r="M9" s="6" t="s">
        <v>54</v>
      </c>
    </row>
    <row r="10" spans="1:13" ht="48" customHeight="1" x14ac:dyDescent="0.25">
      <c r="A10" s="2" t="s">
        <v>104</v>
      </c>
      <c r="B10" s="2" t="s">
        <v>290</v>
      </c>
      <c r="C10" s="2" t="s">
        <v>250</v>
      </c>
      <c r="D10" s="2" t="s">
        <v>50</v>
      </c>
      <c r="E10" s="2" t="s">
        <v>286</v>
      </c>
      <c r="F10" s="2" t="s">
        <v>497</v>
      </c>
      <c r="G10" s="2" t="s">
        <v>574</v>
      </c>
      <c r="H10" s="2" t="s">
        <v>575</v>
      </c>
      <c r="I10" s="2" t="s">
        <v>500</v>
      </c>
      <c r="J10" s="2" t="s">
        <v>576</v>
      </c>
      <c r="K10" s="2" t="s">
        <v>511</v>
      </c>
      <c r="L10" s="9" t="s">
        <v>292</v>
      </c>
      <c r="M10" s="9" t="s">
        <v>293</v>
      </c>
    </row>
    <row r="11" spans="1:13" ht="48" customHeight="1" x14ac:dyDescent="0.25">
      <c r="A11" s="2" t="s">
        <v>104</v>
      </c>
      <c r="B11" s="2" t="s">
        <v>294</v>
      </c>
      <c r="C11" s="2" t="s">
        <v>112</v>
      </c>
      <c r="D11" s="2" t="s">
        <v>11</v>
      </c>
      <c r="E11" s="2" t="s">
        <v>286</v>
      </c>
      <c r="F11" s="2" t="s">
        <v>497</v>
      </c>
      <c r="G11" s="2" t="s">
        <v>577</v>
      </c>
      <c r="H11" s="2" t="s">
        <v>578</v>
      </c>
      <c r="I11" s="2" t="s">
        <v>500</v>
      </c>
      <c r="J11" s="2" t="s">
        <v>576</v>
      </c>
      <c r="K11" s="2" t="s">
        <v>511</v>
      </c>
      <c r="L11" s="9" t="s">
        <v>296</v>
      </c>
      <c r="M11" s="9" t="s">
        <v>297</v>
      </c>
    </row>
    <row r="12" spans="1:13" ht="48" customHeight="1" x14ac:dyDescent="0.25">
      <c r="A12" s="2" t="s">
        <v>104</v>
      </c>
      <c r="B12" s="2" t="s">
        <v>345</v>
      </c>
      <c r="C12" s="2" t="s">
        <v>346</v>
      </c>
      <c r="D12" s="2" t="s">
        <v>113</v>
      </c>
      <c r="E12" s="2" t="s">
        <v>347</v>
      </c>
      <c r="F12" s="2" t="s">
        <v>497</v>
      </c>
      <c r="G12" s="2" t="s">
        <v>545</v>
      </c>
      <c r="H12" s="2" t="s">
        <v>579</v>
      </c>
      <c r="I12" s="2" t="s">
        <v>547</v>
      </c>
      <c r="J12" s="2" t="s">
        <v>548</v>
      </c>
      <c r="K12" s="2" t="s">
        <v>580</v>
      </c>
      <c r="L12" s="9" t="s">
        <v>349</v>
      </c>
      <c r="M12" s="9" t="s">
        <v>350</v>
      </c>
    </row>
  </sheetData>
  <autoFilter ref="A1:M12" xr:uid="{00000000-0009-0000-0000-000003000000}"/>
  <phoneticPr fontId="4" type="noConversion"/>
  <hyperlinks>
    <hyperlink ref="L2" r:id="rId1" xr:uid="{00000000-0004-0000-0300-000000000000}"/>
    <hyperlink ref="M2" r:id="rId2" xr:uid="{00000000-0004-0000-0300-000001000000}"/>
    <hyperlink ref="L3" r:id="rId3" xr:uid="{00000000-0004-0000-0300-000002000000}"/>
    <hyperlink ref="M3" r:id="rId4" xr:uid="{00000000-0004-0000-0300-000003000000}"/>
    <hyperlink ref="L4" r:id="rId5" xr:uid="{00000000-0004-0000-0300-000004000000}"/>
    <hyperlink ref="M4" r:id="rId6" xr:uid="{00000000-0004-0000-0300-000005000000}"/>
    <hyperlink ref="L5" r:id="rId7" xr:uid="{00000000-0004-0000-0300-000006000000}"/>
    <hyperlink ref="M5" r:id="rId8" xr:uid="{00000000-0004-0000-0300-000007000000}"/>
    <hyperlink ref="L6" r:id="rId9" xr:uid="{00000000-0004-0000-0300-000008000000}"/>
    <hyperlink ref="M6" r:id="rId10" xr:uid="{00000000-0004-0000-0300-000009000000}"/>
    <hyperlink ref="L7" r:id="rId11" xr:uid="{00000000-0004-0000-0300-00000A000000}"/>
    <hyperlink ref="M7" r:id="rId12" xr:uid="{00000000-0004-0000-0300-00000B000000}"/>
    <hyperlink ref="L8" r:id="rId13" xr:uid="{00000000-0004-0000-0300-00000C000000}"/>
    <hyperlink ref="M8" r:id="rId14" xr:uid="{00000000-0004-0000-0300-00000D000000}"/>
    <hyperlink ref="L9" r:id="rId15" xr:uid="{00000000-0004-0000-0300-00000E000000}"/>
    <hyperlink ref="M9" r:id="rId16" xr:uid="{00000000-0004-0000-0300-00000F000000}"/>
    <hyperlink ref="L10" r:id="rId17" xr:uid="{00000000-0004-0000-0300-000010000000}"/>
    <hyperlink ref="M10" r:id="rId18" xr:uid="{00000000-0004-0000-0300-000011000000}"/>
    <hyperlink ref="L11" r:id="rId19" xr:uid="{00000000-0004-0000-0300-000012000000}"/>
    <hyperlink ref="M11" r:id="rId20" xr:uid="{00000000-0004-0000-0300-000013000000}"/>
    <hyperlink ref="L12" r:id="rId21" xr:uid="{00000000-0004-0000-0300-000014000000}"/>
    <hyperlink ref="M12" r:id="rId22" xr:uid="{00000000-0004-0000-0300-000015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3"/>
  <sheetViews>
    <sheetView workbookViewId="0">
      <pane ySplit="1" topLeftCell="A2" activePane="bottomLeft" state="frozen"/>
      <selection pane="bottomLeft" activeCell="B7" sqref="B7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2" t="s">
        <v>104</v>
      </c>
      <c r="B2" s="2" t="s">
        <v>179</v>
      </c>
      <c r="C2" s="2" t="s">
        <v>180</v>
      </c>
      <c r="D2" s="2" t="s">
        <v>181</v>
      </c>
      <c r="E2" s="2" t="s">
        <v>182</v>
      </c>
      <c r="F2" s="2" t="s">
        <v>497</v>
      </c>
      <c r="G2" s="2" t="s">
        <v>550</v>
      </c>
      <c r="H2" s="2" t="s">
        <v>581</v>
      </c>
      <c r="I2" s="2" t="s">
        <v>500</v>
      </c>
      <c r="J2" s="2" t="s">
        <v>501</v>
      </c>
      <c r="K2" s="2" t="s">
        <v>582</v>
      </c>
      <c r="L2" s="9" t="s">
        <v>184</v>
      </c>
      <c r="M2" s="9" t="s">
        <v>185</v>
      </c>
    </row>
    <row r="3" spans="1:13" ht="48" customHeight="1" x14ac:dyDescent="0.25">
      <c r="A3" s="2" t="s">
        <v>104</v>
      </c>
      <c r="B3" s="2" t="s">
        <v>197</v>
      </c>
      <c r="C3" s="2" t="s">
        <v>85</v>
      </c>
      <c r="D3" s="2" t="s">
        <v>50</v>
      </c>
      <c r="E3" s="2" t="s">
        <v>198</v>
      </c>
      <c r="F3" s="2" t="s">
        <v>497</v>
      </c>
      <c r="G3" s="2" t="s">
        <v>553</v>
      </c>
      <c r="H3" s="2" t="s">
        <v>583</v>
      </c>
      <c r="I3" s="2" t="s">
        <v>500</v>
      </c>
      <c r="J3" s="2" t="s">
        <v>505</v>
      </c>
      <c r="K3" s="2" t="s">
        <v>511</v>
      </c>
      <c r="L3" s="9" t="s">
        <v>200</v>
      </c>
      <c r="M3" s="9" t="s">
        <v>201</v>
      </c>
    </row>
    <row r="4" spans="1:13" ht="48" customHeight="1" x14ac:dyDescent="0.25">
      <c r="A4" s="2" t="s">
        <v>104</v>
      </c>
      <c r="B4" s="2" t="s">
        <v>555</v>
      </c>
      <c r="C4" s="2" t="s">
        <v>187</v>
      </c>
      <c r="D4" s="2" t="s">
        <v>29</v>
      </c>
      <c r="E4" s="2" t="s">
        <v>182</v>
      </c>
      <c r="F4" s="2" t="s">
        <v>497</v>
      </c>
      <c r="G4" s="2" t="s">
        <v>556</v>
      </c>
      <c r="H4" s="2" t="s">
        <v>584</v>
      </c>
      <c r="I4" s="2" t="s">
        <v>500</v>
      </c>
      <c r="J4" s="2" t="s">
        <v>510</v>
      </c>
      <c r="K4" s="2" t="s">
        <v>511</v>
      </c>
      <c r="L4" s="9" t="s">
        <v>190</v>
      </c>
      <c r="M4" s="9" t="s">
        <v>191</v>
      </c>
    </row>
    <row r="5" spans="1:13" ht="48" customHeight="1" x14ac:dyDescent="0.25">
      <c r="A5" s="2" t="s">
        <v>104</v>
      </c>
      <c r="B5" s="2" t="s">
        <v>123</v>
      </c>
      <c r="C5" s="2" t="s">
        <v>124</v>
      </c>
      <c r="D5" s="2" t="s">
        <v>113</v>
      </c>
      <c r="E5" s="2" t="s">
        <v>125</v>
      </c>
      <c r="F5" s="2" t="s">
        <v>497</v>
      </c>
      <c r="G5" s="2" t="s">
        <v>512</v>
      </c>
      <c r="H5" s="2" t="s">
        <v>585</v>
      </c>
      <c r="I5" s="2" t="s">
        <v>500</v>
      </c>
      <c r="J5" s="2" t="s">
        <v>500</v>
      </c>
      <c r="K5" s="2" t="s">
        <v>514</v>
      </c>
      <c r="L5" s="9" t="s">
        <v>127</v>
      </c>
      <c r="M5" s="9" t="s">
        <v>128</v>
      </c>
    </row>
    <row r="6" spans="1:13" ht="48" customHeight="1" x14ac:dyDescent="0.25">
      <c r="A6" s="2" t="s">
        <v>104</v>
      </c>
      <c r="B6" s="2" t="s">
        <v>215</v>
      </c>
      <c r="C6" s="2" t="s">
        <v>216</v>
      </c>
      <c r="D6" s="2" t="s">
        <v>11</v>
      </c>
      <c r="E6" s="2" t="s">
        <v>217</v>
      </c>
      <c r="F6" s="2" t="s">
        <v>497</v>
      </c>
      <c r="G6" s="2" t="s">
        <v>586</v>
      </c>
      <c r="H6" s="2" t="s">
        <v>587</v>
      </c>
      <c r="I6" s="2" t="s">
        <v>500</v>
      </c>
      <c r="J6" s="2" t="s">
        <v>517</v>
      </c>
      <c r="K6" s="2" t="s">
        <v>511</v>
      </c>
      <c r="L6" s="9" t="s">
        <v>219</v>
      </c>
      <c r="M6" s="9" t="s">
        <v>220</v>
      </c>
    </row>
    <row r="7" spans="1:13" ht="48" customHeight="1" x14ac:dyDescent="0.25">
      <c r="A7" s="3" t="s">
        <v>8</v>
      </c>
      <c r="B7" s="3" t="s">
        <v>9</v>
      </c>
      <c r="C7" s="3" t="s">
        <v>10</v>
      </c>
      <c r="D7" s="3" t="s">
        <v>11</v>
      </c>
      <c r="E7" s="3" t="s">
        <v>12</v>
      </c>
      <c r="F7" s="3" t="s">
        <v>588</v>
      </c>
      <c r="G7" s="3" t="s">
        <v>589</v>
      </c>
      <c r="H7" s="3" t="s">
        <v>590</v>
      </c>
      <c r="I7" s="3" t="s">
        <v>591</v>
      </c>
      <c r="J7" s="3" t="s">
        <v>500</v>
      </c>
      <c r="K7" s="3" t="s">
        <v>592</v>
      </c>
      <c r="L7" s="6" t="s">
        <v>14</v>
      </c>
      <c r="M7" s="6" t="s">
        <v>15</v>
      </c>
    </row>
    <row r="8" spans="1:13" ht="48" customHeight="1" x14ac:dyDescent="0.25">
      <c r="A8" s="3" t="s">
        <v>8</v>
      </c>
      <c r="B8" s="3" t="s">
        <v>27</v>
      </c>
      <c r="C8" s="3" t="s">
        <v>28</v>
      </c>
      <c r="D8" s="3" t="s">
        <v>29</v>
      </c>
      <c r="E8" s="3" t="s">
        <v>30</v>
      </c>
      <c r="F8" s="3" t="s">
        <v>567</v>
      </c>
      <c r="G8" s="3" t="s">
        <v>568</v>
      </c>
      <c r="H8" s="3" t="s">
        <v>593</v>
      </c>
      <c r="I8" s="3" t="s">
        <v>594</v>
      </c>
      <c r="J8" s="3" t="s">
        <v>500</v>
      </c>
      <c r="K8" s="3" t="s">
        <v>511</v>
      </c>
      <c r="L8" s="6" t="s">
        <v>32</v>
      </c>
      <c r="M8" s="6" t="s">
        <v>33</v>
      </c>
    </row>
    <row r="9" spans="1:13" ht="48" customHeight="1" x14ac:dyDescent="0.25">
      <c r="A9" s="3" t="s">
        <v>8</v>
      </c>
      <c r="B9" s="3" t="s">
        <v>49</v>
      </c>
      <c r="C9" s="3" t="s">
        <v>41</v>
      </c>
      <c r="D9" s="3" t="s">
        <v>50</v>
      </c>
      <c r="E9" s="3" t="s">
        <v>51</v>
      </c>
      <c r="F9" s="3" t="s">
        <v>497</v>
      </c>
      <c r="G9" s="3" t="s">
        <v>572</v>
      </c>
      <c r="H9" s="3" t="s">
        <v>595</v>
      </c>
      <c r="I9" s="3" t="s">
        <v>594</v>
      </c>
      <c r="J9" s="3" t="s">
        <v>500</v>
      </c>
      <c r="K9" s="3" t="s">
        <v>511</v>
      </c>
      <c r="L9" s="6" t="s">
        <v>53</v>
      </c>
      <c r="M9" s="6" t="s">
        <v>54</v>
      </c>
    </row>
    <row r="10" spans="1:13" ht="48" customHeight="1" x14ac:dyDescent="0.25">
      <c r="A10" s="3" t="s">
        <v>8</v>
      </c>
      <c r="B10" s="3" t="s">
        <v>69</v>
      </c>
      <c r="C10" s="3" t="s">
        <v>70</v>
      </c>
      <c r="D10" s="3" t="s">
        <v>11</v>
      </c>
      <c r="E10" s="3" t="s">
        <v>71</v>
      </c>
      <c r="F10" s="3" t="s">
        <v>588</v>
      </c>
      <c r="G10" s="3" t="s">
        <v>596</v>
      </c>
      <c r="H10" s="3" t="s">
        <v>597</v>
      </c>
      <c r="I10" s="3" t="s">
        <v>594</v>
      </c>
      <c r="J10" s="3" t="s">
        <v>500</v>
      </c>
      <c r="K10" s="3" t="s">
        <v>598</v>
      </c>
      <c r="L10" s="6" t="s">
        <v>73</v>
      </c>
      <c r="M10" s="6" t="s">
        <v>74</v>
      </c>
    </row>
    <row r="11" spans="1:13" ht="48" customHeight="1" x14ac:dyDescent="0.25">
      <c r="A11" s="3" t="s">
        <v>8</v>
      </c>
      <c r="B11" s="3" t="s">
        <v>129</v>
      </c>
      <c r="C11" s="3" t="s">
        <v>85</v>
      </c>
      <c r="D11" s="3" t="s">
        <v>113</v>
      </c>
      <c r="E11" s="3" t="s">
        <v>125</v>
      </c>
      <c r="F11" s="3" t="s">
        <v>497</v>
      </c>
      <c r="G11" s="3" t="s">
        <v>599</v>
      </c>
      <c r="H11" s="3" t="s">
        <v>600</v>
      </c>
      <c r="I11" s="3" t="s">
        <v>601</v>
      </c>
      <c r="J11" s="3" t="s">
        <v>602</v>
      </c>
      <c r="K11" s="3" t="s">
        <v>511</v>
      </c>
      <c r="L11" s="6" t="s">
        <v>131</v>
      </c>
      <c r="M11" s="6" t="s">
        <v>132</v>
      </c>
    </row>
    <row r="12" spans="1:13" ht="48" customHeight="1" x14ac:dyDescent="0.25">
      <c r="A12" s="3" t="s">
        <v>8</v>
      </c>
      <c r="B12" s="3" t="s">
        <v>77</v>
      </c>
      <c r="C12" s="3" t="s">
        <v>78</v>
      </c>
      <c r="D12" s="3" t="s">
        <v>79</v>
      </c>
      <c r="E12" s="3" t="s">
        <v>80</v>
      </c>
      <c r="F12" s="3" t="s">
        <v>588</v>
      </c>
      <c r="G12" s="3" t="s">
        <v>534</v>
      </c>
      <c r="H12" s="3" t="s">
        <v>603</v>
      </c>
      <c r="I12" s="3" t="s">
        <v>604</v>
      </c>
      <c r="J12" s="3" t="s">
        <v>605</v>
      </c>
      <c r="K12" s="3" t="s">
        <v>511</v>
      </c>
      <c r="L12" s="6" t="s">
        <v>82</v>
      </c>
      <c r="M12" s="6" t="s">
        <v>83</v>
      </c>
    </row>
    <row r="13" spans="1:13" ht="48" customHeight="1" x14ac:dyDescent="0.25">
      <c r="A13" s="3" t="s">
        <v>8</v>
      </c>
      <c r="B13" s="3" t="s">
        <v>133</v>
      </c>
      <c r="C13" s="3" t="s">
        <v>19</v>
      </c>
      <c r="D13" s="3" t="s">
        <v>20</v>
      </c>
      <c r="E13" s="3" t="s">
        <v>125</v>
      </c>
      <c r="F13" s="3" t="s">
        <v>20</v>
      </c>
      <c r="G13" s="3" t="s">
        <v>606</v>
      </c>
      <c r="H13" s="3" t="s">
        <v>607</v>
      </c>
      <c r="I13" s="3" t="s">
        <v>608</v>
      </c>
      <c r="J13" s="3" t="s">
        <v>609</v>
      </c>
      <c r="K13" s="3" t="s">
        <v>610</v>
      </c>
      <c r="L13" s="6" t="s">
        <v>135</v>
      </c>
      <c r="M13" s="6" t="s">
        <v>24</v>
      </c>
    </row>
  </sheetData>
  <autoFilter ref="A1:M13" xr:uid="{00000000-0009-0000-0000-000004000000}"/>
  <phoneticPr fontId="4" type="noConversion"/>
  <hyperlinks>
    <hyperlink ref="L2" r:id="rId1" xr:uid="{00000000-0004-0000-0400-000000000000}"/>
    <hyperlink ref="M2" r:id="rId2" xr:uid="{00000000-0004-0000-0400-000001000000}"/>
    <hyperlink ref="L3" r:id="rId3" xr:uid="{00000000-0004-0000-0400-000002000000}"/>
    <hyperlink ref="M3" r:id="rId4" xr:uid="{00000000-0004-0000-0400-000003000000}"/>
    <hyperlink ref="L4" r:id="rId5" xr:uid="{00000000-0004-0000-0400-000004000000}"/>
    <hyperlink ref="M4" r:id="rId6" xr:uid="{00000000-0004-0000-0400-000005000000}"/>
    <hyperlink ref="L5" r:id="rId7" xr:uid="{00000000-0004-0000-0400-000006000000}"/>
    <hyperlink ref="M5" r:id="rId8" xr:uid="{00000000-0004-0000-0400-000007000000}"/>
    <hyperlink ref="L6" r:id="rId9" xr:uid="{00000000-0004-0000-0400-000008000000}"/>
    <hyperlink ref="M6" r:id="rId10" xr:uid="{00000000-0004-0000-0400-000009000000}"/>
    <hyperlink ref="L7" r:id="rId11" xr:uid="{00000000-0004-0000-0400-00000A000000}"/>
    <hyperlink ref="M7" r:id="rId12" xr:uid="{00000000-0004-0000-0400-00000B000000}"/>
    <hyperlink ref="L8" r:id="rId13" xr:uid="{00000000-0004-0000-0400-00000C000000}"/>
    <hyperlink ref="M8" r:id="rId14" xr:uid="{00000000-0004-0000-0400-00000D000000}"/>
    <hyperlink ref="L9" r:id="rId15" xr:uid="{00000000-0004-0000-0400-00000E000000}"/>
    <hyperlink ref="M9" r:id="rId16" xr:uid="{00000000-0004-0000-0400-00000F000000}"/>
    <hyperlink ref="L10" r:id="rId17" xr:uid="{00000000-0004-0000-0400-000010000000}"/>
    <hyperlink ref="M10" r:id="rId18" xr:uid="{00000000-0004-0000-0400-000011000000}"/>
    <hyperlink ref="L11" r:id="rId19" xr:uid="{00000000-0004-0000-0400-000012000000}"/>
    <hyperlink ref="M11" r:id="rId20" xr:uid="{00000000-0004-0000-0400-000013000000}"/>
    <hyperlink ref="L12" r:id="rId21" xr:uid="{00000000-0004-0000-0400-000014000000}"/>
    <hyperlink ref="M12" r:id="rId22" xr:uid="{00000000-0004-0000-0400-000015000000}"/>
    <hyperlink ref="L13" r:id="rId23" xr:uid="{00000000-0004-0000-0400-000016000000}"/>
    <hyperlink ref="M13" r:id="rId24" xr:uid="{00000000-0004-0000-0400-000017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3"/>
  <sheetViews>
    <sheetView workbookViewId="0">
      <pane ySplit="1" topLeftCell="A3" activePane="bottomLeft" state="frozen"/>
      <selection pane="bottomLeft" activeCell="B7" sqref="B7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2" t="s">
        <v>104</v>
      </c>
      <c r="B2" s="2" t="s">
        <v>179</v>
      </c>
      <c r="C2" s="2" t="s">
        <v>180</v>
      </c>
      <c r="D2" s="2" t="s">
        <v>181</v>
      </c>
      <c r="E2" s="2" t="s">
        <v>182</v>
      </c>
      <c r="F2" s="2" t="s">
        <v>497</v>
      </c>
      <c r="G2" s="2" t="s">
        <v>550</v>
      </c>
      <c r="H2" s="2" t="s">
        <v>581</v>
      </c>
      <c r="I2" s="2" t="s">
        <v>500</v>
      </c>
      <c r="J2" s="2" t="s">
        <v>501</v>
      </c>
      <c r="K2" s="2" t="s">
        <v>582</v>
      </c>
      <c r="L2" s="9" t="s">
        <v>184</v>
      </c>
      <c r="M2" s="9" t="s">
        <v>185</v>
      </c>
    </row>
    <row r="3" spans="1:13" ht="48" customHeight="1" x14ac:dyDescent="0.25">
      <c r="A3" s="2" t="s">
        <v>104</v>
      </c>
      <c r="B3" s="2" t="s">
        <v>197</v>
      </c>
      <c r="C3" s="2" t="s">
        <v>85</v>
      </c>
      <c r="D3" s="2" t="s">
        <v>50</v>
      </c>
      <c r="E3" s="2" t="s">
        <v>198</v>
      </c>
      <c r="F3" s="2" t="s">
        <v>497</v>
      </c>
      <c r="G3" s="2" t="s">
        <v>553</v>
      </c>
      <c r="H3" s="2" t="s">
        <v>583</v>
      </c>
      <c r="I3" s="2" t="s">
        <v>500</v>
      </c>
      <c r="J3" s="2" t="s">
        <v>505</v>
      </c>
      <c r="K3" s="2" t="s">
        <v>511</v>
      </c>
      <c r="L3" s="9" t="s">
        <v>200</v>
      </c>
      <c r="M3" s="9" t="s">
        <v>201</v>
      </c>
    </row>
    <row r="4" spans="1:13" ht="48" customHeight="1" x14ac:dyDescent="0.25">
      <c r="A4" s="2" t="s">
        <v>104</v>
      </c>
      <c r="B4" s="2" t="s">
        <v>555</v>
      </c>
      <c r="C4" s="2" t="s">
        <v>187</v>
      </c>
      <c r="D4" s="2" t="s">
        <v>29</v>
      </c>
      <c r="E4" s="2" t="s">
        <v>182</v>
      </c>
      <c r="F4" s="2" t="s">
        <v>497</v>
      </c>
      <c r="G4" s="2" t="s">
        <v>556</v>
      </c>
      <c r="H4" s="2" t="s">
        <v>584</v>
      </c>
      <c r="I4" s="2" t="s">
        <v>500</v>
      </c>
      <c r="J4" s="2" t="s">
        <v>510</v>
      </c>
      <c r="K4" s="2" t="s">
        <v>511</v>
      </c>
      <c r="L4" s="9" t="s">
        <v>190</v>
      </c>
      <c r="M4" s="9" t="s">
        <v>191</v>
      </c>
    </row>
    <row r="5" spans="1:13" ht="48" customHeight="1" x14ac:dyDescent="0.25">
      <c r="A5" s="2" t="s">
        <v>104</v>
      </c>
      <c r="B5" s="2" t="s">
        <v>123</v>
      </c>
      <c r="C5" s="2" t="s">
        <v>124</v>
      </c>
      <c r="D5" s="2" t="s">
        <v>113</v>
      </c>
      <c r="E5" s="2" t="s">
        <v>125</v>
      </c>
      <c r="F5" s="2" t="s">
        <v>497</v>
      </c>
      <c r="G5" s="2" t="s">
        <v>512</v>
      </c>
      <c r="H5" s="2" t="s">
        <v>585</v>
      </c>
      <c r="I5" s="2" t="s">
        <v>500</v>
      </c>
      <c r="J5" s="2" t="s">
        <v>500</v>
      </c>
      <c r="K5" s="2" t="s">
        <v>514</v>
      </c>
      <c r="L5" s="9" t="s">
        <v>127</v>
      </c>
      <c r="M5" s="9" t="s">
        <v>128</v>
      </c>
    </row>
    <row r="6" spans="1:13" ht="48" customHeight="1" x14ac:dyDescent="0.25">
      <c r="A6" s="2" t="s">
        <v>104</v>
      </c>
      <c r="B6" s="2" t="s">
        <v>215</v>
      </c>
      <c r="C6" s="2" t="s">
        <v>216</v>
      </c>
      <c r="D6" s="2" t="s">
        <v>11</v>
      </c>
      <c r="E6" s="2" t="s">
        <v>217</v>
      </c>
      <c r="F6" s="2" t="s">
        <v>497</v>
      </c>
      <c r="G6" s="2" t="s">
        <v>586</v>
      </c>
      <c r="H6" s="2" t="s">
        <v>587</v>
      </c>
      <c r="I6" s="2" t="s">
        <v>500</v>
      </c>
      <c r="J6" s="2" t="s">
        <v>517</v>
      </c>
      <c r="K6" s="2" t="s">
        <v>511</v>
      </c>
      <c r="L6" s="9" t="s">
        <v>219</v>
      </c>
      <c r="M6" s="9" t="s">
        <v>220</v>
      </c>
    </row>
    <row r="7" spans="1:13" ht="48" customHeight="1" x14ac:dyDescent="0.25">
      <c r="A7" s="3" t="s">
        <v>8</v>
      </c>
      <c r="B7" s="3" t="s">
        <v>9</v>
      </c>
      <c r="C7" s="3" t="s">
        <v>10</v>
      </c>
      <c r="D7" s="3" t="s">
        <v>11</v>
      </c>
      <c r="E7" s="3" t="s">
        <v>12</v>
      </c>
      <c r="F7" s="3" t="s">
        <v>588</v>
      </c>
      <c r="G7" s="3" t="s">
        <v>589</v>
      </c>
      <c r="H7" s="3" t="s">
        <v>590</v>
      </c>
      <c r="I7" s="3" t="s">
        <v>591</v>
      </c>
      <c r="J7" s="3" t="s">
        <v>500</v>
      </c>
      <c r="K7" s="3" t="s">
        <v>592</v>
      </c>
      <c r="L7" s="6" t="s">
        <v>14</v>
      </c>
      <c r="M7" s="6" t="s">
        <v>15</v>
      </c>
    </row>
    <row r="8" spans="1:13" ht="48" customHeight="1" x14ac:dyDescent="0.25">
      <c r="A8" s="3" t="s">
        <v>8</v>
      </c>
      <c r="B8" s="3" t="s">
        <v>27</v>
      </c>
      <c r="C8" s="3" t="s">
        <v>28</v>
      </c>
      <c r="D8" s="3" t="s">
        <v>29</v>
      </c>
      <c r="E8" s="3" t="s">
        <v>30</v>
      </c>
      <c r="F8" s="3" t="s">
        <v>567</v>
      </c>
      <c r="G8" s="3" t="s">
        <v>568</v>
      </c>
      <c r="H8" s="3" t="s">
        <v>593</v>
      </c>
      <c r="I8" s="3" t="s">
        <v>594</v>
      </c>
      <c r="J8" s="3" t="s">
        <v>500</v>
      </c>
      <c r="K8" s="3" t="s">
        <v>511</v>
      </c>
      <c r="L8" s="6" t="s">
        <v>32</v>
      </c>
      <c r="M8" s="6" t="s">
        <v>33</v>
      </c>
    </row>
    <row r="9" spans="1:13" ht="48" customHeight="1" x14ac:dyDescent="0.25">
      <c r="A9" s="3" t="s">
        <v>8</v>
      </c>
      <c r="B9" s="3" t="s">
        <v>49</v>
      </c>
      <c r="C9" s="3" t="s">
        <v>41</v>
      </c>
      <c r="D9" s="3" t="s">
        <v>50</v>
      </c>
      <c r="E9" s="3" t="s">
        <v>51</v>
      </c>
      <c r="F9" s="3" t="s">
        <v>497</v>
      </c>
      <c r="G9" s="3" t="s">
        <v>572</v>
      </c>
      <c r="H9" s="3" t="s">
        <v>595</v>
      </c>
      <c r="I9" s="3" t="s">
        <v>594</v>
      </c>
      <c r="J9" s="3" t="s">
        <v>500</v>
      </c>
      <c r="K9" s="3" t="s">
        <v>511</v>
      </c>
      <c r="L9" s="6" t="s">
        <v>53</v>
      </c>
      <c r="M9" s="6" t="s">
        <v>54</v>
      </c>
    </row>
    <row r="10" spans="1:13" ht="48" customHeight="1" x14ac:dyDescent="0.25">
      <c r="A10" s="3" t="s">
        <v>8</v>
      </c>
      <c r="B10" s="3" t="s">
        <v>69</v>
      </c>
      <c r="C10" s="3" t="s">
        <v>70</v>
      </c>
      <c r="D10" s="3" t="s">
        <v>11</v>
      </c>
      <c r="E10" s="3" t="s">
        <v>71</v>
      </c>
      <c r="F10" s="3" t="s">
        <v>588</v>
      </c>
      <c r="G10" s="3" t="s">
        <v>596</v>
      </c>
      <c r="H10" s="3" t="s">
        <v>597</v>
      </c>
      <c r="I10" s="3" t="s">
        <v>594</v>
      </c>
      <c r="J10" s="3" t="s">
        <v>500</v>
      </c>
      <c r="K10" s="3" t="s">
        <v>598</v>
      </c>
      <c r="L10" s="6" t="s">
        <v>73</v>
      </c>
      <c r="M10" s="6" t="s">
        <v>74</v>
      </c>
    </row>
    <row r="11" spans="1:13" ht="48" customHeight="1" x14ac:dyDescent="0.25">
      <c r="A11" s="3" t="s">
        <v>8</v>
      </c>
      <c r="B11" s="3" t="s">
        <v>129</v>
      </c>
      <c r="C11" s="3" t="s">
        <v>85</v>
      </c>
      <c r="D11" s="3" t="s">
        <v>113</v>
      </c>
      <c r="E11" s="3" t="s">
        <v>125</v>
      </c>
      <c r="F11" s="3" t="s">
        <v>497</v>
      </c>
      <c r="G11" s="3" t="s">
        <v>599</v>
      </c>
      <c r="H11" s="3" t="s">
        <v>600</v>
      </c>
      <c r="I11" s="3" t="s">
        <v>601</v>
      </c>
      <c r="J11" s="3" t="s">
        <v>602</v>
      </c>
      <c r="K11" s="3" t="s">
        <v>511</v>
      </c>
      <c r="L11" s="6" t="s">
        <v>131</v>
      </c>
      <c r="M11" s="6" t="s">
        <v>132</v>
      </c>
    </row>
    <row r="12" spans="1:13" ht="48" customHeight="1" x14ac:dyDescent="0.25">
      <c r="A12" s="3" t="s">
        <v>8</v>
      </c>
      <c r="B12" s="3" t="s">
        <v>77</v>
      </c>
      <c r="C12" s="3" t="s">
        <v>78</v>
      </c>
      <c r="D12" s="3" t="s">
        <v>79</v>
      </c>
      <c r="E12" s="3" t="s">
        <v>80</v>
      </c>
      <c r="F12" s="3" t="s">
        <v>588</v>
      </c>
      <c r="G12" s="3" t="s">
        <v>534</v>
      </c>
      <c r="H12" s="3" t="s">
        <v>603</v>
      </c>
      <c r="I12" s="3" t="s">
        <v>604</v>
      </c>
      <c r="J12" s="3" t="s">
        <v>605</v>
      </c>
      <c r="K12" s="3" t="s">
        <v>511</v>
      </c>
      <c r="L12" s="6" t="s">
        <v>82</v>
      </c>
      <c r="M12" s="6" t="s">
        <v>83</v>
      </c>
    </row>
    <row r="13" spans="1:13" ht="48" customHeight="1" x14ac:dyDescent="0.25">
      <c r="A13" s="3" t="s">
        <v>8</v>
      </c>
      <c r="B13" s="3" t="s">
        <v>133</v>
      </c>
      <c r="C13" s="3" t="s">
        <v>19</v>
      </c>
      <c r="D13" s="3" t="s">
        <v>20</v>
      </c>
      <c r="E13" s="3" t="s">
        <v>125</v>
      </c>
      <c r="F13" s="3" t="s">
        <v>20</v>
      </c>
      <c r="G13" s="3" t="s">
        <v>606</v>
      </c>
      <c r="H13" s="3" t="s">
        <v>607</v>
      </c>
      <c r="I13" s="3" t="s">
        <v>608</v>
      </c>
      <c r="J13" s="3" t="s">
        <v>609</v>
      </c>
      <c r="K13" s="3" t="s">
        <v>610</v>
      </c>
      <c r="L13" s="6" t="s">
        <v>135</v>
      </c>
      <c r="M13" s="6" t="s">
        <v>24</v>
      </c>
    </row>
  </sheetData>
  <autoFilter ref="A1:M13" xr:uid="{00000000-0009-0000-0000-000005000000}"/>
  <phoneticPr fontId="4" type="noConversion"/>
  <hyperlinks>
    <hyperlink ref="L2" r:id="rId1" xr:uid="{00000000-0004-0000-0500-000000000000}"/>
    <hyperlink ref="M2" r:id="rId2" xr:uid="{00000000-0004-0000-0500-000001000000}"/>
    <hyperlink ref="L3" r:id="rId3" xr:uid="{00000000-0004-0000-0500-000002000000}"/>
    <hyperlink ref="M3" r:id="rId4" xr:uid="{00000000-0004-0000-0500-000003000000}"/>
    <hyperlink ref="L4" r:id="rId5" xr:uid="{00000000-0004-0000-0500-000004000000}"/>
    <hyperlink ref="M4" r:id="rId6" xr:uid="{00000000-0004-0000-0500-000005000000}"/>
    <hyperlink ref="L5" r:id="rId7" xr:uid="{00000000-0004-0000-0500-000006000000}"/>
    <hyperlink ref="M5" r:id="rId8" xr:uid="{00000000-0004-0000-0500-000007000000}"/>
    <hyperlink ref="L6" r:id="rId9" xr:uid="{00000000-0004-0000-0500-000008000000}"/>
    <hyperlink ref="M6" r:id="rId10" xr:uid="{00000000-0004-0000-0500-000009000000}"/>
    <hyperlink ref="L7" r:id="rId11" xr:uid="{00000000-0004-0000-0500-00000A000000}"/>
    <hyperlink ref="M7" r:id="rId12" xr:uid="{00000000-0004-0000-0500-00000B000000}"/>
    <hyperlink ref="L8" r:id="rId13" xr:uid="{00000000-0004-0000-0500-00000C000000}"/>
    <hyperlink ref="M8" r:id="rId14" xr:uid="{00000000-0004-0000-0500-00000D000000}"/>
    <hyperlink ref="L9" r:id="rId15" xr:uid="{00000000-0004-0000-0500-00000E000000}"/>
    <hyperlink ref="M9" r:id="rId16" xr:uid="{00000000-0004-0000-0500-00000F000000}"/>
    <hyperlink ref="L10" r:id="rId17" xr:uid="{00000000-0004-0000-0500-000010000000}"/>
    <hyperlink ref="M10" r:id="rId18" xr:uid="{00000000-0004-0000-0500-000011000000}"/>
    <hyperlink ref="L11" r:id="rId19" xr:uid="{00000000-0004-0000-0500-000012000000}"/>
    <hyperlink ref="M11" r:id="rId20" xr:uid="{00000000-0004-0000-0500-000013000000}"/>
    <hyperlink ref="L12" r:id="rId21" xr:uid="{00000000-0004-0000-0500-000014000000}"/>
    <hyperlink ref="M12" r:id="rId22" xr:uid="{00000000-0004-0000-0500-000015000000}"/>
    <hyperlink ref="L13" r:id="rId23" xr:uid="{00000000-0004-0000-0500-000016000000}"/>
    <hyperlink ref="M13" r:id="rId24" xr:uid="{00000000-0004-0000-0500-000017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2"/>
  <sheetViews>
    <sheetView workbookViewId="0">
      <pane ySplit="1" topLeftCell="A6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2" t="s">
        <v>104</v>
      </c>
      <c r="B2" s="2" t="s">
        <v>611</v>
      </c>
      <c r="C2" s="2" t="s">
        <v>612</v>
      </c>
      <c r="D2" s="2" t="s">
        <v>181</v>
      </c>
      <c r="E2" s="2" t="s">
        <v>613</v>
      </c>
      <c r="F2" s="2" t="s">
        <v>497</v>
      </c>
      <c r="G2" s="2" t="s">
        <v>614</v>
      </c>
      <c r="H2" s="2" t="s">
        <v>615</v>
      </c>
      <c r="I2" s="2" t="s">
        <v>500</v>
      </c>
      <c r="J2" s="2" t="s">
        <v>616</v>
      </c>
      <c r="K2" s="2" t="s">
        <v>617</v>
      </c>
      <c r="L2" s="9" t="s">
        <v>618</v>
      </c>
      <c r="M2" s="9" t="s">
        <v>619</v>
      </c>
    </row>
    <row r="3" spans="1:13" ht="48" customHeight="1" x14ac:dyDescent="0.25">
      <c r="A3" s="2" t="s">
        <v>104</v>
      </c>
      <c r="B3" s="2" t="s">
        <v>620</v>
      </c>
      <c r="C3" s="2" t="s">
        <v>612</v>
      </c>
      <c r="D3" s="2" t="s">
        <v>181</v>
      </c>
      <c r="E3" s="2" t="s">
        <v>613</v>
      </c>
      <c r="F3" s="2" t="s">
        <v>497</v>
      </c>
      <c r="G3" s="2" t="s">
        <v>621</v>
      </c>
      <c r="H3" s="2" t="s">
        <v>622</v>
      </c>
      <c r="I3" s="2" t="s">
        <v>500</v>
      </c>
      <c r="J3" s="2" t="s">
        <v>623</v>
      </c>
      <c r="K3" s="2" t="s">
        <v>617</v>
      </c>
      <c r="L3" s="9" t="s">
        <v>618</v>
      </c>
      <c r="M3" s="9" t="s">
        <v>619</v>
      </c>
    </row>
    <row r="4" spans="1:13" ht="48" customHeight="1" x14ac:dyDescent="0.25">
      <c r="A4" s="2" t="s">
        <v>104</v>
      </c>
      <c r="B4" s="2" t="s">
        <v>624</v>
      </c>
      <c r="C4" s="2" t="s">
        <v>612</v>
      </c>
      <c r="D4" s="2" t="s">
        <v>181</v>
      </c>
      <c r="E4" s="2" t="s">
        <v>613</v>
      </c>
      <c r="F4" s="2" t="s">
        <v>497</v>
      </c>
      <c r="G4" s="2" t="s">
        <v>625</v>
      </c>
      <c r="H4" s="2" t="s">
        <v>626</v>
      </c>
      <c r="I4" s="2" t="s">
        <v>500</v>
      </c>
      <c r="J4" s="2" t="s">
        <v>627</v>
      </c>
      <c r="K4" s="2" t="s">
        <v>617</v>
      </c>
      <c r="L4" s="9" t="s">
        <v>618</v>
      </c>
      <c r="M4" s="9" t="s">
        <v>619</v>
      </c>
    </row>
    <row r="5" spans="1:13" ht="48" customHeight="1" x14ac:dyDescent="0.25">
      <c r="A5" s="2" t="s">
        <v>104</v>
      </c>
      <c r="B5" s="2" t="s">
        <v>628</v>
      </c>
      <c r="C5" s="2" t="s">
        <v>612</v>
      </c>
      <c r="D5" s="2" t="s">
        <v>181</v>
      </c>
      <c r="E5" s="2" t="s">
        <v>613</v>
      </c>
      <c r="F5" s="2" t="s">
        <v>497</v>
      </c>
      <c r="G5" s="2" t="s">
        <v>629</v>
      </c>
      <c r="H5" s="2" t="s">
        <v>630</v>
      </c>
      <c r="I5" s="2" t="s">
        <v>500</v>
      </c>
      <c r="J5" s="2" t="s">
        <v>631</v>
      </c>
      <c r="K5" s="2" t="s">
        <v>617</v>
      </c>
      <c r="L5" s="9" t="s">
        <v>618</v>
      </c>
      <c r="M5" s="9" t="s">
        <v>619</v>
      </c>
    </row>
    <row r="6" spans="1:13" ht="48" customHeight="1" x14ac:dyDescent="0.25">
      <c r="A6" s="2" t="s">
        <v>104</v>
      </c>
      <c r="B6" s="2" t="s">
        <v>197</v>
      </c>
      <c r="C6" s="2" t="s">
        <v>85</v>
      </c>
      <c r="D6" s="2" t="s">
        <v>50</v>
      </c>
      <c r="E6" s="2" t="s">
        <v>198</v>
      </c>
      <c r="F6" s="2" t="s">
        <v>497</v>
      </c>
      <c r="G6" s="2" t="s">
        <v>632</v>
      </c>
      <c r="H6" s="2" t="s">
        <v>633</v>
      </c>
      <c r="I6" s="2" t="s">
        <v>500</v>
      </c>
      <c r="J6" s="2" t="s">
        <v>505</v>
      </c>
      <c r="K6" s="2" t="s">
        <v>634</v>
      </c>
      <c r="L6" s="9" t="s">
        <v>200</v>
      </c>
      <c r="M6" s="9" t="s">
        <v>201</v>
      </c>
    </row>
    <row r="7" spans="1:13" ht="48" customHeight="1" x14ac:dyDescent="0.25">
      <c r="A7" s="2" t="s">
        <v>104</v>
      </c>
      <c r="B7" s="2" t="s">
        <v>555</v>
      </c>
      <c r="C7" s="2" t="s">
        <v>187</v>
      </c>
      <c r="D7" s="2" t="s">
        <v>29</v>
      </c>
      <c r="E7" s="2" t="s">
        <v>182</v>
      </c>
      <c r="F7" s="2" t="s">
        <v>497</v>
      </c>
      <c r="G7" s="2" t="s">
        <v>632</v>
      </c>
      <c r="H7" s="2" t="s">
        <v>632</v>
      </c>
      <c r="I7" s="2" t="s">
        <v>500</v>
      </c>
      <c r="J7" s="2" t="s">
        <v>510</v>
      </c>
      <c r="K7" s="2" t="s">
        <v>632</v>
      </c>
      <c r="L7" s="9" t="s">
        <v>190</v>
      </c>
      <c r="M7" s="9" t="s">
        <v>191</v>
      </c>
    </row>
    <row r="8" spans="1:13" ht="48" customHeight="1" x14ac:dyDescent="0.25">
      <c r="A8" s="2" t="s">
        <v>104</v>
      </c>
      <c r="B8" s="2" t="s">
        <v>635</v>
      </c>
      <c r="C8" s="2" t="s">
        <v>180</v>
      </c>
      <c r="D8" s="2" t="s">
        <v>181</v>
      </c>
      <c r="E8" s="2" t="s">
        <v>182</v>
      </c>
      <c r="F8" s="2" t="s">
        <v>497</v>
      </c>
      <c r="G8" s="2" t="s">
        <v>632</v>
      </c>
      <c r="H8" s="2" t="s">
        <v>632</v>
      </c>
      <c r="I8" s="2" t="s">
        <v>500</v>
      </c>
      <c r="J8" s="2" t="s">
        <v>501</v>
      </c>
      <c r="K8" s="2" t="s">
        <v>632</v>
      </c>
      <c r="L8" s="9" t="s">
        <v>184</v>
      </c>
      <c r="M8" s="9" t="s">
        <v>185</v>
      </c>
    </row>
    <row r="9" spans="1:13" ht="48" customHeight="1" x14ac:dyDescent="0.25">
      <c r="A9" s="2" t="s">
        <v>104</v>
      </c>
      <c r="B9" s="2" t="s">
        <v>215</v>
      </c>
      <c r="C9" s="2" t="s">
        <v>216</v>
      </c>
      <c r="D9" s="2" t="s">
        <v>11</v>
      </c>
      <c r="E9" s="2" t="s">
        <v>217</v>
      </c>
      <c r="F9" s="2" t="s">
        <v>497</v>
      </c>
      <c r="G9" s="2" t="s">
        <v>632</v>
      </c>
      <c r="H9" s="2" t="s">
        <v>632</v>
      </c>
      <c r="I9" s="2" t="s">
        <v>500</v>
      </c>
      <c r="J9" s="2" t="s">
        <v>517</v>
      </c>
      <c r="K9" s="2" t="s">
        <v>632</v>
      </c>
      <c r="L9" s="9" t="s">
        <v>219</v>
      </c>
      <c r="M9" s="9" t="s">
        <v>220</v>
      </c>
    </row>
    <row r="10" spans="1:13" ht="48" customHeight="1" x14ac:dyDescent="0.25">
      <c r="A10" s="3" t="s">
        <v>8</v>
      </c>
      <c r="B10" s="3" t="s">
        <v>227</v>
      </c>
      <c r="C10" s="3" t="s">
        <v>636</v>
      </c>
      <c r="D10" s="3" t="s">
        <v>637</v>
      </c>
      <c r="E10" s="3" t="s">
        <v>638</v>
      </c>
      <c r="F10" s="3" t="s">
        <v>639</v>
      </c>
      <c r="G10" s="3" t="s">
        <v>632</v>
      </c>
      <c r="H10" s="3" t="s">
        <v>632</v>
      </c>
      <c r="I10" s="3" t="s">
        <v>640</v>
      </c>
      <c r="J10" s="3" t="s">
        <v>641</v>
      </c>
      <c r="K10" s="3" t="s">
        <v>642</v>
      </c>
      <c r="L10" s="6" t="s">
        <v>231</v>
      </c>
      <c r="M10" s="6" t="s">
        <v>24</v>
      </c>
    </row>
    <row r="11" spans="1:13" ht="48" customHeight="1" x14ac:dyDescent="0.25">
      <c r="A11" s="3" t="s">
        <v>8</v>
      </c>
      <c r="B11" s="3" t="s">
        <v>643</v>
      </c>
      <c r="C11" s="3" t="s">
        <v>636</v>
      </c>
      <c r="D11" s="3" t="s">
        <v>637</v>
      </c>
      <c r="E11" s="3" t="s">
        <v>644</v>
      </c>
      <c r="F11" s="3" t="s">
        <v>639</v>
      </c>
      <c r="G11" s="3" t="s">
        <v>632</v>
      </c>
      <c r="H11" s="3" t="s">
        <v>632</v>
      </c>
      <c r="I11" s="3" t="s">
        <v>645</v>
      </c>
      <c r="J11" s="3" t="s">
        <v>646</v>
      </c>
      <c r="K11" s="3" t="s">
        <v>642</v>
      </c>
      <c r="L11" s="6" t="s">
        <v>146</v>
      </c>
      <c r="M11" s="6" t="s">
        <v>141</v>
      </c>
    </row>
    <row r="12" spans="1:13" ht="48" customHeight="1" x14ac:dyDescent="0.25">
      <c r="A12" s="2" t="s">
        <v>104</v>
      </c>
      <c r="B12" s="2" t="s">
        <v>162</v>
      </c>
      <c r="C12" s="2" t="s">
        <v>647</v>
      </c>
      <c r="D12" s="2" t="s">
        <v>29</v>
      </c>
      <c r="E12" s="2" t="s">
        <v>164</v>
      </c>
      <c r="F12" s="2" t="s">
        <v>567</v>
      </c>
      <c r="G12" s="2" t="s">
        <v>632</v>
      </c>
      <c r="H12" s="2" t="s">
        <v>632</v>
      </c>
      <c r="I12" s="2" t="s">
        <v>500</v>
      </c>
      <c r="J12" s="2" t="s">
        <v>500</v>
      </c>
      <c r="K12" s="2" t="s">
        <v>648</v>
      </c>
      <c r="L12" s="9" t="s">
        <v>166</v>
      </c>
      <c r="M12" s="9" t="s">
        <v>167</v>
      </c>
    </row>
  </sheetData>
  <autoFilter ref="A1:M12" xr:uid="{00000000-0009-0000-0000-000006000000}"/>
  <phoneticPr fontId="4" type="noConversion"/>
  <hyperlinks>
    <hyperlink ref="L2" r:id="rId1" xr:uid="{00000000-0004-0000-0600-000000000000}"/>
    <hyperlink ref="M2" r:id="rId2" xr:uid="{00000000-0004-0000-0600-000001000000}"/>
    <hyperlink ref="L3" r:id="rId3" xr:uid="{00000000-0004-0000-0600-000002000000}"/>
    <hyperlink ref="M3" r:id="rId4" xr:uid="{00000000-0004-0000-0600-000003000000}"/>
    <hyperlink ref="L4" r:id="rId5" xr:uid="{00000000-0004-0000-0600-000004000000}"/>
    <hyperlink ref="M4" r:id="rId6" xr:uid="{00000000-0004-0000-0600-000005000000}"/>
    <hyperlink ref="L5" r:id="rId7" xr:uid="{00000000-0004-0000-0600-000006000000}"/>
    <hyperlink ref="M5" r:id="rId8" xr:uid="{00000000-0004-0000-0600-000007000000}"/>
    <hyperlink ref="L6" r:id="rId9" xr:uid="{00000000-0004-0000-0600-000008000000}"/>
    <hyperlink ref="M6" r:id="rId10" xr:uid="{00000000-0004-0000-0600-000009000000}"/>
    <hyperlink ref="L7" r:id="rId11" xr:uid="{00000000-0004-0000-0600-00000A000000}"/>
    <hyperlink ref="M7" r:id="rId12" xr:uid="{00000000-0004-0000-0600-00000B000000}"/>
    <hyperlink ref="L8" r:id="rId13" xr:uid="{00000000-0004-0000-0600-00000C000000}"/>
    <hyperlink ref="M8" r:id="rId14" xr:uid="{00000000-0004-0000-0600-00000D000000}"/>
    <hyperlink ref="L9" r:id="rId15" xr:uid="{00000000-0004-0000-0600-00000E000000}"/>
    <hyperlink ref="M9" r:id="rId16" xr:uid="{00000000-0004-0000-0600-00000F000000}"/>
    <hyperlink ref="L10" r:id="rId17" xr:uid="{00000000-0004-0000-0600-000010000000}"/>
    <hyperlink ref="M10" r:id="rId18" xr:uid="{00000000-0004-0000-0600-000011000000}"/>
    <hyperlink ref="L11" r:id="rId19" xr:uid="{00000000-0004-0000-0600-000012000000}"/>
    <hyperlink ref="M11" r:id="rId20" xr:uid="{00000000-0004-0000-0600-000013000000}"/>
    <hyperlink ref="L12" r:id="rId21" xr:uid="{00000000-0004-0000-0600-000014000000}"/>
    <hyperlink ref="M12" r:id="rId22" xr:uid="{00000000-0004-0000-0600-00001500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2" t="s">
        <v>104</v>
      </c>
      <c r="B2" s="2" t="s">
        <v>215</v>
      </c>
      <c r="C2" s="2" t="s">
        <v>216</v>
      </c>
      <c r="D2" s="2" t="s">
        <v>11</v>
      </c>
      <c r="E2" s="2" t="s">
        <v>217</v>
      </c>
      <c r="F2" s="2" t="s">
        <v>497</v>
      </c>
      <c r="G2" s="2" t="s">
        <v>649</v>
      </c>
      <c r="H2" s="2" t="s">
        <v>650</v>
      </c>
      <c r="I2" s="2" t="s">
        <v>500</v>
      </c>
      <c r="J2" s="2" t="s">
        <v>517</v>
      </c>
      <c r="K2" s="2" t="s">
        <v>651</v>
      </c>
      <c r="L2" s="9" t="s">
        <v>219</v>
      </c>
      <c r="M2" s="9" t="s">
        <v>220</v>
      </c>
    </row>
    <row r="3" spans="1:13" ht="48" customHeight="1" x14ac:dyDescent="0.25">
      <c r="A3" s="3" t="s">
        <v>8</v>
      </c>
      <c r="B3" s="3" t="s">
        <v>652</v>
      </c>
      <c r="C3" s="3" t="s">
        <v>85</v>
      </c>
      <c r="D3" s="3" t="s">
        <v>50</v>
      </c>
      <c r="E3" s="3" t="s">
        <v>198</v>
      </c>
      <c r="F3" s="3" t="s">
        <v>497</v>
      </c>
      <c r="G3" s="3" t="s">
        <v>653</v>
      </c>
      <c r="H3" s="3" t="s">
        <v>654</v>
      </c>
      <c r="I3" s="3" t="s">
        <v>655</v>
      </c>
      <c r="J3" s="3" t="s">
        <v>656</v>
      </c>
      <c r="K3" s="3" t="s">
        <v>511</v>
      </c>
      <c r="L3" s="6" t="s">
        <v>204</v>
      </c>
      <c r="M3" s="6" t="s">
        <v>205</v>
      </c>
    </row>
    <row r="4" spans="1:13" ht="48" customHeight="1" x14ac:dyDescent="0.25">
      <c r="A4" s="3" t="s">
        <v>8</v>
      </c>
      <c r="B4" s="3" t="s">
        <v>657</v>
      </c>
      <c r="C4" s="3" t="s">
        <v>658</v>
      </c>
      <c r="D4" s="3" t="s">
        <v>29</v>
      </c>
      <c r="E4" s="3" t="s">
        <v>659</v>
      </c>
      <c r="F4" s="3" t="s">
        <v>567</v>
      </c>
      <c r="G4" s="3" t="s">
        <v>660</v>
      </c>
      <c r="H4" s="3" t="s">
        <v>661</v>
      </c>
      <c r="I4" s="3" t="s">
        <v>662</v>
      </c>
      <c r="J4" s="3" t="s">
        <v>663</v>
      </c>
      <c r="K4" s="3" t="s">
        <v>664</v>
      </c>
      <c r="L4" s="6" t="s">
        <v>665</v>
      </c>
      <c r="M4" s="6" t="s">
        <v>666</v>
      </c>
    </row>
    <row r="5" spans="1:13" ht="48" customHeight="1" x14ac:dyDescent="0.25">
      <c r="A5" s="2" t="s">
        <v>104</v>
      </c>
      <c r="B5" s="2" t="s">
        <v>624</v>
      </c>
      <c r="C5" s="2" t="s">
        <v>414</v>
      </c>
      <c r="D5" s="2" t="s">
        <v>50</v>
      </c>
      <c r="E5" s="2" t="s">
        <v>415</v>
      </c>
      <c r="F5" s="2" t="s">
        <v>497</v>
      </c>
      <c r="G5" s="2" t="s">
        <v>667</v>
      </c>
      <c r="H5" s="2" t="s">
        <v>668</v>
      </c>
      <c r="I5" s="2" t="s">
        <v>669</v>
      </c>
      <c r="J5" s="2" t="s">
        <v>627</v>
      </c>
      <c r="K5" s="2" t="s">
        <v>511</v>
      </c>
      <c r="L5" s="9" t="s">
        <v>417</v>
      </c>
      <c r="M5" s="9" t="s">
        <v>418</v>
      </c>
    </row>
    <row r="6" spans="1:13" ht="48" customHeight="1" x14ac:dyDescent="0.25">
      <c r="A6" s="2" t="s">
        <v>104</v>
      </c>
      <c r="B6" s="2" t="s">
        <v>670</v>
      </c>
      <c r="C6" s="2" t="s">
        <v>346</v>
      </c>
      <c r="D6" s="2" t="s">
        <v>113</v>
      </c>
      <c r="E6" s="2" t="s">
        <v>347</v>
      </c>
      <c r="F6" s="2" t="s">
        <v>497</v>
      </c>
      <c r="G6" s="2" t="s">
        <v>671</v>
      </c>
      <c r="H6" s="2" t="s">
        <v>672</v>
      </c>
      <c r="I6" s="2" t="s">
        <v>547</v>
      </c>
      <c r="J6" s="2" t="s">
        <v>548</v>
      </c>
      <c r="K6" s="2" t="s">
        <v>673</v>
      </c>
      <c r="L6" s="9" t="s">
        <v>349</v>
      </c>
      <c r="M6" s="9" t="s">
        <v>350</v>
      </c>
    </row>
    <row r="7" spans="1:13" ht="48" customHeight="1" x14ac:dyDescent="0.25">
      <c r="A7" s="2" t="s">
        <v>104</v>
      </c>
      <c r="B7" s="2" t="s">
        <v>674</v>
      </c>
      <c r="C7" s="2" t="s">
        <v>324</v>
      </c>
      <c r="D7" s="2" t="s">
        <v>50</v>
      </c>
      <c r="E7" s="2" t="s">
        <v>341</v>
      </c>
      <c r="F7" s="2" t="s">
        <v>497</v>
      </c>
      <c r="G7" s="2" t="s">
        <v>675</v>
      </c>
      <c r="H7" s="2" t="s">
        <v>676</v>
      </c>
      <c r="I7" s="2" t="s">
        <v>677</v>
      </c>
      <c r="J7" s="2" t="s">
        <v>678</v>
      </c>
      <c r="K7" s="2" t="s">
        <v>511</v>
      </c>
      <c r="L7" s="9" t="s">
        <v>343</v>
      </c>
      <c r="M7" s="9" t="s">
        <v>344</v>
      </c>
    </row>
    <row r="8" spans="1:13" ht="48" customHeight="1" x14ac:dyDescent="0.25">
      <c r="A8" s="2" t="s">
        <v>104</v>
      </c>
      <c r="B8" s="2" t="s">
        <v>419</v>
      </c>
      <c r="C8" s="2" t="s">
        <v>420</v>
      </c>
      <c r="D8" s="2" t="s">
        <v>181</v>
      </c>
      <c r="E8" s="2" t="s">
        <v>679</v>
      </c>
      <c r="F8" s="2" t="s">
        <v>497</v>
      </c>
      <c r="G8" s="2" t="s">
        <v>680</v>
      </c>
      <c r="H8" s="2" t="s">
        <v>681</v>
      </c>
      <c r="I8" s="2" t="s">
        <v>682</v>
      </c>
      <c r="J8" s="2" t="s">
        <v>683</v>
      </c>
      <c r="K8" s="2" t="s">
        <v>511</v>
      </c>
      <c r="L8" s="9" t="s">
        <v>423</v>
      </c>
      <c r="M8" s="9" t="s">
        <v>424</v>
      </c>
    </row>
    <row r="9" spans="1:13" ht="48" customHeight="1" x14ac:dyDescent="0.25">
      <c r="A9" s="2" t="s">
        <v>104</v>
      </c>
      <c r="B9" s="2" t="s">
        <v>684</v>
      </c>
      <c r="C9" s="2" t="s">
        <v>163</v>
      </c>
      <c r="D9" s="2" t="s">
        <v>79</v>
      </c>
      <c r="E9" s="2" t="s">
        <v>685</v>
      </c>
      <c r="F9" s="2" t="s">
        <v>497</v>
      </c>
      <c r="G9" s="2" t="s">
        <v>686</v>
      </c>
      <c r="H9" s="2" t="s">
        <v>687</v>
      </c>
      <c r="I9" s="2" t="s">
        <v>688</v>
      </c>
      <c r="J9" s="2" t="s">
        <v>689</v>
      </c>
      <c r="K9" s="2" t="s">
        <v>690</v>
      </c>
      <c r="L9" s="9" t="s">
        <v>433</v>
      </c>
      <c r="M9" s="9" t="s">
        <v>434</v>
      </c>
    </row>
    <row r="10" spans="1:13" ht="48" customHeight="1" x14ac:dyDescent="0.25">
      <c r="A10" s="3" t="s">
        <v>8</v>
      </c>
      <c r="B10" s="3" t="s">
        <v>227</v>
      </c>
      <c r="C10" s="3" t="s">
        <v>19</v>
      </c>
      <c r="D10" s="3" t="s">
        <v>7</v>
      </c>
      <c r="E10" s="3" t="s">
        <v>229</v>
      </c>
      <c r="F10" s="3" t="s">
        <v>7</v>
      </c>
      <c r="G10" s="3" t="s">
        <v>632</v>
      </c>
      <c r="H10" s="3" t="s">
        <v>632</v>
      </c>
      <c r="I10" s="3" t="s">
        <v>640</v>
      </c>
      <c r="J10" s="3" t="s">
        <v>641</v>
      </c>
      <c r="K10" s="3" t="s">
        <v>691</v>
      </c>
      <c r="L10" s="6" t="s">
        <v>231</v>
      </c>
      <c r="M10" s="6" t="s">
        <v>24</v>
      </c>
    </row>
    <row r="11" spans="1:13" ht="48" customHeight="1" x14ac:dyDescent="0.25">
      <c r="A11" s="3" t="s">
        <v>8</v>
      </c>
      <c r="B11" s="3" t="s">
        <v>692</v>
      </c>
      <c r="C11" s="3" t="s">
        <v>211</v>
      </c>
      <c r="D11" s="3" t="s">
        <v>7</v>
      </c>
      <c r="E11" s="3" t="s">
        <v>212</v>
      </c>
      <c r="F11" s="3" t="s">
        <v>7</v>
      </c>
      <c r="G11" s="3" t="s">
        <v>632</v>
      </c>
      <c r="H11" s="3" t="s">
        <v>632</v>
      </c>
      <c r="I11" s="3" t="s">
        <v>608</v>
      </c>
      <c r="J11" s="3" t="s">
        <v>693</v>
      </c>
      <c r="K11" s="3" t="s">
        <v>632</v>
      </c>
      <c r="L11" s="6" t="s">
        <v>214</v>
      </c>
      <c r="M11" s="6" t="s">
        <v>214</v>
      </c>
    </row>
    <row r="12" spans="1:13" ht="48" customHeight="1" x14ac:dyDescent="0.25">
      <c r="A12" s="2" t="s">
        <v>104</v>
      </c>
      <c r="B12" s="2" t="s">
        <v>694</v>
      </c>
      <c r="C12" s="2" t="s">
        <v>112</v>
      </c>
      <c r="D12" s="2" t="s">
        <v>113</v>
      </c>
      <c r="E12" s="2" t="s">
        <v>114</v>
      </c>
      <c r="F12" s="2" t="s">
        <v>497</v>
      </c>
      <c r="G12" s="2" t="s">
        <v>632</v>
      </c>
      <c r="H12" s="2" t="s">
        <v>695</v>
      </c>
      <c r="I12" s="2" t="s">
        <v>500</v>
      </c>
      <c r="J12" s="2" t="s">
        <v>696</v>
      </c>
      <c r="K12" s="2" t="s">
        <v>697</v>
      </c>
      <c r="L12" s="9" t="s">
        <v>116</v>
      </c>
      <c r="M12" s="9" t="s">
        <v>117</v>
      </c>
    </row>
  </sheetData>
  <autoFilter ref="A1:M12" xr:uid="{00000000-0009-0000-0000-000007000000}"/>
  <phoneticPr fontId="4" type="noConversion"/>
  <hyperlinks>
    <hyperlink ref="L2" r:id="rId1" xr:uid="{00000000-0004-0000-0700-000000000000}"/>
    <hyperlink ref="M2" r:id="rId2" xr:uid="{00000000-0004-0000-0700-000001000000}"/>
    <hyperlink ref="L3" r:id="rId3" xr:uid="{00000000-0004-0000-0700-000002000000}"/>
    <hyperlink ref="M3" r:id="rId4" xr:uid="{00000000-0004-0000-0700-000003000000}"/>
    <hyperlink ref="L4" r:id="rId5" xr:uid="{00000000-0004-0000-0700-000004000000}"/>
    <hyperlink ref="M4" r:id="rId6" xr:uid="{00000000-0004-0000-0700-000005000000}"/>
    <hyperlink ref="L5" r:id="rId7" xr:uid="{00000000-0004-0000-0700-000006000000}"/>
    <hyperlink ref="M5" r:id="rId8" xr:uid="{00000000-0004-0000-0700-000007000000}"/>
    <hyperlink ref="L6" r:id="rId9" xr:uid="{00000000-0004-0000-0700-000008000000}"/>
    <hyperlink ref="M6" r:id="rId10" xr:uid="{00000000-0004-0000-0700-000009000000}"/>
    <hyperlink ref="L7" r:id="rId11" xr:uid="{00000000-0004-0000-0700-00000A000000}"/>
    <hyperlink ref="M7" r:id="rId12" xr:uid="{00000000-0004-0000-0700-00000B000000}"/>
    <hyperlink ref="L8" r:id="rId13" xr:uid="{00000000-0004-0000-0700-00000C000000}"/>
    <hyperlink ref="M8" r:id="rId14" xr:uid="{00000000-0004-0000-0700-00000D000000}"/>
    <hyperlink ref="L9" r:id="rId15" xr:uid="{00000000-0004-0000-0700-00000E000000}"/>
    <hyperlink ref="M9" r:id="rId16" xr:uid="{00000000-0004-0000-0700-00000F000000}"/>
    <hyperlink ref="L10" r:id="rId17" xr:uid="{00000000-0004-0000-0700-000010000000}"/>
    <hyperlink ref="M10" r:id="rId18" xr:uid="{00000000-0004-0000-0700-000011000000}"/>
    <hyperlink ref="L11" r:id="rId19" xr:uid="{00000000-0004-0000-0700-000012000000}"/>
    <hyperlink ref="M11" r:id="rId20" xr:uid="{00000000-0004-0000-0700-000013000000}"/>
    <hyperlink ref="L12" r:id="rId21" xr:uid="{00000000-0004-0000-0700-000014000000}"/>
    <hyperlink ref="M12" r:id="rId22" xr:uid="{00000000-0004-0000-0700-000015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2" t="s">
        <v>104</v>
      </c>
      <c r="B2" s="2" t="s">
        <v>698</v>
      </c>
      <c r="C2" s="2" t="s">
        <v>170</v>
      </c>
      <c r="D2" s="2" t="s">
        <v>113</v>
      </c>
      <c r="E2" s="2" t="s">
        <v>266</v>
      </c>
      <c r="F2" s="2" t="s">
        <v>497</v>
      </c>
      <c r="G2" s="2" t="s">
        <v>699</v>
      </c>
      <c r="H2" s="2" t="s">
        <v>700</v>
      </c>
      <c r="I2" s="2" t="s">
        <v>500</v>
      </c>
      <c r="J2" s="2" t="s">
        <v>500</v>
      </c>
      <c r="K2" s="2" t="s">
        <v>701</v>
      </c>
      <c r="L2" s="9" t="s">
        <v>702</v>
      </c>
      <c r="M2" s="9" t="s">
        <v>703</v>
      </c>
    </row>
    <row r="3" spans="1:13" ht="48" customHeight="1" x14ac:dyDescent="0.25">
      <c r="A3" s="2" t="s">
        <v>104</v>
      </c>
      <c r="B3" s="2" t="s">
        <v>704</v>
      </c>
      <c r="C3" s="2" t="s">
        <v>420</v>
      </c>
      <c r="D3" s="2" t="s">
        <v>50</v>
      </c>
      <c r="E3" s="2" t="s">
        <v>325</v>
      </c>
      <c r="F3" s="2" t="s">
        <v>497</v>
      </c>
      <c r="G3" s="2" t="s">
        <v>705</v>
      </c>
      <c r="H3" s="2" t="s">
        <v>706</v>
      </c>
      <c r="I3" s="2" t="s">
        <v>500</v>
      </c>
      <c r="J3" s="2" t="s">
        <v>500</v>
      </c>
      <c r="K3" s="2" t="s">
        <v>707</v>
      </c>
      <c r="L3" s="9" t="s">
        <v>708</v>
      </c>
      <c r="M3" s="9" t="s">
        <v>709</v>
      </c>
    </row>
    <row r="4" spans="1:13" ht="48" customHeight="1" x14ac:dyDescent="0.25">
      <c r="A4" s="2" t="s">
        <v>104</v>
      </c>
      <c r="B4" s="2" t="s">
        <v>710</v>
      </c>
      <c r="C4" s="2" t="s">
        <v>330</v>
      </c>
      <c r="D4" s="2" t="s">
        <v>711</v>
      </c>
      <c r="E4" s="2" t="s">
        <v>234</v>
      </c>
      <c r="F4" s="2" t="s">
        <v>639</v>
      </c>
      <c r="G4" s="2" t="s">
        <v>712</v>
      </c>
      <c r="H4" s="2" t="s">
        <v>713</v>
      </c>
      <c r="I4" s="2" t="s">
        <v>500</v>
      </c>
      <c r="J4" s="2" t="s">
        <v>543</v>
      </c>
      <c r="K4" s="2" t="s">
        <v>642</v>
      </c>
      <c r="L4" s="9" t="s">
        <v>333</v>
      </c>
      <c r="M4" s="9" t="s">
        <v>334</v>
      </c>
    </row>
    <row r="5" spans="1:13" ht="48" customHeight="1" x14ac:dyDescent="0.25">
      <c r="A5" s="2" t="s">
        <v>104</v>
      </c>
      <c r="B5" s="2" t="s">
        <v>674</v>
      </c>
      <c r="C5" s="2" t="s">
        <v>324</v>
      </c>
      <c r="D5" s="2" t="s">
        <v>50</v>
      </c>
      <c r="E5" s="2" t="s">
        <v>341</v>
      </c>
      <c r="F5" s="2" t="s">
        <v>497</v>
      </c>
      <c r="G5" s="2" t="s">
        <v>714</v>
      </c>
      <c r="H5" s="2" t="s">
        <v>715</v>
      </c>
      <c r="I5" s="2" t="s">
        <v>500</v>
      </c>
      <c r="J5" s="2" t="s">
        <v>678</v>
      </c>
      <c r="K5" s="2" t="s">
        <v>716</v>
      </c>
      <c r="L5" s="9" t="s">
        <v>343</v>
      </c>
      <c r="M5" s="9" t="s">
        <v>344</v>
      </c>
    </row>
    <row r="6" spans="1:13" ht="48" customHeight="1" x14ac:dyDescent="0.25">
      <c r="A6" s="2" t="s">
        <v>104</v>
      </c>
      <c r="B6" s="2" t="s">
        <v>717</v>
      </c>
      <c r="C6" s="2" t="s">
        <v>718</v>
      </c>
      <c r="D6" s="2" t="s">
        <v>50</v>
      </c>
      <c r="E6" s="2" t="s">
        <v>364</v>
      </c>
      <c r="F6" s="2" t="s">
        <v>497</v>
      </c>
      <c r="G6" s="2" t="s">
        <v>719</v>
      </c>
      <c r="H6" s="2" t="s">
        <v>720</v>
      </c>
      <c r="I6" s="2" t="s">
        <v>500</v>
      </c>
      <c r="J6" s="2" t="s">
        <v>500</v>
      </c>
      <c r="K6" s="2" t="s">
        <v>721</v>
      </c>
      <c r="L6" s="9" t="s">
        <v>722</v>
      </c>
      <c r="M6" s="9" t="s">
        <v>723</v>
      </c>
    </row>
    <row r="7" spans="1:13" ht="48" customHeight="1" x14ac:dyDescent="0.25">
      <c r="A7" s="2" t="s">
        <v>104</v>
      </c>
      <c r="B7" s="2" t="s">
        <v>724</v>
      </c>
      <c r="C7" s="2" t="s">
        <v>718</v>
      </c>
      <c r="D7" s="2" t="s">
        <v>50</v>
      </c>
      <c r="E7" s="2" t="s">
        <v>364</v>
      </c>
      <c r="F7" s="2" t="s">
        <v>497</v>
      </c>
      <c r="G7" s="2" t="s">
        <v>719</v>
      </c>
      <c r="H7" s="2" t="s">
        <v>720</v>
      </c>
      <c r="I7" s="2" t="s">
        <v>500</v>
      </c>
      <c r="J7" s="2" t="s">
        <v>500</v>
      </c>
      <c r="K7" s="2" t="s">
        <v>725</v>
      </c>
      <c r="L7" s="9" t="s">
        <v>722</v>
      </c>
      <c r="M7" s="9" t="s">
        <v>726</v>
      </c>
    </row>
    <row r="8" spans="1:13" ht="48" customHeight="1" x14ac:dyDescent="0.25">
      <c r="A8" s="3" t="s">
        <v>8</v>
      </c>
      <c r="B8" s="3" t="s">
        <v>652</v>
      </c>
      <c r="C8" s="3" t="s">
        <v>85</v>
      </c>
      <c r="D8" s="3" t="s">
        <v>50</v>
      </c>
      <c r="E8" s="3" t="s">
        <v>198</v>
      </c>
      <c r="F8" s="3" t="s">
        <v>639</v>
      </c>
      <c r="G8" s="3" t="s">
        <v>727</v>
      </c>
      <c r="H8" s="3" t="s">
        <v>728</v>
      </c>
      <c r="I8" s="3" t="s">
        <v>655</v>
      </c>
      <c r="J8" s="3" t="s">
        <v>656</v>
      </c>
      <c r="K8" s="3" t="s">
        <v>642</v>
      </c>
      <c r="L8" s="6" t="s">
        <v>204</v>
      </c>
      <c r="M8" s="6" t="s">
        <v>205</v>
      </c>
    </row>
    <row r="9" spans="1:13" ht="48" customHeight="1" x14ac:dyDescent="0.25">
      <c r="A9" s="2" t="s">
        <v>104</v>
      </c>
      <c r="B9" s="2" t="s">
        <v>729</v>
      </c>
      <c r="C9" s="2" t="s">
        <v>41</v>
      </c>
      <c r="D9" s="2" t="s">
        <v>50</v>
      </c>
      <c r="E9" s="2" t="s">
        <v>364</v>
      </c>
      <c r="F9" s="2" t="s">
        <v>497</v>
      </c>
      <c r="G9" s="2" t="s">
        <v>730</v>
      </c>
      <c r="H9" s="2" t="s">
        <v>731</v>
      </c>
      <c r="I9" s="2" t="s">
        <v>500</v>
      </c>
      <c r="J9" s="2" t="s">
        <v>500</v>
      </c>
      <c r="K9" s="2" t="s">
        <v>732</v>
      </c>
      <c r="L9" s="9" t="s">
        <v>722</v>
      </c>
      <c r="M9" s="9" t="s">
        <v>726</v>
      </c>
    </row>
    <row r="10" spans="1:13" ht="48" customHeight="1" x14ac:dyDescent="0.25">
      <c r="A10" s="2" t="s">
        <v>104</v>
      </c>
      <c r="B10" s="2" t="s">
        <v>733</v>
      </c>
      <c r="C10" s="2" t="s">
        <v>580</v>
      </c>
      <c r="D10" s="2" t="s">
        <v>79</v>
      </c>
      <c r="E10" s="2" t="s">
        <v>685</v>
      </c>
      <c r="F10" s="2" t="s">
        <v>497</v>
      </c>
      <c r="G10" s="2" t="s">
        <v>675</v>
      </c>
      <c r="H10" s="2" t="s">
        <v>734</v>
      </c>
      <c r="I10" s="2" t="s">
        <v>500</v>
      </c>
      <c r="J10" s="2" t="s">
        <v>631</v>
      </c>
      <c r="K10" s="2" t="s">
        <v>735</v>
      </c>
      <c r="L10" s="9" t="s">
        <v>736</v>
      </c>
      <c r="M10" s="9" t="s">
        <v>726</v>
      </c>
    </row>
    <row r="11" spans="1:13" ht="48" customHeight="1" x14ac:dyDescent="0.25">
      <c r="A11" s="2" t="s">
        <v>104</v>
      </c>
      <c r="B11" s="2" t="s">
        <v>737</v>
      </c>
      <c r="C11" s="2" t="s">
        <v>36</v>
      </c>
      <c r="D11" s="2" t="s">
        <v>29</v>
      </c>
      <c r="E11" s="2" t="s">
        <v>738</v>
      </c>
      <c r="F11" s="2" t="s">
        <v>567</v>
      </c>
      <c r="G11" s="2" t="s">
        <v>632</v>
      </c>
      <c r="H11" s="2" t="s">
        <v>632</v>
      </c>
      <c r="I11" s="2" t="s">
        <v>500</v>
      </c>
      <c r="J11" s="2" t="s">
        <v>500</v>
      </c>
      <c r="K11" s="2" t="s">
        <v>739</v>
      </c>
      <c r="L11" s="9" t="s">
        <v>740</v>
      </c>
      <c r="M11" s="9" t="s">
        <v>39</v>
      </c>
    </row>
    <row r="12" spans="1:13" ht="48" customHeight="1" x14ac:dyDescent="0.25">
      <c r="A12" s="3" t="s">
        <v>8</v>
      </c>
      <c r="B12" s="3" t="s">
        <v>227</v>
      </c>
      <c r="C12" s="3" t="s">
        <v>19</v>
      </c>
      <c r="D12" s="3" t="s">
        <v>7</v>
      </c>
      <c r="E12" s="3" t="s">
        <v>229</v>
      </c>
      <c r="F12" s="3" t="s">
        <v>639</v>
      </c>
      <c r="G12" s="3" t="s">
        <v>632</v>
      </c>
      <c r="H12" s="3" t="s">
        <v>632</v>
      </c>
      <c r="I12" s="3" t="s">
        <v>640</v>
      </c>
      <c r="J12" s="3" t="s">
        <v>641</v>
      </c>
      <c r="K12" s="3" t="s">
        <v>741</v>
      </c>
      <c r="L12" s="6" t="s">
        <v>231</v>
      </c>
      <c r="M12" s="6" t="s">
        <v>24</v>
      </c>
    </row>
  </sheetData>
  <autoFilter ref="A1:M12" xr:uid="{00000000-0009-0000-0000-000008000000}"/>
  <phoneticPr fontId="4" type="noConversion"/>
  <hyperlinks>
    <hyperlink ref="L2" r:id="rId1" xr:uid="{00000000-0004-0000-0800-000000000000}"/>
    <hyperlink ref="M2" r:id="rId2" xr:uid="{00000000-0004-0000-0800-000001000000}"/>
    <hyperlink ref="L3" r:id="rId3" xr:uid="{00000000-0004-0000-0800-000002000000}"/>
    <hyperlink ref="M3" r:id="rId4" xr:uid="{00000000-0004-0000-0800-000003000000}"/>
    <hyperlink ref="L4" r:id="rId5" xr:uid="{00000000-0004-0000-0800-000004000000}"/>
    <hyperlink ref="M4" r:id="rId6" xr:uid="{00000000-0004-0000-0800-000005000000}"/>
    <hyperlink ref="L5" r:id="rId7" xr:uid="{00000000-0004-0000-0800-000006000000}"/>
    <hyperlink ref="M5" r:id="rId8" xr:uid="{00000000-0004-0000-0800-000007000000}"/>
    <hyperlink ref="L6" r:id="rId9" xr:uid="{00000000-0004-0000-0800-000008000000}"/>
    <hyperlink ref="M6" r:id="rId10" xr:uid="{00000000-0004-0000-0800-000009000000}"/>
    <hyperlink ref="L7" r:id="rId11" xr:uid="{00000000-0004-0000-0800-00000A000000}"/>
    <hyperlink ref="M7" r:id="rId12" xr:uid="{00000000-0004-0000-0800-00000B000000}"/>
    <hyperlink ref="L8" r:id="rId13" xr:uid="{00000000-0004-0000-0800-00000C000000}"/>
    <hyperlink ref="M8" r:id="rId14" xr:uid="{00000000-0004-0000-0800-00000D000000}"/>
    <hyperlink ref="L9" r:id="rId15" xr:uid="{00000000-0004-0000-0800-00000E000000}"/>
    <hyperlink ref="M9" r:id="rId16" xr:uid="{00000000-0004-0000-0800-00000F000000}"/>
    <hyperlink ref="L10" r:id="rId17" xr:uid="{00000000-0004-0000-0800-000010000000}"/>
    <hyperlink ref="M10" r:id="rId18" xr:uid="{00000000-0004-0000-0800-000011000000}"/>
    <hyperlink ref="L11" r:id="rId19" xr:uid="{00000000-0004-0000-0800-000012000000}"/>
    <hyperlink ref="M11" r:id="rId20" xr:uid="{00000000-0004-0000-0800-000013000000}"/>
    <hyperlink ref="L12" r:id="rId21" xr:uid="{00000000-0004-0000-0800-000014000000}"/>
    <hyperlink ref="M12" r:id="rId22" xr:uid="{00000000-0004-0000-0800-000015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3" t="s">
        <v>8</v>
      </c>
      <c r="B2" s="3" t="s">
        <v>227</v>
      </c>
      <c r="C2" s="3" t="s">
        <v>742</v>
      </c>
      <c r="D2" s="3" t="s">
        <v>743</v>
      </c>
      <c r="E2" s="3" t="s">
        <v>613</v>
      </c>
      <c r="F2" s="3" t="s">
        <v>497</v>
      </c>
      <c r="G2" s="3" t="s">
        <v>632</v>
      </c>
      <c r="H2" s="3" t="s">
        <v>744</v>
      </c>
      <c r="I2" s="3" t="s">
        <v>745</v>
      </c>
      <c r="J2" s="3" t="s">
        <v>641</v>
      </c>
      <c r="K2" s="3" t="s">
        <v>746</v>
      </c>
      <c r="L2" s="6" t="s">
        <v>747</v>
      </c>
      <c r="M2" s="6" t="s">
        <v>748</v>
      </c>
    </row>
    <row r="3" spans="1:13" ht="48" customHeight="1" x14ac:dyDescent="0.25">
      <c r="A3" s="3" t="s">
        <v>8</v>
      </c>
      <c r="B3" s="3" t="s">
        <v>652</v>
      </c>
      <c r="C3" s="3" t="s">
        <v>749</v>
      </c>
      <c r="D3" s="3" t="s">
        <v>36</v>
      </c>
      <c r="E3" s="3" t="s">
        <v>738</v>
      </c>
      <c r="F3" s="3" t="s">
        <v>639</v>
      </c>
      <c r="G3" s="3" t="s">
        <v>632</v>
      </c>
      <c r="H3" s="3" t="s">
        <v>632</v>
      </c>
      <c r="I3" s="3" t="s">
        <v>655</v>
      </c>
      <c r="J3" s="3" t="s">
        <v>656</v>
      </c>
      <c r="K3" s="3" t="s">
        <v>642</v>
      </c>
      <c r="L3" s="6" t="s">
        <v>204</v>
      </c>
      <c r="M3" s="6" t="s">
        <v>205</v>
      </c>
    </row>
    <row r="4" spans="1:13" ht="48" customHeight="1" x14ac:dyDescent="0.25">
      <c r="A4" s="3" t="s">
        <v>8</v>
      </c>
      <c r="B4" s="3" t="s">
        <v>750</v>
      </c>
      <c r="C4" s="3" t="s">
        <v>749</v>
      </c>
      <c r="D4" s="3" t="s">
        <v>36</v>
      </c>
      <c r="E4" s="3" t="s">
        <v>144</v>
      </c>
      <c r="F4" s="3" t="s">
        <v>639</v>
      </c>
      <c r="G4" s="3" t="s">
        <v>632</v>
      </c>
      <c r="H4" s="3" t="s">
        <v>632</v>
      </c>
      <c r="I4" s="3" t="s">
        <v>601</v>
      </c>
      <c r="J4" s="3" t="s">
        <v>602</v>
      </c>
      <c r="K4" s="3" t="s">
        <v>642</v>
      </c>
      <c r="L4" s="6" t="s">
        <v>131</v>
      </c>
      <c r="M4" s="6" t="s">
        <v>132</v>
      </c>
    </row>
    <row r="5" spans="1:13" ht="48" customHeight="1" x14ac:dyDescent="0.25">
      <c r="A5" s="3" t="s">
        <v>8</v>
      </c>
      <c r="B5" s="3" t="s">
        <v>751</v>
      </c>
      <c r="C5" s="3" t="s">
        <v>36</v>
      </c>
      <c r="D5" s="3" t="s">
        <v>20</v>
      </c>
      <c r="E5" s="3" t="s">
        <v>100</v>
      </c>
      <c r="F5" s="3" t="s">
        <v>639</v>
      </c>
      <c r="G5" s="3" t="s">
        <v>632</v>
      </c>
      <c r="H5" s="3" t="s">
        <v>632</v>
      </c>
      <c r="I5" s="3" t="s">
        <v>608</v>
      </c>
      <c r="J5" s="3" t="s">
        <v>609</v>
      </c>
      <c r="K5" s="3" t="s">
        <v>642</v>
      </c>
      <c r="L5" s="6" t="s">
        <v>135</v>
      </c>
      <c r="M5" s="6" t="s">
        <v>24</v>
      </c>
    </row>
    <row r="6" spans="1:13" ht="48" customHeight="1" x14ac:dyDescent="0.25">
      <c r="A6" s="3" t="s">
        <v>8</v>
      </c>
      <c r="B6" s="3" t="s">
        <v>752</v>
      </c>
      <c r="C6" s="3" t="s">
        <v>36</v>
      </c>
      <c r="D6" s="3" t="s">
        <v>29</v>
      </c>
      <c r="E6" s="3" t="s">
        <v>71</v>
      </c>
      <c r="F6" s="3" t="s">
        <v>639</v>
      </c>
      <c r="G6" s="3" t="s">
        <v>632</v>
      </c>
      <c r="H6" s="3" t="s">
        <v>632</v>
      </c>
      <c r="I6" s="3" t="s">
        <v>604</v>
      </c>
      <c r="J6" s="3" t="s">
        <v>605</v>
      </c>
      <c r="K6" s="3" t="s">
        <v>642</v>
      </c>
      <c r="L6" s="6" t="s">
        <v>82</v>
      </c>
      <c r="M6" s="6" t="s">
        <v>83</v>
      </c>
    </row>
    <row r="7" spans="1:13" ht="48" customHeight="1" x14ac:dyDescent="0.25">
      <c r="A7" s="2" t="s">
        <v>104</v>
      </c>
      <c r="B7" s="2" t="s">
        <v>753</v>
      </c>
      <c r="C7" s="2" t="s">
        <v>742</v>
      </c>
      <c r="D7" s="2" t="s">
        <v>711</v>
      </c>
      <c r="E7" s="2" t="s">
        <v>613</v>
      </c>
      <c r="F7" s="2" t="s">
        <v>639</v>
      </c>
      <c r="G7" s="2" t="s">
        <v>632</v>
      </c>
      <c r="H7" s="2" t="s">
        <v>632</v>
      </c>
      <c r="I7" s="2" t="s">
        <v>754</v>
      </c>
      <c r="J7" s="2" t="s">
        <v>631</v>
      </c>
      <c r="K7" s="2" t="s">
        <v>639</v>
      </c>
      <c r="L7" s="9" t="s">
        <v>433</v>
      </c>
      <c r="M7" s="9" t="s">
        <v>434</v>
      </c>
    </row>
    <row r="8" spans="1:13" ht="48" customHeight="1" x14ac:dyDescent="0.25">
      <c r="A8" s="2" t="s">
        <v>104</v>
      </c>
      <c r="B8" s="2" t="s">
        <v>624</v>
      </c>
      <c r="C8" s="2" t="s">
        <v>711</v>
      </c>
      <c r="D8" s="2" t="s">
        <v>711</v>
      </c>
      <c r="E8" s="2" t="s">
        <v>738</v>
      </c>
      <c r="F8" s="2" t="s">
        <v>639</v>
      </c>
      <c r="G8" s="2" t="s">
        <v>632</v>
      </c>
      <c r="H8" s="2" t="s">
        <v>632</v>
      </c>
      <c r="I8" s="2" t="s">
        <v>669</v>
      </c>
      <c r="J8" s="2" t="s">
        <v>627</v>
      </c>
      <c r="K8" s="2" t="s">
        <v>639</v>
      </c>
      <c r="L8" s="9" t="s">
        <v>417</v>
      </c>
      <c r="M8" s="9" t="s">
        <v>418</v>
      </c>
    </row>
    <row r="9" spans="1:13" ht="48" customHeight="1" x14ac:dyDescent="0.25">
      <c r="A9" s="3" t="s">
        <v>8</v>
      </c>
      <c r="B9" s="3" t="s">
        <v>643</v>
      </c>
      <c r="C9" s="3" t="s">
        <v>711</v>
      </c>
      <c r="D9" s="3" t="s">
        <v>711</v>
      </c>
      <c r="E9" s="3" t="s">
        <v>144</v>
      </c>
      <c r="F9" s="3" t="s">
        <v>639</v>
      </c>
      <c r="G9" s="3" t="s">
        <v>632</v>
      </c>
      <c r="H9" s="3" t="s">
        <v>632</v>
      </c>
      <c r="I9" s="3" t="s">
        <v>645</v>
      </c>
      <c r="J9" s="3" t="s">
        <v>646</v>
      </c>
      <c r="K9" s="3" t="s">
        <v>639</v>
      </c>
      <c r="L9" s="6" t="s">
        <v>146</v>
      </c>
      <c r="M9" s="6" t="s">
        <v>141</v>
      </c>
    </row>
    <row r="10" spans="1:13" ht="48" customHeight="1" x14ac:dyDescent="0.25">
      <c r="A10" s="3" t="s">
        <v>8</v>
      </c>
      <c r="B10" s="3" t="s">
        <v>692</v>
      </c>
      <c r="C10" s="3" t="s">
        <v>711</v>
      </c>
      <c r="D10" s="3" t="s">
        <v>711</v>
      </c>
      <c r="E10" s="3" t="s">
        <v>172</v>
      </c>
      <c r="F10" s="3" t="s">
        <v>639</v>
      </c>
      <c r="G10" s="3" t="s">
        <v>632</v>
      </c>
      <c r="H10" s="3" t="s">
        <v>632</v>
      </c>
      <c r="I10" s="3" t="s">
        <v>608</v>
      </c>
      <c r="J10" s="3" t="s">
        <v>693</v>
      </c>
      <c r="K10" s="3" t="s">
        <v>639</v>
      </c>
      <c r="L10" s="6" t="s">
        <v>214</v>
      </c>
      <c r="M10" s="6" t="s">
        <v>214</v>
      </c>
    </row>
    <row r="11" spans="1:13" ht="48" customHeight="1" x14ac:dyDescent="0.25">
      <c r="A11" s="3" t="s">
        <v>8</v>
      </c>
      <c r="B11" s="3" t="s">
        <v>755</v>
      </c>
      <c r="C11" s="3" t="s">
        <v>19</v>
      </c>
      <c r="D11" s="3" t="s">
        <v>20</v>
      </c>
      <c r="E11" s="3" t="s">
        <v>21</v>
      </c>
      <c r="F11" s="3" t="s">
        <v>20</v>
      </c>
      <c r="G11" s="3" t="s">
        <v>632</v>
      </c>
      <c r="H11" s="3" t="s">
        <v>632</v>
      </c>
      <c r="I11" s="3" t="s">
        <v>756</v>
      </c>
      <c r="J11" s="3" t="s">
        <v>500</v>
      </c>
      <c r="K11" s="3" t="s">
        <v>757</v>
      </c>
      <c r="L11" s="6" t="s">
        <v>23</v>
      </c>
      <c r="M11" s="6" t="s">
        <v>24</v>
      </c>
    </row>
    <row r="12" spans="1:13" ht="48" customHeight="1" x14ac:dyDescent="0.25">
      <c r="A12" s="3" t="s">
        <v>8</v>
      </c>
      <c r="B12" s="3" t="s">
        <v>758</v>
      </c>
      <c r="C12" s="3" t="s">
        <v>56</v>
      </c>
      <c r="D12" s="3" t="s">
        <v>29</v>
      </c>
      <c r="E12" s="3" t="s">
        <v>51</v>
      </c>
      <c r="F12" s="3" t="s">
        <v>567</v>
      </c>
      <c r="G12" s="3" t="s">
        <v>632</v>
      </c>
      <c r="H12" s="3" t="s">
        <v>632</v>
      </c>
      <c r="I12" s="3" t="s">
        <v>759</v>
      </c>
      <c r="J12" s="3" t="s">
        <v>760</v>
      </c>
      <c r="K12" s="3" t="s">
        <v>761</v>
      </c>
      <c r="L12" s="6" t="s">
        <v>58</v>
      </c>
      <c r="M12" s="6" t="s">
        <v>59</v>
      </c>
    </row>
  </sheetData>
  <autoFilter ref="A1:M12" xr:uid="{00000000-0009-0000-0000-000009000000}"/>
  <phoneticPr fontId="4" type="noConversion"/>
  <hyperlinks>
    <hyperlink ref="L2" r:id="rId1" xr:uid="{00000000-0004-0000-0900-000000000000}"/>
    <hyperlink ref="M2" r:id="rId2" xr:uid="{00000000-0004-0000-0900-000001000000}"/>
    <hyperlink ref="L3" r:id="rId3" xr:uid="{00000000-0004-0000-0900-000002000000}"/>
    <hyperlink ref="M3" r:id="rId4" xr:uid="{00000000-0004-0000-0900-000003000000}"/>
    <hyperlink ref="L4" r:id="rId5" xr:uid="{00000000-0004-0000-0900-000004000000}"/>
    <hyperlink ref="M4" r:id="rId6" xr:uid="{00000000-0004-0000-0900-000005000000}"/>
    <hyperlink ref="L5" r:id="rId7" xr:uid="{00000000-0004-0000-0900-000006000000}"/>
    <hyperlink ref="M5" r:id="rId8" xr:uid="{00000000-0004-0000-0900-000007000000}"/>
    <hyperlink ref="L6" r:id="rId9" xr:uid="{00000000-0004-0000-0900-000008000000}"/>
    <hyperlink ref="M6" r:id="rId10" xr:uid="{00000000-0004-0000-0900-000009000000}"/>
    <hyperlink ref="L7" r:id="rId11" xr:uid="{00000000-0004-0000-0900-00000A000000}"/>
    <hyperlink ref="M7" r:id="rId12" xr:uid="{00000000-0004-0000-0900-00000B000000}"/>
    <hyperlink ref="L8" r:id="rId13" xr:uid="{00000000-0004-0000-0900-00000C000000}"/>
    <hyperlink ref="M8" r:id="rId14" xr:uid="{00000000-0004-0000-0900-00000D000000}"/>
    <hyperlink ref="L9" r:id="rId15" xr:uid="{00000000-0004-0000-0900-00000E000000}"/>
    <hyperlink ref="M9" r:id="rId16" xr:uid="{00000000-0004-0000-0900-00000F000000}"/>
    <hyperlink ref="L10" r:id="rId17" xr:uid="{00000000-0004-0000-0900-000010000000}"/>
    <hyperlink ref="M10" r:id="rId18" xr:uid="{00000000-0004-0000-0900-000011000000}"/>
    <hyperlink ref="L11" r:id="rId19" xr:uid="{00000000-0004-0000-0900-000012000000}"/>
    <hyperlink ref="M11" r:id="rId20" xr:uid="{00000000-0004-0000-0900-000013000000}"/>
    <hyperlink ref="L12" r:id="rId21" xr:uid="{00000000-0004-0000-0900-000014000000}"/>
    <hyperlink ref="M12" r:id="rId22" xr:uid="{00000000-0004-0000-0900-000015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3" t="s">
        <v>8</v>
      </c>
      <c r="B2" s="3" t="s">
        <v>762</v>
      </c>
      <c r="C2" s="3" t="s">
        <v>763</v>
      </c>
      <c r="D2" s="3" t="s">
        <v>637</v>
      </c>
      <c r="E2" s="3" t="s">
        <v>764</v>
      </c>
      <c r="F2" s="3" t="s">
        <v>639</v>
      </c>
      <c r="G2" s="3" t="s">
        <v>632</v>
      </c>
      <c r="H2" s="3" t="s">
        <v>765</v>
      </c>
      <c r="I2" s="3" t="s">
        <v>640</v>
      </c>
      <c r="J2" s="3" t="s">
        <v>766</v>
      </c>
      <c r="K2" s="3" t="s">
        <v>767</v>
      </c>
      <c r="L2" s="6" t="s">
        <v>768</v>
      </c>
      <c r="M2" s="6" t="s">
        <v>769</v>
      </c>
    </row>
    <row r="3" spans="1:13" ht="48" customHeight="1" x14ac:dyDescent="0.25">
      <c r="A3" s="2" t="s">
        <v>104</v>
      </c>
      <c r="B3" s="2" t="s">
        <v>753</v>
      </c>
      <c r="C3" s="2" t="s">
        <v>770</v>
      </c>
      <c r="D3" s="2" t="s">
        <v>771</v>
      </c>
      <c r="E3" s="2" t="s">
        <v>300</v>
      </c>
      <c r="F3" s="2" t="s">
        <v>497</v>
      </c>
      <c r="G3" s="2" t="s">
        <v>632</v>
      </c>
      <c r="H3" s="2" t="s">
        <v>772</v>
      </c>
      <c r="I3" s="2" t="s">
        <v>754</v>
      </c>
      <c r="J3" s="2" t="s">
        <v>631</v>
      </c>
      <c r="K3" s="2" t="s">
        <v>773</v>
      </c>
      <c r="L3" s="9" t="s">
        <v>768</v>
      </c>
      <c r="M3" s="9" t="s">
        <v>769</v>
      </c>
    </row>
    <row r="4" spans="1:13" ht="48" customHeight="1" x14ac:dyDescent="0.25">
      <c r="A4" s="2" t="s">
        <v>104</v>
      </c>
      <c r="B4" s="2" t="s">
        <v>670</v>
      </c>
      <c r="C4" s="2" t="s">
        <v>770</v>
      </c>
      <c r="D4" s="2" t="s">
        <v>771</v>
      </c>
      <c r="E4" s="2" t="s">
        <v>300</v>
      </c>
      <c r="F4" s="2" t="s">
        <v>497</v>
      </c>
      <c r="G4" s="2" t="s">
        <v>632</v>
      </c>
      <c r="H4" s="2" t="s">
        <v>774</v>
      </c>
      <c r="I4" s="2" t="s">
        <v>547</v>
      </c>
      <c r="J4" s="2" t="s">
        <v>548</v>
      </c>
      <c r="K4" s="2" t="s">
        <v>773</v>
      </c>
      <c r="L4" s="9" t="s">
        <v>768</v>
      </c>
      <c r="M4" s="9" t="s">
        <v>769</v>
      </c>
    </row>
    <row r="5" spans="1:13" ht="48" customHeight="1" x14ac:dyDescent="0.25">
      <c r="A5" s="2" t="s">
        <v>104</v>
      </c>
      <c r="B5" s="2" t="s">
        <v>624</v>
      </c>
      <c r="C5" s="2" t="s">
        <v>770</v>
      </c>
      <c r="D5" s="2" t="s">
        <v>771</v>
      </c>
      <c r="E5" s="2" t="s">
        <v>300</v>
      </c>
      <c r="F5" s="2" t="s">
        <v>497</v>
      </c>
      <c r="G5" s="2" t="s">
        <v>632</v>
      </c>
      <c r="H5" s="2" t="s">
        <v>775</v>
      </c>
      <c r="I5" s="2" t="s">
        <v>669</v>
      </c>
      <c r="J5" s="2" t="s">
        <v>627</v>
      </c>
      <c r="K5" s="2" t="s">
        <v>776</v>
      </c>
      <c r="L5" s="9" t="s">
        <v>768</v>
      </c>
      <c r="M5" s="9" t="s">
        <v>769</v>
      </c>
    </row>
    <row r="6" spans="1:13" ht="48" customHeight="1" x14ac:dyDescent="0.25">
      <c r="A6" s="3" t="s">
        <v>8</v>
      </c>
      <c r="B6" s="3" t="s">
        <v>652</v>
      </c>
      <c r="C6" s="3" t="s">
        <v>711</v>
      </c>
      <c r="D6" s="3" t="s">
        <v>637</v>
      </c>
      <c r="E6" s="3" t="s">
        <v>613</v>
      </c>
      <c r="F6" s="3" t="s">
        <v>639</v>
      </c>
      <c r="G6" s="3" t="s">
        <v>632</v>
      </c>
      <c r="H6" s="3" t="s">
        <v>632</v>
      </c>
      <c r="I6" s="3" t="s">
        <v>655</v>
      </c>
      <c r="J6" s="3" t="s">
        <v>656</v>
      </c>
      <c r="K6" s="3" t="s">
        <v>711</v>
      </c>
      <c r="L6" s="6" t="s">
        <v>204</v>
      </c>
      <c r="M6" s="6" t="s">
        <v>205</v>
      </c>
    </row>
    <row r="7" spans="1:13" ht="48" customHeight="1" x14ac:dyDescent="0.25">
      <c r="A7" s="3" t="s">
        <v>8</v>
      </c>
      <c r="B7" s="3" t="s">
        <v>227</v>
      </c>
      <c r="C7" s="3" t="s">
        <v>19</v>
      </c>
      <c r="D7" s="3" t="s">
        <v>7</v>
      </c>
      <c r="E7" s="3" t="s">
        <v>613</v>
      </c>
      <c r="F7" s="3" t="s">
        <v>639</v>
      </c>
      <c r="G7" s="3" t="s">
        <v>632</v>
      </c>
      <c r="H7" s="3" t="s">
        <v>632</v>
      </c>
      <c r="I7" s="3" t="s">
        <v>640</v>
      </c>
      <c r="J7" s="3" t="s">
        <v>641</v>
      </c>
      <c r="K7" s="3" t="s">
        <v>711</v>
      </c>
      <c r="L7" s="6" t="s">
        <v>231</v>
      </c>
      <c r="M7" s="6" t="s">
        <v>24</v>
      </c>
    </row>
    <row r="8" spans="1:13" ht="48" customHeight="1" x14ac:dyDescent="0.25">
      <c r="A8" s="3" t="s">
        <v>8</v>
      </c>
      <c r="B8" s="3" t="s">
        <v>750</v>
      </c>
      <c r="C8" s="3" t="s">
        <v>711</v>
      </c>
      <c r="D8" s="3" t="s">
        <v>637</v>
      </c>
      <c r="E8" s="3" t="s">
        <v>144</v>
      </c>
      <c r="F8" s="3" t="s">
        <v>639</v>
      </c>
      <c r="G8" s="3" t="s">
        <v>632</v>
      </c>
      <c r="H8" s="3" t="s">
        <v>632</v>
      </c>
      <c r="I8" s="3" t="s">
        <v>601</v>
      </c>
      <c r="J8" s="3" t="s">
        <v>602</v>
      </c>
      <c r="K8" s="3" t="s">
        <v>711</v>
      </c>
      <c r="L8" s="6" t="s">
        <v>131</v>
      </c>
      <c r="M8" s="6" t="s">
        <v>132</v>
      </c>
    </row>
    <row r="9" spans="1:13" ht="48" customHeight="1" x14ac:dyDescent="0.25">
      <c r="A9" s="3" t="s">
        <v>8</v>
      </c>
      <c r="B9" s="3" t="s">
        <v>751</v>
      </c>
      <c r="C9" s="3" t="s">
        <v>711</v>
      </c>
      <c r="D9" s="3" t="s">
        <v>637</v>
      </c>
      <c r="E9" s="3" t="s">
        <v>100</v>
      </c>
      <c r="F9" s="3" t="s">
        <v>639</v>
      </c>
      <c r="G9" s="3" t="s">
        <v>632</v>
      </c>
      <c r="H9" s="3" t="s">
        <v>632</v>
      </c>
      <c r="I9" s="3" t="s">
        <v>608</v>
      </c>
      <c r="J9" s="3" t="s">
        <v>609</v>
      </c>
      <c r="K9" s="3" t="s">
        <v>711</v>
      </c>
      <c r="L9" s="6" t="s">
        <v>135</v>
      </c>
      <c r="M9" s="6" t="s">
        <v>24</v>
      </c>
    </row>
    <row r="10" spans="1:13" ht="48" customHeight="1" x14ac:dyDescent="0.25">
      <c r="A10" s="3" t="s">
        <v>8</v>
      </c>
      <c r="B10" s="3" t="s">
        <v>752</v>
      </c>
      <c r="C10" s="3" t="s">
        <v>711</v>
      </c>
      <c r="D10" s="3" t="s">
        <v>637</v>
      </c>
      <c r="E10" s="3" t="s">
        <v>71</v>
      </c>
      <c r="F10" s="3" t="s">
        <v>639</v>
      </c>
      <c r="G10" s="3" t="s">
        <v>632</v>
      </c>
      <c r="H10" s="3" t="s">
        <v>632</v>
      </c>
      <c r="I10" s="3" t="s">
        <v>604</v>
      </c>
      <c r="J10" s="3" t="s">
        <v>605</v>
      </c>
      <c r="K10" s="3" t="s">
        <v>711</v>
      </c>
      <c r="L10" s="6" t="s">
        <v>82</v>
      </c>
      <c r="M10" s="6" t="s">
        <v>83</v>
      </c>
    </row>
    <row r="11" spans="1:13" ht="48" customHeight="1" x14ac:dyDescent="0.25">
      <c r="A11" s="3" t="s">
        <v>8</v>
      </c>
      <c r="B11" s="3" t="s">
        <v>758</v>
      </c>
      <c r="C11" s="3" t="s">
        <v>711</v>
      </c>
      <c r="D11" s="3" t="s">
        <v>637</v>
      </c>
      <c r="E11" s="3" t="s">
        <v>42</v>
      </c>
      <c r="F11" s="3" t="s">
        <v>639</v>
      </c>
      <c r="G11" s="3" t="s">
        <v>632</v>
      </c>
      <c r="H11" s="3" t="s">
        <v>632</v>
      </c>
      <c r="I11" s="3" t="s">
        <v>759</v>
      </c>
      <c r="J11" s="3" t="s">
        <v>760</v>
      </c>
      <c r="K11" s="3" t="s">
        <v>711</v>
      </c>
      <c r="L11" s="6" t="s">
        <v>58</v>
      </c>
      <c r="M11" s="6" t="s">
        <v>59</v>
      </c>
    </row>
    <row r="12" spans="1:13" ht="48" customHeight="1" x14ac:dyDescent="0.25">
      <c r="A12" s="3" t="s">
        <v>8</v>
      </c>
      <c r="B12" s="3" t="s">
        <v>643</v>
      </c>
      <c r="C12" s="3" t="s">
        <v>711</v>
      </c>
      <c r="D12" s="3" t="s">
        <v>637</v>
      </c>
      <c r="E12" s="3" t="s">
        <v>644</v>
      </c>
      <c r="F12" s="3" t="s">
        <v>639</v>
      </c>
      <c r="G12" s="3" t="s">
        <v>632</v>
      </c>
      <c r="H12" s="3" t="s">
        <v>632</v>
      </c>
      <c r="I12" s="3" t="s">
        <v>645</v>
      </c>
      <c r="J12" s="3" t="s">
        <v>646</v>
      </c>
      <c r="K12" s="3" t="s">
        <v>711</v>
      </c>
      <c r="L12" s="6" t="s">
        <v>146</v>
      </c>
      <c r="M12" s="6" t="s">
        <v>141</v>
      </c>
    </row>
  </sheetData>
  <autoFilter ref="A1:M12" xr:uid="{00000000-0009-0000-0000-00000A000000}"/>
  <phoneticPr fontId="4" type="noConversion"/>
  <hyperlinks>
    <hyperlink ref="L2" r:id="rId1" xr:uid="{00000000-0004-0000-0A00-000000000000}"/>
    <hyperlink ref="M2" r:id="rId2" xr:uid="{00000000-0004-0000-0A00-000001000000}"/>
    <hyperlink ref="L3" r:id="rId3" xr:uid="{00000000-0004-0000-0A00-000002000000}"/>
    <hyperlink ref="M3" r:id="rId4" xr:uid="{00000000-0004-0000-0A00-000003000000}"/>
    <hyperlink ref="L4" r:id="rId5" xr:uid="{00000000-0004-0000-0A00-000004000000}"/>
    <hyperlink ref="M4" r:id="rId6" xr:uid="{00000000-0004-0000-0A00-000005000000}"/>
    <hyperlink ref="L5" r:id="rId7" xr:uid="{00000000-0004-0000-0A00-000006000000}"/>
    <hyperlink ref="M5" r:id="rId8" xr:uid="{00000000-0004-0000-0A00-000007000000}"/>
    <hyperlink ref="L6" r:id="rId9" xr:uid="{00000000-0004-0000-0A00-000008000000}"/>
    <hyperlink ref="M6" r:id="rId10" xr:uid="{00000000-0004-0000-0A00-000009000000}"/>
    <hyperlink ref="L7" r:id="rId11" xr:uid="{00000000-0004-0000-0A00-00000A000000}"/>
    <hyperlink ref="M7" r:id="rId12" xr:uid="{00000000-0004-0000-0A00-00000B000000}"/>
    <hyperlink ref="L8" r:id="rId13" xr:uid="{00000000-0004-0000-0A00-00000C000000}"/>
    <hyperlink ref="M8" r:id="rId14" xr:uid="{00000000-0004-0000-0A00-00000D000000}"/>
    <hyperlink ref="L9" r:id="rId15" xr:uid="{00000000-0004-0000-0A00-00000E000000}"/>
    <hyperlink ref="M9" r:id="rId16" xr:uid="{00000000-0004-0000-0A00-00000F000000}"/>
    <hyperlink ref="L10" r:id="rId17" xr:uid="{00000000-0004-0000-0A00-000010000000}"/>
    <hyperlink ref="M10" r:id="rId18" xr:uid="{00000000-0004-0000-0A00-000011000000}"/>
    <hyperlink ref="L11" r:id="rId19" xr:uid="{00000000-0004-0000-0A00-000012000000}"/>
    <hyperlink ref="M11" r:id="rId20" xr:uid="{00000000-0004-0000-0A00-000013000000}"/>
    <hyperlink ref="L12" r:id="rId21" xr:uid="{00000000-0004-0000-0A00-000014000000}"/>
    <hyperlink ref="M12" r:id="rId22" xr:uid="{00000000-0004-0000-0A00-000015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2" t="s">
        <v>104</v>
      </c>
      <c r="B2" s="2" t="s">
        <v>777</v>
      </c>
      <c r="C2" s="2" t="s">
        <v>778</v>
      </c>
      <c r="D2" s="2" t="s">
        <v>771</v>
      </c>
      <c r="E2" s="2" t="s">
        <v>281</v>
      </c>
      <c r="F2" s="2" t="s">
        <v>497</v>
      </c>
      <c r="G2" s="2" t="s">
        <v>632</v>
      </c>
      <c r="H2" s="2" t="s">
        <v>779</v>
      </c>
      <c r="I2" s="2" t="s">
        <v>500</v>
      </c>
      <c r="J2" s="2" t="s">
        <v>500</v>
      </c>
      <c r="K2" s="2" t="s">
        <v>780</v>
      </c>
      <c r="L2" s="9" t="s">
        <v>781</v>
      </c>
      <c r="M2" s="9" t="s">
        <v>782</v>
      </c>
    </row>
    <row r="3" spans="1:13" ht="48" customHeight="1" x14ac:dyDescent="0.25">
      <c r="A3" s="2" t="s">
        <v>104</v>
      </c>
      <c r="B3" s="2" t="s">
        <v>783</v>
      </c>
      <c r="C3" s="2" t="s">
        <v>85</v>
      </c>
      <c r="D3" s="2" t="s">
        <v>29</v>
      </c>
      <c r="E3" s="2" t="s">
        <v>331</v>
      </c>
      <c r="F3" s="2" t="s">
        <v>567</v>
      </c>
      <c r="G3" s="2" t="s">
        <v>632</v>
      </c>
      <c r="H3" s="2" t="s">
        <v>632</v>
      </c>
      <c r="I3" s="2" t="s">
        <v>500</v>
      </c>
      <c r="J3" s="2" t="s">
        <v>500</v>
      </c>
      <c r="K3" s="2" t="s">
        <v>784</v>
      </c>
      <c r="L3" s="9" t="s">
        <v>785</v>
      </c>
      <c r="M3" s="9" t="s">
        <v>786</v>
      </c>
    </row>
    <row r="4" spans="1:13" ht="48" customHeight="1" x14ac:dyDescent="0.25">
      <c r="A4" s="2" t="s">
        <v>104</v>
      </c>
      <c r="B4" s="2" t="s">
        <v>624</v>
      </c>
      <c r="C4" s="2" t="s">
        <v>711</v>
      </c>
      <c r="D4" s="2" t="s">
        <v>711</v>
      </c>
      <c r="E4" s="2" t="s">
        <v>251</v>
      </c>
      <c r="F4" s="2" t="s">
        <v>639</v>
      </c>
      <c r="G4" s="2" t="s">
        <v>632</v>
      </c>
      <c r="H4" s="2" t="s">
        <v>632</v>
      </c>
      <c r="I4" s="2" t="s">
        <v>669</v>
      </c>
      <c r="J4" s="2" t="s">
        <v>627</v>
      </c>
      <c r="K4" s="2" t="s">
        <v>711</v>
      </c>
      <c r="L4" s="9" t="s">
        <v>417</v>
      </c>
      <c r="M4" s="9" t="s">
        <v>418</v>
      </c>
    </row>
    <row r="5" spans="1:13" ht="48" customHeight="1" x14ac:dyDescent="0.25">
      <c r="A5" s="2" t="s">
        <v>104</v>
      </c>
      <c r="B5" s="2" t="s">
        <v>787</v>
      </c>
      <c r="C5" s="2" t="s">
        <v>711</v>
      </c>
      <c r="D5" s="2" t="s">
        <v>711</v>
      </c>
      <c r="E5" s="2" t="s">
        <v>788</v>
      </c>
      <c r="F5" s="2" t="s">
        <v>639</v>
      </c>
      <c r="G5" s="2" t="s">
        <v>632</v>
      </c>
      <c r="H5" s="2" t="s">
        <v>632</v>
      </c>
      <c r="I5" s="2" t="s">
        <v>754</v>
      </c>
      <c r="J5" s="2" t="s">
        <v>631</v>
      </c>
      <c r="K5" s="2" t="s">
        <v>711</v>
      </c>
      <c r="L5" s="9" t="s">
        <v>433</v>
      </c>
      <c r="M5" s="9" t="s">
        <v>434</v>
      </c>
    </row>
    <row r="6" spans="1:13" ht="48" customHeight="1" x14ac:dyDescent="0.25">
      <c r="A6" s="2" t="s">
        <v>104</v>
      </c>
      <c r="B6" s="2" t="s">
        <v>674</v>
      </c>
      <c r="C6" s="2" t="s">
        <v>711</v>
      </c>
      <c r="D6" s="2" t="s">
        <v>711</v>
      </c>
      <c r="E6" s="2" t="s">
        <v>764</v>
      </c>
      <c r="F6" s="2" t="s">
        <v>639</v>
      </c>
      <c r="G6" s="2" t="s">
        <v>632</v>
      </c>
      <c r="H6" s="2" t="s">
        <v>632</v>
      </c>
      <c r="I6" s="2" t="s">
        <v>677</v>
      </c>
      <c r="J6" s="2" t="s">
        <v>678</v>
      </c>
      <c r="K6" s="2" t="s">
        <v>711</v>
      </c>
      <c r="L6" s="9" t="s">
        <v>343</v>
      </c>
      <c r="M6" s="9" t="s">
        <v>344</v>
      </c>
    </row>
    <row r="7" spans="1:13" ht="48" customHeight="1" x14ac:dyDescent="0.25">
      <c r="A7" s="2" t="s">
        <v>104</v>
      </c>
      <c r="B7" s="2" t="s">
        <v>670</v>
      </c>
      <c r="C7" s="2" t="s">
        <v>711</v>
      </c>
      <c r="D7" s="2" t="s">
        <v>711</v>
      </c>
      <c r="E7" s="2" t="s">
        <v>764</v>
      </c>
      <c r="F7" s="2" t="s">
        <v>639</v>
      </c>
      <c r="G7" s="2" t="s">
        <v>632</v>
      </c>
      <c r="H7" s="2" t="s">
        <v>632</v>
      </c>
      <c r="I7" s="2" t="s">
        <v>547</v>
      </c>
      <c r="J7" s="2" t="s">
        <v>548</v>
      </c>
      <c r="K7" s="2" t="s">
        <v>711</v>
      </c>
      <c r="L7" s="9" t="s">
        <v>349</v>
      </c>
      <c r="M7" s="9" t="s">
        <v>350</v>
      </c>
    </row>
    <row r="8" spans="1:13" ht="48" customHeight="1" x14ac:dyDescent="0.25">
      <c r="A8" s="2" t="s">
        <v>104</v>
      </c>
      <c r="B8" s="2" t="s">
        <v>635</v>
      </c>
      <c r="C8" s="2" t="s">
        <v>711</v>
      </c>
      <c r="D8" s="2" t="s">
        <v>711</v>
      </c>
      <c r="E8" s="2" t="s">
        <v>172</v>
      </c>
      <c r="F8" s="2" t="s">
        <v>639</v>
      </c>
      <c r="G8" s="2" t="s">
        <v>632</v>
      </c>
      <c r="H8" s="2" t="s">
        <v>632</v>
      </c>
      <c r="I8" s="2" t="s">
        <v>500</v>
      </c>
      <c r="J8" s="2" t="s">
        <v>501</v>
      </c>
      <c r="K8" s="2" t="s">
        <v>711</v>
      </c>
      <c r="L8" s="9" t="s">
        <v>184</v>
      </c>
      <c r="M8" s="9" t="s">
        <v>185</v>
      </c>
    </row>
    <row r="9" spans="1:13" ht="48" customHeight="1" x14ac:dyDescent="0.25">
      <c r="A9" s="2" t="s">
        <v>104</v>
      </c>
      <c r="B9" s="2" t="s">
        <v>789</v>
      </c>
      <c r="C9" s="2" t="s">
        <v>711</v>
      </c>
      <c r="D9" s="2" t="s">
        <v>711</v>
      </c>
      <c r="E9" s="2" t="s">
        <v>172</v>
      </c>
      <c r="F9" s="2" t="s">
        <v>639</v>
      </c>
      <c r="G9" s="2" t="s">
        <v>632</v>
      </c>
      <c r="H9" s="2" t="s">
        <v>632</v>
      </c>
      <c r="I9" s="2" t="s">
        <v>500</v>
      </c>
      <c r="J9" s="2" t="s">
        <v>790</v>
      </c>
      <c r="K9" s="2" t="s">
        <v>711</v>
      </c>
      <c r="L9" s="9" t="s">
        <v>200</v>
      </c>
      <c r="M9" s="9" t="s">
        <v>201</v>
      </c>
    </row>
    <row r="10" spans="1:13" ht="48" customHeight="1" x14ac:dyDescent="0.25">
      <c r="A10" s="3" t="s">
        <v>8</v>
      </c>
      <c r="B10" s="3" t="s">
        <v>652</v>
      </c>
      <c r="C10" s="3" t="s">
        <v>711</v>
      </c>
      <c r="D10" s="3" t="s">
        <v>711</v>
      </c>
      <c r="E10" s="3" t="s">
        <v>791</v>
      </c>
      <c r="F10" s="3" t="s">
        <v>639</v>
      </c>
      <c r="G10" s="3" t="s">
        <v>632</v>
      </c>
      <c r="H10" s="3" t="s">
        <v>632</v>
      </c>
      <c r="I10" s="3" t="s">
        <v>655</v>
      </c>
      <c r="J10" s="3" t="s">
        <v>656</v>
      </c>
      <c r="K10" s="3" t="s">
        <v>711</v>
      </c>
      <c r="L10" s="6" t="s">
        <v>204</v>
      </c>
      <c r="M10" s="6" t="s">
        <v>205</v>
      </c>
    </row>
    <row r="11" spans="1:13" ht="48" customHeight="1" x14ac:dyDescent="0.25">
      <c r="A11" s="3" t="s">
        <v>8</v>
      </c>
      <c r="B11" s="3" t="s">
        <v>227</v>
      </c>
      <c r="C11" s="3" t="s">
        <v>711</v>
      </c>
      <c r="D11" s="3" t="s">
        <v>711</v>
      </c>
      <c r="E11" s="3" t="s">
        <v>172</v>
      </c>
      <c r="F11" s="3" t="s">
        <v>639</v>
      </c>
      <c r="G11" s="3" t="s">
        <v>632</v>
      </c>
      <c r="H11" s="3" t="s">
        <v>632</v>
      </c>
      <c r="I11" s="3" t="s">
        <v>640</v>
      </c>
      <c r="J11" s="3" t="s">
        <v>641</v>
      </c>
      <c r="K11" s="3" t="s">
        <v>711</v>
      </c>
      <c r="L11" s="6" t="s">
        <v>231</v>
      </c>
      <c r="M11" s="6" t="s">
        <v>24</v>
      </c>
    </row>
    <row r="12" spans="1:13" ht="48" customHeight="1" x14ac:dyDescent="0.25">
      <c r="A12" s="2" t="s">
        <v>104</v>
      </c>
      <c r="B12" s="2" t="s">
        <v>215</v>
      </c>
      <c r="C12" s="2" t="s">
        <v>711</v>
      </c>
      <c r="D12" s="2" t="s">
        <v>711</v>
      </c>
      <c r="E12" s="2" t="s">
        <v>144</v>
      </c>
      <c r="F12" s="2" t="s">
        <v>639</v>
      </c>
      <c r="G12" s="2" t="s">
        <v>632</v>
      </c>
      <c r="H12" s="2" t="s">
        <v>632</v>
      </c>
      <c r="I12" s="2" t="s">
        <v>500</v>
      </c>
      <c r="J12" s="2" t="s">
        <v>517</v>
      </c>
      <c r="K12" s="2" t="s">
        <v>711</v>
      </c>
      <c r="L12" s="9" t="s">
        <v>219</v>
      </c>
      <c r="M12" s="9" t="s">
        <v>220</v>
      </c>
    </row>
  </sheetData>
  <autoFilter ref="A1:M12" xr:uid="{00000000-0009-0000-0000-00000B000000}"/>
  <phoneticPr fontId="4" type="noConversion"/>
  <hyperlinks>
    <hyperlink ref="L2" r:id="rId1" xr:uid="{00000000-0004-0000-0B00-000000000000}"/>
    <hyperlink ref="M2" r:id="rId2" xr:uid="{00000000-0004-0000-0B00-000001000000}"/>
    <hyperlink ref="L3" r:id="rId3" xr:uid="{00000000-0004-0000-0B00-000002000000}"/>
    <hyperlink ref="M3" r:id="rId4" xr:uid="{00000000-0004-0000-0B00-000003000000}"/>
    <hyperlink ref="L4" r:id="rId5" xr:uid="{00000000-0004-0000-0B00-000004000000}"/>
    <hyperlink ref="M4" r:id="rId6" xr:uid="{00000000-0004-0000-0B00-000005000000}"/>
    <hyperlink ref="L5" r:id="rId7" xr:uid="{00000000-0004-0000-0B00-000006000000}"/>
    <hyperlink ref="M5" r:id="rId8" xr:uid="{00000000-0004-0000-0B00-000007000000}"/>
    <hyperlink ref="L6" r:id="rId9" xr:uid="{00000000-0004-0000-0B00-000008000000}"/>
    <hyperlink ref="M6" r:id="rId10" xr:uid="{00000000-0004-0000-0B00-000009000000}"/>
    <hyperlink ref="L7" r:id="rId11" xr:uid="{00000000-0004-0000-0B00-00000A000000}"/>
    <hyperlink ref="M7" r:id="rId12" xr:uid="{00000000-0004-0000-0B00-00000B000000}"/>
    <hyperlink ref="L8" r:id="rId13" xr:uid="{00000000-0004-0000-0B00-00000C000000}"/>
    <hyperlink ref="M8" r:id="rId14" xr:uid="{00000000-0004-0000-0B00-00000D000000}"/>
    <hyperlink ref="L9" r:id="rId15" xr:uid="{00000000-0004-0000-0B00-00000E000000}"/>
    <hyperlink ref="M9" r:id="rId16" xr:uid="{00000000-0004-0000-0B00-00000F000000}"/>
    <hyperlink ref="L10" r:id="rId17" xr:uid="{00000000-0004-0000-0B00-000010000000}"/>
    <hyperlink ref="M10" r:id="rId18" xr:uid="{00000000-0004-0000-0B00-000011000000}"/>
    <hyperlink ref="L11" r:id="rId19" xr:uid="{00000000-0004-0000-0B00-000012000000}"/>
    <hyperlink ref="M11" r:id="rId20" xr:uid="{00000000-0004-0000-0B00-000013000000}"/>
    <hyperlink ref="L12" r:id="rId21" xr:uid="{00000000-0004-0000-0B00-000014000000}"/>
    <hyperlink ref="M12" r:id="rId22" xr:uid="{00000000-0004-0000-0B00-00001500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3" t="s">
        <v>8</v>
      </c>
      <c r="B2" s="3" t="s">
        <v>792</v>
      </c>
      <c r="C2" s="3" t="s">
        <v>36</v>
      </c>
      <c r="D2" s="3" t="s">
        <v>29</v>
      </c>
      <c r="E2" s="3" t="s">
        <v>217</v>
      </c>
      <c r="F2" s="3" t="s">
        <v>567</v>
      </c>
      <c r="G2" s="3" t="s">
        <v>632</v>
      </c>
      <c r="H2" s="3" t="s">
        <v>793</v>
      </c>
      <c r="I2" s="3" t="s">
        <v>500</v>
      </c>
      <c r="J2" s="3" t="s">
        <v>500</v>
      </c>
      <c r="K2" s="3" t="s">
        <v>794</v>
      </c>
      <c r="L2" s="6" t="s">
        <v>795</v>
      </c>
      <c r="M2" s="6" t="s">
        <v>796</v>
      </c>
    </row>
    <row r="3" spans="1:13" ht="48" customHeight="1" x14ac:dyDescent="0.25">
      <c r="A3" s="3" t="s">
        <v>8</v>
      </c>
      <c r="B3" s="3" t="s">
        <v>797</v>
      </c>
      <c r="C3" s="3" t="s">
        <v>528</v>
      </c>
      <c r="D3" s="3" t="s">
        <v>113</v>
      </c>
      <c r="E3" s="3" t="s">
        <v>251</v>
      </c>
      <c r="F3" s="3" t="s">
        <v>497</v>
      </c>
      <c r="G3" s="3" t="s">
        <v>632</v>
      </c>
      <c r="H3" s="3" t="s">
        <v>798</v>
      </c>
      <c r="I3" s="3" t="s">
        <v>500</v>
      </c>
      <c r="J3" s="3" t="s">
        <v>799</v>
      </c>
      <c r="K3" s="3" t="s">
        <v>800</v>
      </c>
      <c r="L3" s="6" t="s">
        <v>801</v>
      </c>
      <c r="M3" s="6" t="s">
        <v>802</v>
      </c>
    </row>
    <row r="4" spans="1:13" ht="48" customHeight="1" x14ac:dyDescent="0.25">
      <c r="A4" s="3" t="s">
        <v>8</v>
      </c>
      <c r="B4" s="3" t="s">
        <v>803</v>
      </c>
      <c r="C4" s="3" t="s">
        <v>250</v>
      </c>
      <c r="D4" s="3" t="s">
        <v>50</v>
      </c>
      <c r="E4" s="3" t="s">
        <v>804</v>
      </c>
      <c r="F4" s="3" t="s">
        <v>497</v>
      </c>
      <c r="G4" s="3" t="s">
        <v>632</v>
      </c>
      <c r="H4" s="3" t="s">
        <v>805</v>
      </c>
      <c r="I4" s="3" t="s">
        <v>500</v>
      </c>
      <c r="J4" s="3" t="s">
        <v>500</v>
      </c>
      <c r="K4" s="3" t="s">
        <v>806</v>
      </c>
      <c r="L4" s="6" t="s">
        <v>807</v>
      </c>
      <c r="M4" s="6" t="s">
        <v>808</v>
      </c>
    </row>
    <row r="5" spans="1:13" ht="48" customHeight="1" x14ac:dyDescent="0.25">
      <c r="A5" s="3" t="s">
        <v>8</v>
      </c>
      <c r="B5" s="3" t="s">
        <v>809</v>
      </c>
      <c r="C5" s="3" t="s">
        <v>528</v>
      </c>
      <c r="D5" s="3" t="s">
        <v>113</v>
      </c>
      <c r="E5" s="3" t="s">
        <v>251</v>
      </c>
      <c r="F5" s="3" t="s">
        <v>497</v>
      </c>
      <c r="G5" s="3" t="s">
        <v>632</v>
      </c>
      <c r="H5" s="3" t="s">
        <v>810</v>
      </c>
      <c r="I5" s="3" t="s">
        <v>500</v>
      </c>
      <c r="J5" s="3" t="s">
        <v>811</v>
      </c>
      <c r="K5" s="3" t="s">
        <v>812</v>
      </c>
      <c r="L5" s="6" t="s">
        <v>801</v>
      </c>
      <c r="M5" s="6" t="s">
        <v>802</v>
      </c>
    </row>
    <row r="6" spans="1:13" ht="48" customHeight="1" x14ac:dyDescent="0.25">
      <c r="A6" s="3" t="s">
        <v>8</v>
      </c>
      <c r="B6" s="3" t="s">
        <v>813</v>
      </c>
      <c r="C6" s="3" t="s">
        <v>814</v>
      </c>
      <c r="D6" s="3" t="s">
        <v>50</v>
      </c>
      <c r="E6" s="3" t="s">
        <v>281</v>
      </c>
      <c r="F6" s="3" t="s">
        <v>497</v>
      </c>
      <c r="G6" s="3" t="s">
        <v>632</v>
      </c>
      <c r="H6" s="3" t="s">
        <v>815</v>
      </c>
      <c r="I6" s="3" t="s">
        <v>500</v>
      </c>
      <c r="J6" s="3" t="s">
        <v>799</v>
      </c>
      <c r="K6" s="3" t="s">
        <v>816</v>
      </c>
      <c r="L6" s="6" t="s">
        <v>321</v>
      </c>
      <c r="M6" s="6" t="s">
        <v>322</v>
      </c>
    </row>
    <row r="7" spans="1:13" ht="48" customHeight="1" x14ac:dyDescent="0.25">
      <c r="A7" s="3" t="s">
        <v>8</v>
      </c>
      <c r="B7" s="3" t="s">
        <v>817</v>
      </c>
      <c r="C7" s="3" t="s">
        <v>250</v>
      </c>
      <c r="D7" s="3" t="s">
        <v>113</v>
      </c>
      <c r="E7" s="3" t="s">
        <v>347</v>
      </c>
      <c r="F7" s="3" t="s">
        <v>497</v>
      </c>
      <c r="G7" s="3" t="s">
        <v>632</v>
      </c>
      <c r="H7" s="3" t="s">
        <v>818</v>
      </c>
      <c r="I7" s="3" t="s">
        <v>500</v>
      </c>
      <c r="J7" s="3" t="s">
        <v>500</v>
      </c>
      <c r="K7" s="3" t="s">
        <v>819</v>
      </c>
      <c r="L7" s="6" t="s">
        <v>820</v>
      </c>
      <c r="M7" s="6" t="s">
        <v>821</v>
      </c>
    </row>
    <row r="8" spans="1:13" ht="48" customHeight="1" x14ac:dyDescent="0.25">
      <c r="A8" s="3" t="s">
        <v>8</v>
      </c>
      <c r="B8" s="3" t="s">
        <v>822</v>
      </c>
      <c r="C8" s="3" t="s">
        <v>36</v>
      </c>
      <c r="D8" s="3" t="s">
        <v>29</v>
      </c>
      <c r="E8" s="3" t="s">
        <v>823</v>
      </c>
      <c r="F8" s="3" t="s">
        <v>567</v>
      </c>
      <c r="G8" s="3" t="s">
        <v>632</v>
      </c>
      <c r="H8" s="3" t="s">
        <v>824</v>
      </c>
      <c r="I8" s="3" t="s">
        <v>500</v>
      </c>
      <c r="J8" s="3" t="s">
        <v>500</v>
      </c>
      <c r="K8" s="3" t="s">
        <v>825</v>
      </c>
      <c r="L8" s="6" t="s">
        <v>826</v>
      </c>
      <c r="M8" s="6" t="s">
        <v>39</v>
      </c>
    </row>
    <row r="9" spans="1:13" ht="48" customHeight="1" x14ac:dyDescent="0.25">
      <c r="A9" s="3" t="s">
        <v>8</v>
      </c>
      <c r="B9" s="3" t="s">
        <v>827</v>
      </c>
      <c r="C9" s="3" t="s">
        <v>711</v>
      </c>
      <c r="D9" s="3" t="s">
        <v>637</v>
      </c>
      <c r="E9" s="3" t="s">
        <v>791</v>
      </c>
      <c r="F9" s="3" t="s">
        <v>639</v>
      </c>
      <c r="G9" s="3" t="s">
        <v>632</v>
      </c>
      <c r="H9" s="3" t="s">
        <v>824</v>
      </c>
      <c r="I9" s="3" t="s">
        <v>500</v>
      </c>
      <c r="J9" s="3" t="s">
        <v>500</v>
      </c>
      <c r="K9" s="3" t="s">
        <v>711</v>
      </c>
      <c r="L9" s="6" t="s">
        <v>237</v>
      </c>
      <c r="M9" s="6" t="s">
        <v>237</v>
      </c>
    </row>
    <row r="10" spans="1:13" ht="48" customHeight="1" x14ac:dyDescent="0.25">
      <c r="A10" s="3" t="s">
        <v>8</v>
      </c>
      <c r="B10" s="3" t="s">
        <v>828</v>
      </c>
      <c r="C10" s="3" t="s">
        <v>711</v>
      </c>
      <c r="D10" s="3" t="s">
        <v>637</v>
      </c>
      <c r="E10" s="3" t="s">
        <v>823</v>
      </c>
      <c r="F10" s="3" t="s">
        <v>639</v>
      </c>
      <c r="G10" s="3" t="s">
        <v>632</v>
      </c>
      <c r="H10" s="3" t="s">
        <v>824</v>
      </c>
      <c r="I10" s="3" t="s">
        <v>645</v>
      </c>
      <c r="J10" s="3" t="s">
        <v>646</v>
      </c>
      <c r="K10" s="3" t="s">
        <v>761</v>
      </c>
      <c r="L10" s="6" t="s">
        <v>146</v>
      </c>
      <c r="M10" s="6" t="s">
        <v>141</v>
      </c>
    </row>
    <row r="11" spans="1:13" ht="48" customHeight="1" x14ac:dyDescent="0.25">
      <c r="A11" s="3" t="s">
        <v>8</v>
      </c>
      <c r="B11" s="3" t="s">
        <v>829</v>
      </c>
      <c r="C11" s="3" t="s">
        <v>711</v>
      </c>
      <c r="D11" s="3" t="s">
        <v>637</v>
      </c>
      <c r="E11" s="3" t="s">
        <v>823</v>
      </c>
      <c r="F11" s="3" t="s">
        <v>639</v>
      </c>
      <c r="G11" s="3" t="s">
        <v>632</v>
      </c>
      <c r="H11" s="3" t="s">
        <v>824</v>
      </c>
      <c r="I11" s="3" t="s">
        <v>640</v>
      </c>
      <c r="J11" s="3" t="s">
        <v>641</v>
      </c>
      <c r="K11" s="3" t="s">
        <v>761</v>
      </c>
      <c r="L11" s="6" t="s">
        <v>231</v>
      </c>
      <c r="M11" s="6" t="s">
        <v>24</v>
      </c>
    </row>
    <row r="12" spans="1:13" ht="48" customHeight="1" x14ac:dyDescent="0.25">
      <c r="A12" s="3" t="s">
        <v>8</v>
      </c>
      <c r="B12" s="3" t="s">
        <v>830</v>
      </c>
      <c r="C12" s="3" t="s">
        <v>711</v>
      </c>
      <c r="D12" s="3" t="s">
        <v>637</v>
      </c>
      <c r="E12" s="3" t="s">
        <v>71</v>
      </c>
      <c r="F12" s="3" t="s">
        <v>639</v>
      </c>
      <c r="G12" s="3" t="s">
        <v>632</v>
      </c>
      <c r="H12" s="3" t="s">
        <v>824</v>
      </c>
      <c r="I12" s="3" t="s">
        <v>594</v>
      </c>
      <c r="J12" s="3" t="s">
        <v>500</v>
      </c>
      <c r="K12" s="3" t="s">
        <v>761</v>
      </c>
      <c r="L12" s="6" t="s">
        <v>73</v>
      </c>
      <c r="M12" s="6" t="s">
        <v>74</v>
      </c>
    </row>
  </sheetData>
  <autoFilter ref="A1:M12" xr:uid="{00000000-0009-0000-0000-00000C000000}"/>
  <phoneticPr fontId="4" type="noConversion"/>
  <hyperlinks>
    <hyperlink ref="L2" r:id="rId1" xr:uid="{00000000-0004-0000-0C00-000000000000}"/>
    <hyperlink ref="M2" r:id="rId2" xr:uid="{00000000-0004-0000-0C00-000001000000}"/>
    <hyperlink ref="L3" r:id="rId3" xr:uid="{00000000-0004-0000-0C00-000002000000}"/>
    <hyperlink ref="M3" r:id="rId4" xr:uid="{00000000-0004-0000-0C00-000003000000}"/>
    <hyperlink ref="L4" r:id="rId5" xr:uid="{00000000-0004-0000-0C00-000004000000}"/>
    <hyperlink ref="M4" r:id="rId6" xr:uid="{00000000-0004-0000-0C00-000005000000}"/>
    <hyperlink ref="L5" r:id="rId7" xr:uid="{00000000-0004-0000-0C00-000006000000}"/>
    <hyperlink ref="M5" r:id="rId8" xr:uid="{00000000-0004-0000-0C00-000007000000}"/>
    <hyperlink ref="L6" r:id="rId9" xr:uid="{00000000-0004-0000-0C00-000008000000}"/>
    <hyperlink ref="M6" r:id="rId10" xr:uid="{00000000-0004-0000-0C00-000009000000}"/>
    <hyperlink ref="L7" r:id="rId11" xr:uid="{00000000-0004-0000-0C00-00000A000000}"/>
    <hyperlink ref="M7" r:id="rId12" xr:uid="{00000000-0004-0000-0C00-00000B000000}"/>
    <hyperlink ref="L8" r:id="rId13" xr:uid="{00000000-0004-0000-0C00-00000C000000}"/>
    <hyperlink ref="M8" r:id="rId14" xr:uid="{00000000-0004-0000-0C00-00000D000000}"/>
    <hyperlink ref="L9" r:id="rId15" xr:uid="{00000000-0004-0000-0C00-00000E000000}"/>
    <hyperlink ref="M9" r:id="rId16" xr:uid="{00000000-0004-0000-0C00-00000F000000}"/>
    <hyperlink ref="L10" r:id="rId17" xr:uid="{00000000-0004-0000-0C00-000010000000}"/>
    <hyperlink ref="M10" r:id="rId18" xr:uid="{00000000-0004-0000-0C00-000011000000}"/>
    <hyperlink ref="L11" r:id="rId19" xr:uid="{00000000-0004-0000-0C00-000012000000}"/>
    <hyperlink ref="M11" r:id="rId20" xr:uid="{00000000-0004-0000-0C00-000013000000}"/>
    <hyperlink ref="L12" r:id="rId21" xr:uid="{00000000-0004-0000-0C00-000014000000}"/>
    <hyperlink ref="M12" r:id="rId22" xr:uid="{00000000-0004-0000-0C00-00001500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"/>
  <sheetViews>
    <sheetView workbookViewId="0">
      <pane ySplit="1" topLeftCell="A5" activePane="bottomLeft" state="frozen"/>
      <selection pane="bottomLeft" activeCell="L10" sqref="L10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3" t="s">
        <v>8</v>
      </c>
      <c r="B2" s="3" t="s">
        <v>792</v>
      </c>
      <c r="C2" s="3" t="s">
        <v>36</v>
      </c>
      <c r="D2" s="3" t="s">
        <v>29</v>
      </c>
      <c r="E2" s="3" t="s">
        <v>217</v>
      </c>
      <c r="F2" s="3" t="s">
        <v>567</v>
      </c>
      <c r="G2" s="3" t="s">
        <v>632</v>
      </c>
      <c r="H2" s="3" t="s">
        <v>831</v>
      </c>
      <c r="I2" s="3" t="s">
        <v>500</v>
      </c>
      <c r="J2" s="3" t="s">
        <v>500</v>
      </c>
      <c r="K2" s="3" t="s">
        <v>794</v>
      </c>
      <c r="L2" s="6" t="s">
        <v>795</v>
      </c>
      <c r="M2" s="6" t="s">
        <v>796</v>
      </c>
    </row>
    <row r="3" spans="1:13" ht="48" customHeight="1" x14ac:dyDescent="0.25">
      <c r="A3" s="3" t="s">
        <v>8</v>
      </c>
      <c r="B3" s="3" t="s">
        <v>797</v>
      </c>
      <c r="C3" s="3" t="s">
        <v>528</v>
      </c>
      <c r="D3" s="3" t="s">
        <v>113</v>
      </c>
      <c r="E3" s="3" t="s">
        <v>251</v>
      </c>
      <c r="F3" s="3" t="s">
        <v>497</v>
      </c>
      <c r="G3" s="3" t="s">
        <v>632</v>
      </c>
      <c r="H3" s="3" t="s">
        <v>832</v>
      </c>
      <c r="I3" s="3" t="s">
        <v>500</v>
      </c>
      <c r="J3" s="3" t="s">
        <v>799</v>
      </c>
      <c r="K3" s="3" t="s">
        <v>800</v>
      </c>
      <c r="L3" s="6" t="s">
        <v>801</v>
      </c>
      <c r="M3" s="6" t="s">
        <v>802</v>
      </c>
    </row>
    <row r="4" spans="1:13" ht="48" customHeight="1" x14ac:dyDescent="0.25">
      <c r="A4" s="3" t="s">
        <v>8</v>
      </c>
      <c r="B4" s="3" t="s">
        <v>803</v>
      </c>
      <c r="C4" s="3" t="s">
        <v>250</v>
      </c>
      <c r="D4" s="3" t="s">
        <v>50</v>
      </c>
      <c r="E4" s="3" t="s">
        <v>804</v>
      </c>
      <c r="F4" s="3" t="s">
        <v>497</v>
      </c>
      <c r="G4" s="3" t="s">
        <v>632</v>
      </c>
      <c r="H4" s="3" t="s">
        <v>833</v>
      </c>
      <c r="I4" s="3" t="s">
        <v>500</v>
      </c>
      <c r="J4" s="3" t="s">
        <v>500</v>
      </c>
      <c r="K4" s="3" t="s">
        <v>806</v>
      </c>
      <c r="L4" s="6" t="s">
        <v>807</v>
      </c>
      <c r="M4" s="6" t="s">
        <v>808</v>
      </c>
    </row>
    <row r="5" spans="1:13" ht="48" customHeight="1" x14ac:dyDescent="0.25">
      <c r="A5" s="3" t="s">
        <v>8</v>
      </c>
      <c r="B5" s="3" t="s">
        <v>809</v>
      </c>
      <c r="C5" s="3" t="s">
        <v>528</v>
      </c>
      <c r="D5" s="3" t="s">
        <v>113</v>
      </c>
      <c r="E5" s="3" t="s">
        <v>251</v>
      </c>
      <c r="F5" s="3" t="s">
        <v>497</v>
      </c>
      <c r="G5" s="3" t="s">
        <v>632</v>
      </c>
      <c r="H5" s="3" t="s">
        <v>834</v>
      </c>
      <c r="I5" s="3" t="s">
        <v>500</v>
      </c>
      <c r="J5" s="3" t="s">
        <v>811</v>
      </c>
      <c r="K5" s="3" t="s">
        <v>812</v>
      </c>
      <c r="L5" s="6" t="s">
        <v>801</v>
      </c>
      <c r="M5" s="6" t="s">
        <v>802</v>
      </c>
    </row>
    <row r="6" spans="1:13" ht="48" customHeight="1" x14ac:dyDescent="0.25">
      <c r="A6" s="3" t="s">
        <v>8</v>
      </c>
      <c r="B6" s="3" t="s">
        <v>813</v>
      </c>
      <c r="C6" s="3" t="s">
        <v>814</v>
      </c>
      <c r="D6" s="3" t="s">
        <v>50</v>
      </c>
      <c r="E6" s="3" t="s">
        <v>281</v>
      </c>
      <c r="F6" s="3" t="s">
        <v>497</v>
      </c>
      <c r="G6" s="3" t="s">
        <v>632</v>
      </c>
      <c r="H6" s="3" t="s">
        <v>835</v>
      </c>
      <c r="I6" s="3" t="s">
        <v>500</v>
      </c>
      <c r="J6" s="3" t="s">
        <v>799</v>
      </c>
      <c r="K6" s="3" t="s">
        <v>816</v>
      </c>
      <c r="L6" s="6" t="s">
        <v>321</v>
      </c>
      <c r="M6" s="6" t="s">
        <v>322</v>
      </c>
    </row>
    <row r="7" spans="1:13" ht="48" customHeight="1" x14ac:dyDescent="0.25">
      <c r="A7" s="3" t="s">
        <v>8</v>
      </c>
      <c r="B7" s="3" t="s">
        <v>817</v>
      </c>
      <c r="C7" s="3" t="s">
        <v>250</v>
      </c>
      <c r="D7" s="3" t="s">
        <v>113</v>
      </c>
      <c r="E7" s="3" t="s">
        <v>347</v>
      </c>
      <c r="F7" s="3" t="s">
        <v>497</v>
      </c>
      <c r="G7" s="3" t="s">
        <v>632</v>
      </c>
      <c r="H7" s="3" t="s">
        <v>836</v>
      </c>
      <c r="I7" s="3" t="s">
        <v>500</v>
      </c>
      <c r="J7" s="3" t="s">
        <v>500</v>
      </c>
      <c r="K7" s="3" t="s">
        <v>819</v>
      </c>
      <c r="L7" s="6" t="s">
        <v>820</v>
      </c>
      <c r="M7" s="6" t="s">
        <v>821</v>
      </c>
    </row>
    <row r="8" spans="1:13" ht="48" customHeight="1" x14ac:dyDescent="0.25">
      <c r="A8" s="3" t="s">
        <v>8</v>
      </c>
      <c r="B8" s="3" t="s">
        <v>822</v>
      </c>
      <c r="C8" s="3" t="s">
        <v>36</v>
      </c>
      <c r="D8" s="3" t="s">
        <v>29</v>
      </c>
      <c r="E8" s="3" t="s">
        <v>823</v>
      </c>
      <c r="F8" s="3" t="s">
        <v>567</v>
      </c>
      <c r="G8" s="3" t="s">
        <v>632</v>
      </c>
      <c r="H8" s="3" t="s">
        <v>837</v>
      </c>
      <c r="I8" s="3" t="s">
        <v>500</v>
      </c>
      <c r="J8" s="3" t="s">
        <v>500</v>
      </c>
      <c r="K8" s="3" t="s">
        <v>825</v>
      </c>
      <c r="L8" s="6" t="s">
        <v>826</v>
      </c>
      <c r="M8" s="6" t="s">
        <v>39</v>
      </c>
    </row>
    <row r="9" spans="1:13" ht="48" customHeight="1" x14ac:dyDescent="0.25">
      <c r="A9" s="3" t="s">
        <v>8</v>
      </c>
      <c r="B9" s="3" t="s">
        <v>827</v>
      </c>
      <c r="C9" s="3" t="s">
        <v>711</v>
      </c>
      <c r="D9" s="3" t="s">
        <v>637</v>
      </c>
      <c r="E9" s="3" t="s">
        <v>791</v>
      </c>
      <c r="F9" s="3" t="s">
        <v>639</v>
      </c>
      <c r="G9" s="3" t="s">
        <v>632</v>
      </c>
      <c r="H9" s="3" t="s">
        <v>837</v>
      </c>
      <c r="I9" s="3" t="s">
        <v>500</v>
      </c>
      <c r="J9" s="3" t="s">
        <v>500</v>
      </c>
      <c r="K9" s="3" t="s">
        <v>711</v>
      </c>
      <c r="L9" s="6" t="s">
        <v>237</v>
      </c>
      <c r="M9" s="6" t="s">
        <v>237</v>
      </c>
    </row>
    <row r="10" spans="1:13" ht="48" customHeight="1" x14ac:dyDescent="0.25">
      <c r="A10" s="3" t="s">
        <v>8</v>
      </c>
      <c r="B10" s="3" t="s">
        <v>828</v>
      </c>
      <c r="C10" s="3" t="s">
        <v>711</v>
      </c>
      <c r="D10" s="3" t="s">
        <v>637</v>
      </c>
      <c r="E10" s="3" t="s">
        <v>823</v>
      </c>
      <c r="F10" s="3" t="s">
        <v>639</v>
      </c>
      <c r="G10" s="3" t="s">
        <v>632</v>
      </c>
      <c r="H10" s="3" t="s">
        <v>837</v>
      </c>
      <c r="I10" s="3" t="s">
        <v>645</v>
      </c>
      <c r="J10" s="3" t="s">
        <v>646</v>
      </c>
      <c r="K10" s="3" t="s">
        <v>761</v>
      </c>
      <c r="L10" s="6" t="s">
        <v>146</v>
      </c>
      <c r="M10" s="6" t="s">
        <v>141</v>
      </c>
    </row>
    <row r="11" spans="1:13" ht="48" customHeight="1" x14ac:dyDescent="0.25">
      <c r="A11" s="3" t="s">
        <v>8</v>
      </c>
      <c r="B11" s="3" t="s">
        <v>829</v>
      </c>
      <c r="C11" s="3" t="s">
        <v>711</v>
      </c>
      <c r="D11" s="3" t="s">
        <v>637</v>
      </c>
      <c r="E11" s="3" t="s">
        <v>823</v>
      </c>
      <c r="F11" s="3" t="s">
        <v>639</v>
      </c>
      <c r="G11" s="3" t="s">
        <v>632</v>
      </c>
      <c r="H11" s="3" t="s">
        <v>837</v>
      </c>
      <c r="I11" s="3" t="s">
        <v>640</v>
      </c>
      <c r="J11" s="3" t="s">
        <v>641</v>
      </c>
      <c r="K11" s="3" t="s">
        <v>761</v>
      </c>
      <c r="L11" s="6" t="s">
        <v>231</v>
      </c>
      <c r="M11" s="6" t="s">
        <v>24</v>
      </c>
    </row>
    <row r="12" spans="1:13" ht="48" customHeight="1" x14ac:dyDescent="0.25">
      <c r="A12" s="3" t="s">
        <v>8</v>
      </c>
      <c r="B12" s="3" t="s">
        <v>830</v>
      </c>
      <c r="C12" s="3" t="s">
        <v>711</v>
      </c>
      <c r="D12" s="3" t="s">
        <v>637</v>
      </c>
      <c r="E12" s="3" t="s">
        <v>71</v>
      </c>
      <c r="F12" s="3" t="s">
        <v>639</v>
      </c>
      <c r="G12" s="3" t="s">
        <v>632</v>
      </c>
      <c r="H12" s="3" t="s">
        <v>837</v>
      </c>
      <c r="I12" s="3" t="s">
        <v>594</v>
      </c>
      <c r="J12" s="3" t="s">
        <v>500</v>
      </c>
      <c r="K12" s="3" t="s">
        <v>761</v>
      </c>
      <c r="L12" s="6" t="s">
        <v>73</v>
      </c>
      <c r="M12" s="6" t="s">
        <v>74</v>
      </c>
    </row>
  </sheetData>
  <autoFilter ref="A1:M12" xr:uid="{00000000-0009-0000-0000-00000D000000}"/>
  <phoneticPr fontId="4" type="noConversion"/>
  <hyperlinks>
    <hyperlink ref="L2" r:id="rId1" xr:uid="{00000000-0004-0000-0D00-000000000000}"/>
    <hyperlink ref="M2" r:id="rId2" xr:uid="{00000000-0004-0000-0D00-000001000000}"/>
    <hyperlink ref="L3" r:id="rId3" xr:uid="{00000000-0004-0000-0D00-000002000000}"/>
    <hyperlink ref="M3" r:id="rId4" xr:uid="{00000000-0004-0000-0D00-000003000000}"/>
    <hyperlink ref="L4" r:id="rId5" xr:uid="{00000000-0004-0000-0D00-000004000000}"/>
    <hyperlink ref="M4" r:id="rId6" xr:uid="{00000000-0004-0000-0D00-000005000000}"/>
    <hyperlink ref="L5" r:id="rId7" xr:uid="{00000000-0004-0000-0D00-000006000000}"/>
    <hyperlink ref="M5" r:id="rId8" xr:uid="{00000000-0004-0000-0D00-000007000000}"/>
    <hyperlink ref="L6" r:id="rId9" xr:uid="{00000000-0004-0000-0D00-000008000000}"/>
    <hyperlink ref="M6" r:id="rId10" xr:uid="{00000000-0004-0000-0D00-000009000000}"/>
    <hyperlink ref="L7" r:id="rId11" xr:uid="{00000000-0004-0000-0D00-00000A000000}"/>
    <hyperlink ref="M7" r:id="rId12" xr:uid="{00000000-0004-0000-0D00-00000B000000}"/>
    <hyperlink ref="L8" r:id="rId13" xr:uid="{00000000-0004-0000-0D00-00000C000000}"/>
    <hyperlink ref="M8" r:id="rId14" xr:uid="{00000000-0004-0000-0D00-00000D000000}"/>
    <hyperlink ref="L9" r:id="rId15" xr:uid="{00000000-0004-0000-0D00-00000E000000}"/>
    <hyperlink ref="M9" r:id="rId16" xr:uid="{00000000-0004-0000-0D00-00000F000000}"/>
    <hyperlink ref="L10" r:id="rId17" xr:uid="{00000000-0004-0000-0D00-000010000000}"/>
    <hyperlink ref="M10" r:id="rId18" xr:uid="{00000000-0004-0000-0D00-000011000000}"/>
    <hyperlink ref="L11" r:id="rId19" xr:uid="{00000000-0004-0000-0D00-000012000000}"/>
    <hyperlink ref="M11" r:id="rId20" xr:uid="{00000000-0004-0000-0D00-000013000000}"/>
    <hyperlink ref="L12" r:id="rId21" xr:uid="{00000000-0004-0000-0D00-000014000000}"/>
    <hyperlink ref="M12" r:id="rId22" xr:uid="{00000000-0004-0000-0D00-000015000000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3" t="s">
        <v>8</v>
      </c>
      <c r="B2" s="3" t="s">
        <v>792</v>
      </c>
      <c r="C2" s="3" t="s">
        <v>36</v>
      </c>
      <c r="D2" s="3" t="s">
        <v>29</v>
      </c>
      <c r="E2" s="3" t="s">
        <v>217</v>
      </c>
      <c r="F2" s="3" t="s">
        <v>567</v>
      </c>
      <c r="G2" s="3" t="s">
        <v>632</v>
      </c>
      <c r="H2" s="3" t="s">
        <v>838</v>
      </c>
      <c r="I2" s="3" t="s">
        <v>500</v>
      </c>
      <c r="J2" s="3" t="s">
        <v>500</v>
      </c>
      <c r="K2" s="3" t="s">
        <v>794</v>
      </c>
      <c r="L2" s="6" t="s">
        <v>795</v>
      </c>
      <c r="M2" s="6" t="s">
        <v>796</v>
      </c>
    </row>
    <row r="3" spans="1:13" ht="48" customHeight="1" x14ac:dyDescent="0.25">
      <c r="A3" s="3" t="s">
        <v>8</v>
      </c>
      <c r="B3" s="3" t="s">
        <v>797</v>
      </c>
      <c r="C3" s="3" t="s">
        <v>528</v>
      </c>
      <c r="D3" s="3" t="s">
        <v>113</v>
      </c>
      <c r="E3" s="3" t="s">
        <v>251</v>
      </c>
      <c r="F3" s="3" t="s">
        <v>497</v>
      </c>
      <c r="G3" s="3" t="s">
        <v>632</v>
      </c>
      <c r="H3" s="3" t="s">
        <v>839</v>
      </c>
      <c r="I3" s="3" t="s">
        <v>500</v>
      </c>
      <c r="J3" s="3" t="s">
        <v>799</v>
      </c>
      <c r="K3" s="3" t="s">
        <v>800</v>
      </c>
      <c r="L3" s="6" t="s">
        <v>801</v>
      </c>
      <c r="M3" s="6" t="s">
        <v>802</v>
      </c>
    </row>
    <row r="4" spans="1:13" ht="48" customHeight="1" x14ac:dyDescent="0.25">
      <c r="A4" s="3" t="s">
        <v>8</v>
      </c>
      <c r="B4" s="3" t="s">
        <v>803</v>
      </c>
      <c r="C4" s="3" t="s">
        <v>250</v>
      </c>
      <c r="D4" s="3" t="s">
        <v>50</v>
      </c>
      <c r="E4" s="3" t="s">
        <v>804</v>
      </c>
      <c r="F4" s="3" t="s">
        <v>497</v>
      </c>
      <c r="G4" s="3" t="s">
        <v>632</v>
      </c>
      <c r="H4" s="3" t="s">
        <v>840</v>
      </c>
      <c r="I4" s="3" t="s">
        <v>500</v>
      </c>
      <c r="J4" s="3" t="s">
        <v>500</v>
      </c>
      <c r="K4" s="3" t="s">
        <v>806</v>
      </c>
      <c r="L4" s="6" t="s">
        <v>807</v>
      </c>
      <c r="M4" s="6" t="s">
        <v>808</v>
      </c>
    </row>
    <row r="5" spans="1:13" ht="48" customHeight="1" x14ac:dyDescent="0.25">
      <c r="A5" s="3" t="s">
        <v>8</v>
      </c>
      <c r="B5" s="3" t="s">
        <v>809</v>
      </c>
      <c r="C5" s="3" t="s">
        <v>528</v>
      </c>
      <c r="D5" s="3" t="s">
        <v>113</v>
      </c>
      <c r="E5" s="3" t="s">
        <v>251</v>
      </c>
      <c r="F5" s="3" t="s">
        <v>497</v>
      </c>
      <c r="G5" s="3" t="s">
        <v>632</v>
      </c>
      <c r="H5" s="3" t="s">
        <v>841</v>
      </c>
      <c r="I5" s="3" t="s">
        <v>500</v>
      </c>
      <c r="J5" s="3" t="s">
        <v>811</v>
      </c>
      <c r="K5" s="3" t="s">
        <v>812</v>
      </c>
      <c r="L5" s="6" t="s">
        <v>801</v>
      </c>
      <c r="M5" s="6" t="s">
        <v>802</v>
      </c>
    </row>
    <row r="6" spans="1:13" ht="48" customHeight="1" x14ac:dyDescent="0.25">
      <c r="A6" s="3" t="s">
        <v>8</v>
      </c>
      <c r="B6" s="3" t="s">
        <v>813</v>
      </c>
      <c r="C6" s="3" t="s">
        <v>814</v>
      </c>
      <c r="D6" s="3" t="s">
        <v>50</v>
      </c>
      <c r="E6" s="3" t="s">
        <v>281</v>
      </c>
      <c r="F6" s="3" t="s">
        <v>497</v>
      </c>
      <c r="G6" s="3" t="s">
        <v>632</v>
      </c>
      <c r="H6" s="3" t="s">
        <v>842</v>
      </c>
      <c r="I6" s="3" t="s">
        <v>500</v>
      </c>
      <c r="J6" s="3" t="s">
        <v>799</v>
      </c>
      <c r="K6" s="3" t="s">
        <v>816</v>
      </c>
      <c r="L6" s="6" t="s">
        <v>321</v>
      </c>
      <c r="M6" s="6" t="s">
        <v>322</v>
      </c>
    </row>
    <row r="7" spans="1:13" ht="48" customHeight="1" x14ac:dyDescent="0.25">
      <c r="A7" s="3" t="s">
        <v>8</v>
      </c>
      <c r="B7" s="3" t="s">
        <v>817</v>
      </c>
      <c r="C7" s="3" t="s">
        <v>250</v>
      </c>
      <c r="D7" s="3" t="s">
        <v>113</v>
      </c>
      <c r="E7" s="3" t="s">
        <v>347</v>
      </c>
      <c r="F7" s="3" t="s">
        <v>497</v>
      </c>
      <c r="G7" s="3" t="s">
        <v>632</v>
      </c>
      <c r="H7" s="3" t="s">
        <v>843</v>
      </c>
      <c r="I7" s="3" t="s">
        <v>500</v>
      </c>
      <c r="J7" s="3" t="s">
        <v>500</v>
      </c>
      <c r="K7" s="3" t="s">
        <v>819</v>
      </c>
      <c r="L7" s="6" t="s">
        <v>820</v>
      </c>
      <c r="M7" s="6" t="s">
        <v>821</v>
      </c>
    </row>
    <row r="8" spans="1:13" ht="48" customHeight="1" x14ac:dyDescent="0.25">
      <c r="A8" s="3" t="s">
        <v>8</v>
      </c>
      <c r="B8" s="3" t="s">
        <v>822</v>
      </c>
      <c r="C8" s="3" t="s">
        <v>36</v>
      </c>
      <c r="D8" s="3" t="s">
        <v>29</v>
      </c>
      <c r="E8" s="3" t="s">
        <v>823</v>
      </c>
      <c r="F8" s="3" t="s">
        <v>567</v>
      </c>
      <c r="G8" s="3" t="s">
        <v>632</v>
      </c>
      <c r="H8" s="3" t="s">
        <v>844</v>
      </c>
      <c r="I8" s="3" t="s">
        <v>500</v>
      </c>
      <c r="J8" s="3" t="s">
        <v>500</v>
      </c>
      <c r="K8" s="3" t="s">
        <v>825</v>
      </c>
      <c r="L8" s="6" t="s">
        <v>826</v>
      </c>
      <c r="M8" s="6" t="s">
        <v>39</v>
      </c>
    </row>
    <row r="9" spans="1:13" ht="48" customHeight="1" x14ac:dyDescent="0.25">
      <c r="A9" s="3" t="s">
        <v>8</v>
      </c>
      <c r="B9" s="3" t="s">
        <v>827</v>
      </c>
      <c r="C9" s="3" t="s">
        <v>711</v>
      </c>
      <c r="D9" s="3" t="s">
        <v>637</v>
      </c>
      <c r="E9" s="3" t="s">
        <v>791</v>
      </c>
      <c r="F9" s="3" t="s">
        <v>639</v>
      </c>
      <c r="G9" s="3" t="s">
        <v>632</v>
      </c>
      <c r="H9" s="3" t="s">
        <v>844</v>
      </c>
      <c r="I9" s="3" t="s">
        <v>500</v>
      </c>
      <c r="J9" s="3" t="s">
        <v>500</v>
      </c>
      <c r="K9" s="3" t="s">
        <v>711</v>
      </c>
      <c r="L9" s="6" t="s">
        <v>237</v>
      </c>
      <c r="M9" s="6" t="s">
        <v>237</v>
      </c>
    </row>
    <row r="10" spans="1:13" ht="48" customHeight="1" x14ac:dyDescent="0.25">
      <c r="A10" s="3" t="s">
        <v>8</v>
      </c>
      <c r="B10" s="3" t="s">
        <v>828</v>
      </c>
      <c r="C10" s="3" t="s">
        <v>711</v>
      </c>
      <c r="D10" s="3" t="s">
        <v>637</v>
      </c>
      <c r="E10" s="3" t="s">
        <v>823</v>
      </c>
      <c r="F10" s="3" t="s">
        <v>639</v>
      </c>
      <c r="G10" s="3" t="s">
        <v>632</v>
      </c>
      <c r="H10" s="3" t="s">
        <v>844</v>
      </c>
      <c r="I10" s="3" t="s">
        <v>645</v>
      </c>
      <c r="J10" s="3" t="s">
        <v>646</v>
      </c>
      <c r="K10" s="3" t="s">
        <v>761</v>
      </c>
      <c r="L10" s="6" t="s">
        <v>146</v>
      </c>
      <c r="M10" s="6" t="s">
        <v>141</v>
      </c>
    </row>
    <row r="11" spans="1:13" ht="48" customHeight="1" x14ac:dyDescent="0.25">
      <c r="A11" s="3" t="s">
        <v>8</v>
      </c>
      <c r="B11" s="3" t="s">
        <v>829</v>
      </c>
      <c r="C11" s="3" t="s">
        <v>711</v>
      </c>
      <c r="D11" s="3" t="s">
        <v>637</v>
      </c>
      <c r="E11" s="3" t="s">
        <v>823</v>
      </c>
      <c r="F11" s="3" t="s">
        <v>639</v>
      </c>
      <c r="G11" s="3" t="s">
        <v>632</v>
      </c>
      <c r="H11" s="3" t="s">
        <v>844</v>
      </c>
      <c r="I11" s="3" t="s">
        <v>640</v>
      </c>
      <c r="J11" s="3" t="s">
        <v>641</v>
      </c>
      <c r="K11" s="3" t="s">
        <v>761</v>
      </c>
      <c r="L11" s="6" t="s">
        <v>231</v>
      </c>
      <c r="M11" s="6" t="s">
        <v>24</v>
      </c>
    </row>
    <row r="12" spans="1:13" ht="48" customHeight="1" x14ac:dyDescent="0.25">
      <c r="A12" s="3" t="s">
        <v>8</v>
      </c>
      <c r="B12" s="3" t="s">
        <v>830</v>
      </c>
      <c r="C12" s="3" t="s">
        <v>711</v>
      </c>
      <c r="D12" s="3" t="s">
        <v>637</v>
      </c>
      <c r="E12" s="3" t="s">
        <v>71</v>
      </c>
      <c r="F12" s="3" t="s">
        <v>639</v>
      </c>
      <c r="G12" s="3" t="s">
        <v>632</v>
      </c>
      <c r="H12" s="3" t="s">
        <v>844</v>
      </c>
      <c r="I12" s="3" t="s">
        <v>594</v>
      </c>
      <c r="J12" s="3" t="s">
        <v>500</v>
      </c>
      <c r="K12" s="3" t="s">
        <v>761</v>
      </c>
      <c r="L12" s="6" t="s">
        <v>73</v>
      </c>
      <c r="M12" s="6" t="s">
        <v>74</v>
      </c>
    </row>
  </sheetData>
  <autoFilter ref="A1:M12" xr:uid="{00000000-0009-0000-0000-00000E000000}"/>
  <phoneticPr fontId="4" type="noConversion"/>
  <hyperlinks>
    <hyperlink ref="L2" r:id="rId1" xr:uid="{00000000-0004-0000-0E00-000000000000}"/>
    <hyperlink ref="M2" r:id="rId2" xr:uid="{00000000-0004-0000-0E00-000001000000}"/>
    <hyperlink ref="L3" r:id="rId3" xr:uid="{00000000-0004-0000-0E00-000002000000}"/>
    <hyperlink ref="M3" r:id="rId4" xr:uid="{00000000-0004-0000-0E00-000003000000}"/>
    <hyperlink ref="L4" r:id="rId5" xr:uid="{00000000-0004-0000-0E00-000004000000}"/>
    <hyperlink ref="M4" r:id="rId6" xr:uid="{00000000-0004-0000-0E00-000005000000}"/>
    <hyperlink ref="L5" r:id="rId7" xr:uid="{00000000-0004-0000-0E00-000006000000}"/>
    <hyperlink ref="M5" r:id="rId8" xr:uid="{00000000-0004-0000-0E00-000007000000}"/>
    <hyperlink ref="L6" r:id="rId9" xr:uid="{00000000-0004-0000-0E00-000008000000}"/>
    <hyperlink ref="M6" r:id="rId10" xr:uid="{00000000-0004-0000-0E00-000009000000}"/>
    <hyperlink ref="L7" r:id="rId11" xr:uid="{00000000-0004-0000-0E00-00000A000000}"/>
    <hyperlink ref="M7" r:id="rId12" xr:uid="{00000000-0004-0000-0E00-00000B000000}"/>
    <hyperlink ref="L8" r:id="rId13" xr:uid="{00000000-0004-0000-0E00-00000C000000}"/>
    <hyperlink ref="M8" r:id="rId14" xr:uid="{00000000-0004-0000-0E00-00000D000000}"/>
    <hyperlink ref="L9" r:id="rId15" xr:uid="{00000000-0004-0000-0E00-00000E000000}"/>
    <hyperlink ref="M9" r:id="rId16" xr:uid="{00000000-0004-0000-0E00-00000F000000}"/>
    <hyperlink ref="L10" r:id="rId17" xr:uid="{00000000-0004-0000-0E00-000010000000}"/>
    <hyperlink ref="M10" r:id="rId18" xr:uid="{00000000-0004-0000-0E00-000011000000}"/>
    <hyperlink ref="L11" r:id="rId19" xr:uid="{00000000-0004-0000-0E00-000012000000}"/>
    <hyperlink ref="M11" r:id="rId20" xr:uid="{00000000-0004-0000-0E00-000013000000}"/>
    <hyperlink ref="L12" r:id="rId21" xr:uid="{00000000-0004-0000-0E00-000014000000}"/>
    <hyperlink ref="M12" r:id="rId22" xr:uid="{00000000-0004-0000-0E00-000015000000}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3" t="s">
        <v>8</v>
      </c>
      <c r="B2" s="3" t="s">
        <v>792</v>
      </c>
      <c r="C2" s="3" t="s">
        <v>36</v>
      </c>
      <c r="D2" s="3" t="s">
        <v>29</v>
      </c>
      <c r="E2" s="3" t="s">
        <v>217</v>
      </c>
      <c r="F2" s="3" t="s">
        <v>567</v>
      </c>
      <c r="G2" s="3" t="s">
        <v>632</v>
      </c>
      <c r="H2" s="3" t="s">
        <v>845</v>
      </c>
      <c r="I2" s="3" t="s">
        <v>500</v>
      </c>
      <c r="J2" s="3" t="s">
        <v>500</v>
      </c>
      <c r="K2" s="3" t="s">
        <v>794</v>
      </c>
      <c r="L2" s="6" t="s">
        <v>795</v>
      </c>
      <c r="M2" s="6" t="s">
        <v>796</v>
      </c>
    </row>
    <row r="3" spans="1:13" ht="48" customHeight="1" x14ac:dyDescent="0.25">
      <c r="A3" s="3" t="s">
        <v>8</v>
      </c>
      <c r="B3" s="3" t="s">
        <v>797</v>
      </c>
      <c r="C3" s="3" t="s">
        <v>528</v>
      </c>
      <c r="D3" s="3" t="s">
        <v>113</v>
      </c>
      <c r="E3" s="3" t="s">
        <v>251</v>
      </c>
      <c r="F3" s="3" t="s">
        <v>497</v>
      </c>
      <c r="G3" s="3" t="s">
        <v>632</v>
      </c>
      <c r="H3" s="3" t="s">
        <v>846</v>
      </c>
      <c r="I3" s="3" t="s">
        <v>500</v>
      </c>
      <c r="J3" s="3" t="s">
        <v>799</v>
      </c>
      <c r="K3" s="3" t="s">
        <v>800</v>
      </c>
      <c r="L3" s="6" t="s">
        <v>801</v>
      </c>
      <c r="M3" s="6" t="s">
        <v>802</v>
      </c>
    </row>
    <row r="4" spans="1:13" ht="48" customHeight="1" x14ac:dyDescent="0.25">
      <c r="A4" s="3" t="s">
        <v>8</v>
      </c>
      <c r="B4" s="3" t="s">
        <v>803</v>
      </c>
      <c r="C4" s="3" t="s">
        <v>250</v>
      </c>
      <c r="D4" s="3" t="s">
        <v>50</v>
      </c>
      <c r="E4" s="3" t="s">
        <v>804</v>
      </c>
      <c r="F4" s="3" t="s">
        <v>497</v>
      </c>
      <c r="G4" s="3" t="s">
        <v>632</v>
      </c>
      <c r="H4" s="3" t="s">
        <v>847</v>
      </c>
      <c r="I4" s="3" t="s">
        <v>500</v>
      </c>
      <c r="J4" s="3" t="s">
        <v>500</v>
      </c>
      <c r="K4" s="3" t="s">
        <v>806</v>
      </c>
      <c r="L4" s="6" t="s">
        <v>807</v>
      </c>
      <c r="M4" s="6" t="s">
        <v>808</v>
      </c>
    </row>
    <row r="5" spans="1:13" ht="48" customHeight="1" x14ac:dyDescent="0.25">
      <c r="A5" s="3" t="s">
        <v>8</v>
      </c>
      <c r="B5" s="3" t="s">
        <v>809</v>
      </c>
      <c r="C5" s="3" t="s">
        <v>528</v>
      </c>
      <c r="D5" s="3" t="s">
        <v>113</v>
      </c>
      <c r="E5" s="3" t="s">
        <v>251</v>
      </c>
      <c r="F5" s="3" t="s">
        <v>497</v>
      </c>
      <c r="G5" s="3" t="s">
        <v>632</v>
      </c>
      <c r="H5" s="3" t="s">
        <v>848</v>
      </c>
      <c r="I5" s="3" t="s">
        <v>500</v>
      </c>
      <c r="J5" s="3" t="s">
        <v>811</v>
      </c>
      <c r="K5" s="3" t="s">
        <v>812</v>
      </c>
      <c r="L5" s="6" t="s">
        <v>801</v>
      </c>
      <c r="M5" s="6" t="s">
        <v>802</v>
      </c>
    </row>
    <row r="6" spans="1:13" ht="48" customHeight="1" x14ac:dyDescent="0.25">
      <c r="A6" s="3" t="s">
        <v>8</v>
      </c>
      <c r="B6" s="3" t="s">
        <v>813</v>
      </c>
      <c r="C6" s="3" t="s">
        <v>814</v>
      </c>
      <c r="D6" s="3" t="s">
        <v>50</v>
      </c>
      <c r="E6" s="3" t="s">
        <v>281</v>
      </c>
      <c r="F6" s="3" t="s">
        <v>497</v>
      </c>
      <c r="G6" s="3" t="s">
        <v>632</v>
      </c>
      <c r="H6" s="3" t="s">
        <v>849</v>
      </c>
      <c r="I6" s="3" t="s">
        <v>500</v>
      </c>
      <c r="J6" s="3" t="s">
        <v>799</v>
      </c>
      <c r="K6" s="3" t="s">
        <v>816</v>
      </c>
      <c r="L6" s="6" t="s">
        <v>321</v>
      </c>
      <c r="M6" s="6" t="s">
        <v>322</v>
      </c>
    </row>
    <row r="7" spans="1:13" ht="48" customHeight="1" x14ac:dyDescent="0.25">
      <c r="A7" s="3" t="s">
        <v>8</v>
      </c>
      <c r="B7" s="3" t="s">
        <v>817</v>
      </c>
      <c r="C7" s="3" t="s">
        <v>250</v>
      </c>
      <c r="D7" s="3" t="s">
        <v>113</v>
      </c>
      <c r="E7" s="3" t="s">
        <v>347</v>
      </c>
      <c r="F7" s="3" t="s">
        <v>497</v>
      </c>
      <c r="G7" s="3" t="s">
        <v>632</v>
      </c>
      <c r="H7" s="3" t="s">
        <v>850</v>
      </c>
      <c r="I7" s="3" t="s">
        <v>500</v>
      </c>
      <c r="J7" s="3" t="s">
        <v>500</v>
      </c>
      <c r="K7" s="3" t="s">
        <v>819</v>
      </c>
      <c r="L7" s="6" t="s">
        <v>820</v>
      </c>
      <c r="M7" s="6" t="s">
        <v>821</v>
      </c>
    </row>
    <row r="8" spans="1:13" ht="48" customHeight="1" x14ac:dyDescent="0.25">
      <c r="A8" s="3" t="s">
        <v>8</v>
      </c>
      <c r="B8" s="3" t="s">
        <v>822</v>
      </c>
      <c r="C8" s="3" t="s">
        <v>36</v>
      </c>
      <c r="D8" s="3" t="s">
        <v>29</v>
      </c>
      <c r="E8" s="3" t="s">
        <v>823</v>
      </c>
      <c r="F8" s="3" t="s">
        <v>567</v>
      </c>
      <c r="G8" s="3" t="s">
        <v>632</v>
      </c>
      <c r="H8" s="3" t="s">
        <v>851</v>
      </c>
      <c r="I8" s="3" t="s">
        <v>500</v>
      </c>
      <c r="J8" s="3" t="s">
        <v>500</v>
      </c>
      <c r="K8" s="3" t="s">
        <v>825</v>
      </c>
      <c r="L8" s="6" t="s">
        <v>826</v>
      </c>
      <c r="M8" s="6" t="s">
        <v>39</v>
      </c>
    </row>
    <row r="9" spans="1:13" ht="48" customHeight="1" x14ac:dyDescent="0.25">
      <c r="A9" s="3" t="s">
        <v>8</v>
      </c>
      <c r="B9" s="3" t="s">
        <v>827</v>
      </c>
      <c r="C9" s="3" t="s">
        <v>711</v>
      </c>
      <c r="D9" s="3" t="s">
        <v>637</v>
      </c>
      <c r="E9" s="3" t="s">
        <v>791</v>
      </c>
      <c r="F9" s="3" t="s">
        <v>639</v>
      </c>
      <c r="G9" s="3" t="s">
        <v>632</v>
      </c>
      <c r="H9" s="3" t="s">
        <v>851</v>
      </c>
      <c r="I9" s="3" t="s">
        <v>500</v>
      </c>
      <c r="J9" s="3" t="s">
        <v>500</v>
      </c>
      <c r="K9" s="3" t="s">
        <v>711</v>
      </c>
      <c r="L9" s="6" t="s">
        <v>237</v>
      </c>
      <c r="M9" s="6" t="s">
        <v>237</v>
      </c>
    </row>
    <row r="10" spans="1:13" ht="48" customHeight="1" x14ac:dyDescent="0.25">
      <c r="A10" s="3" t="s">
        <v>8</v>
      </c>
      <c r="B10" s="3" t="s">
        <v>828</v>
      </c>
      <c r="C10" s="3" t="s">
        <v>711</v>
      </c>
      <c r="D10" s="3" t="s">
        <v>637</v>
      </c>
      <c r="E10" s="3" t="s">
        <v>823</v>
      </c>
      <c r="F10" s="3" t="s">
        <v>639</v>
      </c>
      <c r="G10" s="3" t="s">
        <v>632</v>
      </c>
      <c r="H10" s="3" t="s">
        <v>851</v>
      </c>
      <c r="I10" s="3" t="s">
        <v>645</v>
      </c>
      <c r="J10" s="3" t="s">
        <v>646</v>
      </c>
      <c r="K10" s="3" t="s">
        <v>761</v>
      </c>
      <c r="L10" s="6" t="s">
        <v>146</v>
      </c>
      <c r="M10" s="6" t="s">
        <v>141</v>
      </c>
    </row>
    <row r="11" spans="1:13" ht="48" customHeight="1" x14ac:dyDescent="0.25">
      <c r="A11" s="3" t="s">
        <v>8</v>
      </c>
      <c r="B11" s="3" t="s">
        <v>829</v>
      </c>
      <c r="C11" s="3" t="s">
        <v>711</v>
      </c>
      <c r="D11" s="3" t="s">
        <v>637</v>
      </c>
      <c r="E11" s="3" t="s">
        <v>823</v>
      </c>
      <c r="F11" s="3" t="s">
        <v>639</v>
      </c>
      <c r="G11" s="3" t="s">
        <v>632</v>
      </c>
      <c r="H11" s="3" t="s">
        <v>851</v>
      </c>
      <c r="I11" s="3" t="s">
        <v>640</v>
      </c>
      <c r="J11" s="3" t="s">
        <v>641</v>
      </c>
      <c r="K11" s="3" t="s">
        <v>761</v>
      </c>
      <c r="L11" s="6" t="s">
        <v>231</v>
      </c>
      <c r="M11" s="6" t="s">
        <v>24</v>
      </c>
    </row>
    <row r="12" spans="1:13" ht="48" customHeight="1" x14ac:dyDescent="0.25">
      <c r="A12" s="3" t="s">
        <v>8</v>
      </c>
      <c r="B12" s="3" t="s">
        <v>830</v>
      </c>
      <c r="C12" s="3" t="s">
        <v>711</v>
      </c>
      <c r="D12" s="3" t="s">
        <v>637</v>
      </c>
      <c r="E12" s="3" t="s">
        <v>71</v>
      </c>
      <c r="F12" s="3" t="s">
        <v>639</v>
      </c>
      <c r="G12" s="3" t="s">
        <v>632</v>
      </c>
      <c r="H12" s="3" t="s">
        <v>851</v>
      </c>
      <c r="I12" s="3" t="s">
        <v>594</v>
      </c>
      <c r="J12" s="3" t="s">
        <v>500</v>
      </c>
      <c r="K12" s="3" t="s">
        <v>761</v>
      </c>
      <c r="L12" s="6" t="s">
        <v>73</v>
      </c>
      <c r="M12" s="6" t="s">
        <v>74</v>
      </c>
    </row>
  </sheetData>
  <autoFilter ref="A1:M12" xr:uid="{00000000-0009-0000-0000-00000F000000}"/>
  <phoneticPr fontId="4" type="noConversion"/>
  <hyperlinks>
    <hyperlink ref="L2" r:id="rId1" xr:uid="{00000000-0004-0000-0F00-000000000000}"/>
    <hyperlink ref="M2" r:id="rId2" xr:uid="{00000000-0004-0000-0F00-000001000000}"/>
    <hyperlink ref="L3" r:id="rId3" xr:uid="{00000000-0004-0000-0F00-000002000000}"/>
    <hyperlink ref="M3" r:id="rId4" xr:uid="{00000000-0004-0000-0F00-000003000000}"/>
    <hyperlink ref="L4" r:id="rId5" xr:uid="{00000000-0004-0000-0F00-000004000000}"/>
    <hyperlink ref="M4" r:id="rId6" xr:uid="{00000000-0004-0000-0F00-000005000000}"/>
    <hyperlink ref="L5" r:id="rId7" xr:uid="{00000000-0004-0000-0F00-000006000000}"/>
    <hyperlink ref="M5" r:id="rId8" xr:uid="{00000000-0004-0000-0F00-000007000000}"/>
    <hyperlink ref="L6" r:id="rId9" xr:uid="{00000000-0004-0000-0F00-000008000000}"/>
    <hyperlink ref="M6" r:id="rId10" xr:uid="{00000000-0004-0000-0F00-000009000000}"/>
    <hyperlink ref="L7" r:id="rId11" xr:uid="{00000000-0004-0000-0F00-00000A000000}"/>
    <hyperlink ref="M7" r:id="rId12" xr:uid="{00000000-0004-0000-0F00-00000B000000}"/>
    <hyperlink ref="L8" r:id="rId13" xr:uid="{00000000-0004-0000-0F00-00000C000000}"/>
    <hyperlink ref="M8" r:id="rId14" xr:uid="{00000000-0004-0000-0F00-00000D000000}"/>
    <hyperlink ref="L9" r:id="rId15" xr:uid="{00000000-0004-0000-0F00-00000E000000}"/>
    <hyperlink ref="M9" r:id="rId16" xr:uid="{00000000-0004-0000-0F00-00000F000000}"/>
    <hyperlink ref="L10" r:id="rId17" xr:uid="{00000000-0004-0000-0F00-000010000000}"/>
    <hyperlink ref="M10" r:id="rId18" xr:uid="{00000000-0004-0000-0F00-000011000000}"/>
    <hyperlink ref="L11" r:id="rId19" xr:uid="{00000000-0004-0000-0F00-000012000000}"/>
    <hyperlink ref="M11" r:id="rId20" xr:uid="{00000000-0004-0000-0F00-000013000000}"/>
    <hyperlink ref="L12" r:id="rId21" xr:uid="{00000000-0004-0000-0F00-000014000000}"/>
    <hyperlink ref="M12" r:id="rId22" xr:uid="{00000000-0004-0000-0F00-000015000000}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3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4" t="s">
        <v>34</v>
      </c>
      <c r="B2" s="4" t="s">
        <v>169</v>
      </c>
      <c r="C2" s="4" t="s">
        <v>170</v>
      </c>
      <c r="D2" s="4" t="s">
        <v>171</v>
      </c>
      <c r="E2" s="4" t="s">
        <v>172</v>
      </c>
      <c r="F2" s="4" t="s">
        <v>497</v>
      </c>
      <c r="G2" s="4" t="s">
        <v>500</v>
      </c>
      <c r="H2" s="4" t="s">
        <v>852</v>
      </c>
      <c r="I2" s="4" t="s">
        <v>853</v>
      </c>
      <c r="J2" s="4" t="s">
        <v>790</v>
      </c>
      <c r="K2" s="4" t="s">
        <v>854</v>
      </c>
      <c r="L2" s="7" t="s">
        <v>174</v>
      </c>
      <c r="M2" s="7" t="s">
        <v>175</v>
      </c>
    </row>
    <row r="3" spans="1:13" ht="48" customHeight="1" x14ac:dyDescent="0.25">
      <c r="A3" s="4" t="s">
        <v>34</v>
      </c>
      <c r="B3" s="4" t="s">
        <v>243</v>
      </c>
      <c r="C3" s="4" t="s">
        <v>244</v>
      </c>
      <c r="D3" s="4" t="s">
        <v>245</v>
      </c>
      <c r="E3" s="4" t="s">
        <v>234</v>
      </c>
      <c r="F3" s="4" t="s">
        <v>497</v>
      </c>
      <c r="G3" s="4" t="s">
        <v>500</v>
      </c>
      <c r="H3" s="4" t="s">
        <v>855</v>
      </c>
      <c r="I3" s="4" t="s">
        <v>853</v>
      </c>
      <c r="J3" s="4" t="s">
        <v>856</v>
      </c>
      <c r="K3" s="4" t="s">
        <v>857</v>
      </c>
      <c r="L3" s="7" t="s">
        <v>247</v>
      </c>
      <c r="M3" s="7" t="s">
        <v>248</v>
      </c>
    </row>
    <row r="4" spans="1:13" ht="48" customHeight="1" x14ac:dyDescent="0.25">
      <c r="A4" s="4" t="s">
        <v>34</v>
      </c>
      <c r="B4" s="4" t="s">
        <v>147</v>
      </c>
      <c r="C4" s="4" t="s">
        <v>148</v>
      </c>
      <c r="D4" s="4" t="s">
        <v>50</v>
      </c>
      <c r="E4" s="4" t="s">
        <v>144</v>
      </c>
      <c r="F4" s="4" t="s">
        <v>497</v>
      </c>
      <c r="G4" s="4" t="s">
        <v>500</v>
      </c>
      <c r="H4" s="4" t="s">
        <v>858</v>
      </c>
      <c r="I4" s="4" t="s">
        <v>632</v>
      </c>
      <c r="J4" s="4" t="s">
        <v>632</v>
      </c>
      <c r="K4" s="4" t="s">
        <v>859</v>
      </c>
      <c r="L4" s="7" t="s">
        <v>150</v>
      </c>
      <c r="M4" s="7" t="s">
        <v>151</v>
      </c>
    </row>
    <row r="5" spans="1:13" ht="48" customHeight="1" x14ac:dyDescent="0.25">
      <c r="A5" s="4" t="s">
        <v>34</v>
      </c>
      <c r="B5" s="4" t="s">
        <v>192</v>
      </c>
      <c r="C5" s="4" t="s">
        <v>193</v>
      </c>
      <c r="D5" s="4" t="s">
        <v>181</v>
      </c>
      <c r="E5" s="4" t="s">
        <v>182</v>
      </c>
      <c r="F5" s="4" t="s">
        <v>497</v>
      </c>
      <c r="G5" s="4" t="s">
        <v>500</v>
      </c>
      <c r="H5" s="4" t="s">
        <v>860</v>
      </c>
      <c r="I5" s="4" t="s">
        <v>547</v>
      </c>
      <c r="J5" s="4" t="s">
        <v>861</v>
      </c>
      <c r="K5" s="4" t="s">
        <v>862</v>
      </c>
      <c r="L5" s="7" t="s">
        <v>195</v>
      </c>
      <c r="M5" s="7" t="s">
        <v>196</v>
      </c>
    </row>
    <row r="6" spans="1:13" ht="48" customHeight="1" x14ac:dyDescent="0.25">
      <c r="A6" s="4" t="s">
        <v>34</v>
      </c>
      <c r="B6" s="4" t="s">
        <v>863</v>
      </c>
      <c r="C6" s="4" t="s">
        <v>222</v>
      </c>
      <c r="D6" s="4" t="s">
        <v>223</v>
      </c>
      <c r="E6" s="4" t="s">
        <v>217</v>
      </c>
      <c r="F6" s="4" t="s">
        <v>497</v>
      </c>
      <c r="G6" s="4" t="s">
        <v>500</v>
      </c>
      <c r="H6" s="4" t="s">
        <v>864</v>
      </c>
      <c r="I6" s="4" t="s">
        <v>677</v>
      </c>
      <c r="J6" s="4" t="s">
        <v>865</v>
      </c>
      <c r="K6" s="4" t="s">
        <v>224</v>
      </c>
      <c r="L6" s="7" t="s">
        <v>225</v>
      </c>
      <c r="M6" s="7" t="s">
        <v>226</v>
      </c>
    </row>
    <row r="7" spans="1:13" ht="48" customHeight="1" x14ac:dyDescent="0.25">
      <c r="A7" s="4" t="s">
        <v>34</v>
      </c>
      <c r="B7" s="4" t="s">
        <v>303</v>
      </c>
      <c r="C7" s="4" t="s">
        <v>112</v>
      </c>
      <c r="D7" s="4" t="s">
        <v>181</v>
      </c>
      <c r="E7" s="4" t="s">
        <v>304</v>
      </c>
      <c r="F7" s="4" t="s">
        <v>497</v>
      </c>
      <c r="G7" s="4" t="s">
        <v>500</v>
      </c>
      <c r="H7" s="4" t="s">
        <v>866</v>
      </c>
      <c r="I7" s="4" t="s">
        <v>867</v>
      </c>
      <c r="J7" s="4" t="s">
        <v>868</v>
      </c>
      <c r="K7" s="4" t="s">
        <v>305</v>
      </c>
      <c r="L7" s="7" t="s">
        <v>306</v>
      </c>
      <c r="M7" s="7" t="s">
        <v>307</v>
      </c>
    </row>
    <row r="8" spans="1:13" ht="48" customHeight="1" x14ac:dyDescent="0.25">
      <c r="A8" s="4" t="s">
        <v>34</v>
      </c>
      <c r="B8" s="4" t="s">
        <v>264</v>
      </c>
      <c r="C8" s="4" t="s">
        <v>265</v>
      </c>
      <c r="D8" s="4" t="s">
        <v>91</v>
      </c>
      <c r="E8" s="4" t="s">
        <v>266</v>
      </c>
      <c r="F8" s="4" t="s">
        <v>497</v>
      </c>
      <c r="G8" s="4" t="s">
        <v>500</v>
      </c>
      <c r="H8" s="4" t="s">
        <v>869</v>
      </c>
      <c r="I8" s="4" t="s">
        <v>870</v>
      </c>
      <c r="J8" s="4" t="s">
        <v>631</v>
      </c>
      <c r="K8" s="4" t="s">
        <v>267</v>
      </c>
      <c r="L8" s="7" t="s">
        <v>268</v>
      </c>
      <c r="M8" s="7" t="s">
        <v>269</v>
      </c>
    </row>
    <row r="9" spans="1:13" ht="48" customHeight="1" x14ac:dyDescent="0.25">
      <c r="A9" s="4" t="s">
        <v>34</v>
      </c>
      <c r="B9" s="4" t="s">
        <v>335</v>
      </c>
      <c r="C9" s="4" t="s">
        <v>112</v>
      </c>
      <c r="D9" s="4" t="s">
        <v>223</v>
      </c>
      <c r="E9" s="4" t="s">
        <v>336</v>
      </c>
      <c r="F9" s="4" t="s">
        <v>497</v>
      </c>
      <c r="G9" s="4" t="s">
        <v>500</v>
      </c>
      <c r="H9" s="4" t="s">
        <v>871</v>
      </c>
      <c r="I9" s="4" t="s">
        <v>872</v>
      </c>
      <c r="J9" s="4" t="s">
        <v>873</v>
      </c>
      <c r="K9" s="4" t="s">
        <v>337</v>
      </c>
      <c r="L9" s="7" t="s">
        <v>338</v>
      </c>
      <c r="M9" s="7" t="s">
        <v>339</v>
      </c>
    </row>
    <row r="10" spans="1:13" ht="48" customHeight="1" x14ac:dyDescent="0.25">
      <c r="A10" s="4" t="s">
        <v>34</v>
      </c>
      <c r="B10" s="4" t="s">
        <v>371</v>
      </c>
      <c r="C10" s="4" t="s">
        <v>372</v>
      </c>
      <c r="D10" s="4" t="s">
        <v>50</v>
      </c>
      <c r="E10" s="4" t="s">
        <v>364</v>
      </c>
      <c r="F10" s="4" t="s">
        <v>497</v>
      </c>
      <c r="G10" s="4" t="s">
        <v>500</v>
      </c>
      <c r="H10" s="4" t="s">
        <v>874</v>
      </c>
      <c r="I10" s="4" t="s">
        <v>875</v>
      </c>
      <c r="J10" s="4" t="s">
        <v>876</v>
      </c>
      <c r="K10" s="4" t="s">
        <v>373</v>
      </c>
      <c r="L10" s="7" t="s">
        <v>374</v>
      </c>
      <c r="M10" s="7" t="s">
        <v>375</v>
      </c>
    </row>
    <row r="11" spans="1:13" ht="48" customHeight="1" x14ac:dyDescent="0.25">
      <c r="A11" s="4" t="s">
        <v>34</v>
      </c>
      <c r="B11" s="4" t="s">
        <v>376</v>
      </c>
      <c r="C11" s="4" t="s">
        <v>377</v>
      </c>
      <c r="D11" s="4" t="s">
        <v>378</v>
      </c>
      <c r="E11" s="4" t="s">
        <v>379</v>
      </c>
      <c r="F11" s="4" t="s">
        <v>497</v>
      </c>
      <c r="G11" s="4" t="s">
        <v>500</v>
      </c>
      <c r="H11" s="4" t="s">
        <v>877</v>
      </c>
      <c r="I11" s="4" t="s">
        <v>875</v>
      </c>
      <c r="J11" s="4" t="s">
        <v>868</v>
      </c>
      <c r="K11" s="4" t="s">
        <v>878</v>
      </c>
      <c r="L11" s="7" t="s">
        <v>381</v>
      </c>
      <c r="M11" s="7" t="s">
        <v>382</v>
      </c>
    </row>
    <row r="12" spans="1:13" ht="48" customHeight="1" x14ac:dyDescent="0.25">
      <c r="A12" s="4" t="s">
        <v>34</v>
      </c>
      <c r="B12" s="4" t="s">
        <v>394</v>
      </c>
      <c r="C12" s="4" t="s">
        <v>377</v>
      </c>
      <c r="D12" s="4" t="s">
        <v>50</v>
      </c>
      <c r="E12" s="4" t="s">
        <v>395</v>
      </c>
      <c r="F12" s="4" t="s">
        <v>497</v>
      </c>
      <c r="G12" s="4" t="s">
        <v>500</v>
      </c>
      <c r="H12" s="4" t="s">
        <v>879</v>
      </c>
      <c r="I12" s="4" t="s">
        <v>880</v>
      </c>
      <c r="J12" s="4" t="s">
        <v>881</v>
      </c>
      <c r="K12" s="4" t="s">
        <v>882</v>
      </c>
      <c r="L12" s="7" t="s">
        <v>397</v>
      </c>
      <c r="M12" s="7" t="s">
        <v>398</v>
      </c>
    </row>
    <row r="13" spans="1:13" ht="48" customHeight="1" x14ac:dyDescent="0.25">
      <c r="A13" s="4" t="s">
        <v>34</v>
      </c>
      <c r="B13" s="4" t="s">
        <v>90</v>
      </c>
      <c r="C13" s="4" t="s">
        <v>36</v>
      </c>
      <c r="D13" s="4" t="s">
        <v>91</v>
      </c>
      <c r="E13" s="4" t="s">
        <v>80</v>
      </c>
      <c r="F13" s="4" t="s">
        <v>497</v>
      </c>
      <c r="G13" s="4" t="s">
        <v>500</v>
      </c>
      <c r="H13" s="4" t="s">
        <v>632</v>
      </c>
      <c r="I13" s="4" t="s">
        <v>632</v>
      </c>
      <c r="J13" s="4" t="s">
        <v>632</v>
      </c>
      <c r="K13" s="4" t="s">
        <v>883</v>
      </c>
      <c r="L13" s="7" t="s">
        <v>93</v>
      </c>
      <c r="M13" s="7" t="s">
        <v>93</v>
      </c>
    </row>
  </sheetData>
  <autoFilter ref="A1:M13" xr:uid="{00000000-0009-0000-0000-000010000000}"/>
  <phoneticPr fontId="4" type="noConversion"/>
  <hyperlinks>
    <hyperlink ref="L2" r:id="rId1" xr:uid="{00000000-0004-0000-1000-000000000000}"/>
    <hyperlink ref="M2" r:id="rId2" xr:uid="{00000000-0004-0000-1000-000001000000}"/>
    <hyperlink ref="L3" r:id="rId3" xr:uid="{00000000-0004-0000-1000-000002000000}"/>
    <hyperlink ref="M3" r:id="rId4" xr:uid="{00000000-0004-0000-1000-000003000000}"/>
    <hyperlink ref="L4" r:id="rId5" xr:uid="{00000000-0004-0000-1000-000004000000}"/>
    <hyperlink ref="M4" r:id="rId6" xr:uid="{00000000-0004-0000-1000-000005000000}"/>
    <hyperlink ref="L5" r:id="rId7" xr:uid="{00000000-0004-0000-1000-000006000000}"/>
    <hyperlink ref="M5" r:id="rId8" xr:uid="{00000000-0004-0000-1000-000007000000}"/>
    <hyperlink ref="L6" r:id="rId9" xr:uid="{00000000-0004-0000-1000-000008000000}"/>
    <hyperlink ref="M6" r:id="rId10" xr:uid="{00000000-0004-0000-1000-000009000000}"/>
    <hyperlink ref="L7" r:id="rId11" xr:uid="{00000000-0004-0000-1000-00000A000000}"/>
    <hyperlink ref="M7" r:id="rId12" xr:uid="{00000000-0004-0000-1000-00000B000000}"/>
    <hyperlink ref="L8" r:id="rId13" xr:uid="{00000000-0004-0000-1000-00000C000000}"/>
    <hyperlink ref="M8" r:id="rId14" xr:uid="{00000000-0004-0000-1000-00000D000000}"/>
    <hyperlink ref="L9" r:id="rId15" xr:uid="{00000000-0004-0000-1000-00000E000000}"/>
    <hyperlink ref="M9" r:id="rId16" xr:uid="{00000000-0004-0000-1000-00000F000000}"/>
    <hyperlink ref="L10" r:id="rId17" xr:uid="{00000000-0004-0000-1000-000010000000}"/>
    <hyperlink ref="M10" r:id="rId18" xr:uid="{00000000-0004-0000-1000-000011000000}"/>
    <hyperlink ref="L11" r:id="rId19" xr:uid="{00000000-0004-0000-1000-000012000000}"/>
    <hyperlink ref="M11" r:id="rId20" xr:uid="{00000000-0004-0000-1000-000013000000}"/>
    <hyperlink ref="L12" r:id="rId21" xr:uid="{00000000-0004-0000-1000-000014000000}"/>
    <hyperlink ref="M12" r:id="rId22" xr:uid="{00000000-0004-0000-1000-000015000000}"/>
    <hyperlink ref="L13" r:id="rId23" xr:uid="{00000000-0004-0000-1000-000016000000}"/>
    <hyperlink ref="M13" r:id="rId24" xr:uid="{00000000-0004-0000-1000-000017000000}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13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4" t="s">
        <v>34</v>
      </c>
      <c r="B2" s="4" t="s">
        <v>169</v>
      </c>
      <c r="C2" s="4" t="s">
        <v>170</v>
      </c>
      <c r="D2" s="4" t="s">
        <v>171</v>
      </c>
      <c r="E2" s="4" t="s">
        <v>172</v>
      </c>
      <c r="F2" s="4" t="s">
        <v>497</v>
      </c>
      <c r="G2" s="4" t="s">
        <v>500</v>
      </c>
      <c r="H2" s="4" t="s">
        <v>884</v>
      </c>
      <c r="I2" s="4" t="s">
        <v>853</v>
      </c>
      <c r="J2" s="4" t="s">
        <v>790</v>
      </c>
      <c r="K2" s="4" t="s">
        <v>885</v>
      </c>
      <c r="L2" s="7" t="s">
        <v>174</v>
      </c>
      <c r="M2" s="7" t="s">
        <v>175</v>
      </c>
    </row>
    <row r="3" spans="1:13" ht="48" customHeight="1" x14ac:dyDescent="0.25">
      <c r="A3" s="4" t="s">
        <v>34</v>
      </c>
      <c r="B3" s="4" t="s">
        <v>243</v>
      </c>
      <c r="C3" s="4" t="s">
        <v>244</v>
      </c>
      <c r="D3" s="4" t="s">
        <v>245</v>
      </c>
      <c r="E3" s="4" t="s">
        <v>234</v>
      </c>
      <c r="F3" s="4" t="s">
        <v>497</v>
      </c>
      <c r="G3" s="4" t="s">
        <v>500</v>
      </c>
      <c r="H3" s="4" t="s">
        <v>886</v>
      </c>
      <c r="I3" s="4" t="s">
        <v>853</v>
      </c>
      <c r="J3" s="4" t="s">
        <v>856</v>
      </c>
      <c r="K3" s="4" t="s">
        <v>887</v>
      </c>
      <c r="L3" s="7" t="s">
        <v>247</v>
      </c>
      <c r="M3" s="7" t="s">
        <v>248</v>
      </c>
    </row>
    <row r="4" spans="1:13" ht="48" customHeight="1" x14ac:dyDescent="0.25">
      <c r="A4" s="4" t="s">
        <v>34</v>
      </c>
      <c r="B4" s="4" t="s">
        <v>147</v>
      </c>
      <c r="C4" s="4" t="s">
        <v>148</v>
      </c>
      <c r="D4" s="4" t="s">
        <v>50</v>
      </c>
      <c r="E4" s="4" t="s">
        <v>144</v>
      </c>
      <c r="F4" s="4" t="s">
        <v>497</v>
      </c>
      <c r="G4" s="4" t="s">
        <v>500</v>
      </c>
      <c r="H4" s="4" t="s">
        <v>888</v>
      </c>
      <c r="I4" s="4" t="s">
        <v>632</v>
      </c>
      <c r="J4" s="4" t="s">
        <v>632</v>
      </c>
      <c r="K4" s="4" t="s">
        <v>889</v>
      </c>
      <c r="L4" s="7" t="s">
        <v>150</v>
      </c>
      <c r="M4" s="7" t="s">
        <v>151</v>
      </c>
    </row>
    <row r="5" spans="1:13" ht="48" customHeight="1" x14ac:dyDescent="0.25">
      <c r="A5" s="4" t="s">
        <v>34</v>
      </c>
      <c r="B5" s="4" t="s">
        <v>192</v>
      </c>
      <c r="C5" s="4" t="s">
        <v>193</v>
      </c>
      <c r="D5" s="4" t="s">
        <v>181</v>
      </c>
      <c r="E5" s="4" t="s">
        <v>182</v>
      </c>
      <c r="F5" s="4" t="s">
        <v>497</v>
      </c>
      <c r="G5" s="4" t="s">
        <v>500</v>
      </c>
      <c r="H5" s="4" t="s">
        <v>890</v>
      </c>
      <c r="I5" s="4" t="s">
        <v>547</v>
      </c>
      <c r="J5" s="4" t="s">
        <v>861</v>
      </c>
      <c r="K5" s="4" t="s">
        <v>891</v>
      </c>
      <c r="L5" s="7" t="s">
        <v>195</v>
      </c>
      <c r="M5" s="7" t="s">
        <v>196</v>
      </c>
    </row>
    <row r="6" spans="1:13" ht="48" customHeight="1" x14ac:dyDescent="0.25">
      <c r="A6" s="4" t="s">
        <v>34</v>
      </c>
      <c r="B6" s="4" t="s">
        <v>863</v>
      </c>
      <c r="C6" s="4" t="s">
        <v>222</v>
      </c>
      <c r="D6" s="4" t="s">
        <v>223</v>
      </c>
      <c r="E6" s="4" t="s">
        <v>217</v>
      </c>
      <c r="F6" s="4" t="s">
        <v>497</v>
      </c>
      <c r="G6" s="4" t="s">
        <v>500</v>
      </c>
      <c r="H6" s="4" t="s">
        <v>892</v>
      </c>
      <c r="I6" s="4" t="s">
        <v>677</v>
      </c>
      <c r="J6" s="4" t="s">
        <v>865</v>
      </c>
      <c r="K6" s="4" t="s">
        <v>893</v>
      </c>
      <c r="L6" s="7" t="s">
        <v>225</v>
      </c>
      <c r="M6" s="7" t="s">
        <v>226</v>
      </c>
    </row>
    <row r="7" spans="1:13" ht="48" customHeight="1" x14ac:dyDescent="0.25">
      <c r="A7" s="4" t="s">
        <v>34</v>
      </c>
      <c r="B7" s="4" t="s">
        <v>303</v>
      </c>
      <c r="C7" s="4" t="s">
        <v>112</v>
      </c>
      <c r="D7" s="4" t="s">
        <v>181</v>
      </c>
      <c r="E7" s="4" t="s">
        <v>304</v>
      </c>
      <c r="F7" s="4" t="s">
        <v>497</v>
      </c>
      <c r="G7" s="4" t="s">
        <v>500</v>
      </c>
      <c r="H7" s="4" t="s">
        <v>894</v>
      </c>
      <c r="I7" s="4" t="s">
        <v>867</v>
      </c>
      <c r="J7" s="4" t="s">
        <v>868</v>
      </c>
      <c r="K7" s="4" t="s">
        <v>895</v>
      </c>
      <c r="L7" s="7" t="s">
        <v>306</v>
      </c>
      <c r="M7" s="7" t="s">
        <v>307</v>
      </c>
    </row>
    <row r="8" spans="1:13" ht="48" customHeight="1" x14ac:dyDescent="0.25">
      <c r="A8" s="4" t="s">
        <v>34</v>
      </c>
      <c r="B8" s="4" t="s">
        <v>264</v>
      </c>
      <c r="C8" s="4" t="s">
        <v>265</v>
      </c>
      <c r="D8" s="4" t="s">
        <v>91</v>
      </c>
      <c r="E8" s="4" t="s">
        <v>266</v>
      </c>
      <c r="F8" s="4" t="s">
        <v>497</v>
      </c>
      <c r="G8" s="4" t="s">
        <v>500</v>
      </c>
      <c r="H8" s="4" t="s">
        <v>896</v>
      </c>
      <c r="I8" s="4" t="s">
        <v>870</v>
      </c>
      <c r="J8" s="4" t="s">
        <v>631</v>
      </c>
      <c r="K8" s="4" t="s">
        <v>897</v>
      </c>
      <c r="L8" s="7" t="s">
        <v>268</v>
      </c>
      <c r="M8" s="7" t="s">
        <v>269</v>
      </c>
    </row>
    <row r="9" spans="1:13" ht="48" customHeight="1" x14ac:dyDescent="0.25">
      <c r="A9" s="4" t="s">
        <v>34</v>
      </c>
      <c r="B9" s="4" t="s">
        <v>335</v>
      </c>
      <c r="C9" s="4" t="s">
        <v>112</v>
      </c>
      <c r="D9" s="4" t="s">
        <v>223</v>
      </c>
      <c r="E9" s="4" t="s">
        <v>336</v>
      </c>
      <c r="F9" s="4" t="s">
        <v>497</v>
      </c>
      <c r="G9" s="4" t="s">
        <v>500</v>
      </c>
      <c r="H9" s="4" t="s">
        <v>898</v>
      </c>
      <c r="I9" s="4" t="s">
        <v>872</v>
      </c>
      <c r="J9" s="4" t="s">
        <v>873</v>
      </c>
      <c r="K9" s="4" t="s">
        <v>899</v>
      </c>
      <c r="L9" s="7" t="s">
        <v>338</v>
      </c>
      <c r="M9" s="7" t="s">
        <v>339</v>
      </c>
    </row>
    <row r="10" spans="1:13" ht="48" customHeight="1" x14ac:dyDescent="0.25">
      <c r="A10" s="4" t="s">
        <v>34</v>
      </c>
      <c r="B10" s="4" t="s">
        <v>371</v>
      </c>
      <c r="C10" s="4" t="s">
        <v>372</v>
      </c>
      <c r="D10" s="4" t="s">
        <v>50</v>
      </c>
      <c r="E10" s="4" t="s">
        <v>364</v>
      </c>
      <c r="F10" s="4" t="s">
        <v>497</v>
      </c>
      <c r="G10" s="4" t="s">
        <v>500</v>
      </c>
      <c r="H10" s="4" t="s">
        <v>900</v>
      </c>
      <c r="I10" s="4" t="s">
        <v>875</v>
      </c>
      <c r="J10" s="4" t="s">
        <v>876</v>
      </c>
      <c r="K10" s="4" t="s">
        <v>901</v>
      </c>
      <c r="L10" s="7" t="s">
        <v>374</v>
      </c>
      <c r="M10" s="7" t="s">
        <v>375</v>
      </c>
    </row>
    <row r="11" spans="1:13" ht="48" customHeight="1" x14ac:dyDescent="0.25">
      <c r="A11" s="4" t="s">
        <v>34</v>
      </c>
      <c r="B11" s="4" t="s">
        <v>376</v>
      </c>
      <c r="C11" s="4" t="s">
        <v>377</v>
      </c>
      <c r="D11" s="4" t="s">
        <v>378</v>
      </c>
      <c r="E11" s="4" t="s">
        <v>379</v>
      </c>
      <c r="F11" s="4" t="s">
        <v>497</v>
      </c>
      <c r="G11" s="4" t="s">
        <v>500</v>
      </c>
      <c r="H11" s="4" t="s">
        <v>902</v>
      </c>
      <c r="I11" s="4" t="s">
        <v>875</v>
      </c>
      <c r="J11" s="4" t="s">
        <v>868</v>
      </c>
      <c r="K11" s="4" t="s">
        <v>903</v>
      </c>
      <c r="L11" s="7" t="s">
        <v>381</v>
      </c>
      <c r="M11" s="7" t="s">
        <v>382</v>
      </c>
    </row>
    <row r="12" spans="1:13" ht="48" customHeight="1" x14ac:dyDescent="0.25">
      <c r="A12" s="4" t="s">
        <v>34</v>
      </c>
      <c r="B12" s="4" t="s">
        <v>394</v>
      </c>
      <c r="C12" s="4" t="s">
        <v>377</v>
      </c>
      <c r="D12" s="4" t="s">
        <v>50</v>
      </c>
      <c r="E12" s="4" t="s">
        <v>395</v>
      </c>
      <c r="F12" s="4" t="s">
        <v>497</v>
      </c>
      <c r="G12" s="4" t="s">
        <v>500</v>
      </c>
      <c r="H12" s="4" t="s">
        <v>904</v>
      </c>
      <c r="I12" s="4" t="s">
        <v>880</v>
      </c>
      <c r="J12" s="4" t="s">
        <v>881</v>
      </c>
      <c r="K12" s="4" t="s">
        <v>905</v>
      </c>
      <c r="L12" s="7" t="s">
        <v>397</v>
      </c>
      <c r="M12" s="7" t="s">
        <v>398</v>
      </c>
    </row>
    <row r="13" spans="1:13" ht="48" customHeight="1" x14ac:dyDescent="0.25">
      <c r="A13" s="4" t="s">
        <v>34</v>
      </c>
      <c r="B13" s="4" t="s">
        <v>90</v>
      </c>
      <c r="C13" s="4" t="s">
        <v>36</v>
      </c>
      <c r="D13" s="4" t="s">
        <v>91</v>
      </c>
      <c r="E13" s="4" t="s">
        <v>80</v>
      </c>
      <c r="F13" s="4" t="s">
        <v>497</v>
      </c>
      <c r="G13" s="4" t="s">
        <v>500</v>
      </c>
      <c r="H13" s="4" t="s">
        <v>906</v>
      </c>
      <c r="I13" s="4" t="s">
        <v>632</v>
      </c>
      <c r="J13" s="4" t="s">
        <v>632</v>
      </c>
      <c r="K13" s="4" t="s">
        <v>907</v>
      </c>
      <c r="L13" s="7" t="s">
        <v>93</v>
      </c>
      <c r="M13" s="7" t="s">
        <v>93</v>
      </c>
    </row>
  </sheetData>
  <autoFilter ref="A1:M13" xr:uid="{00000000-0009-0000-0000-000011000000}"/>
  <phoneticPr fontId="4" type="noConversion"/>
  <hyperlinks>
    <hyperlink ref="L2" r:id="rId1" xr:uid="{00000000-0004-0000-1100-000000000000}"/>
    <hyperlink ref="M2" r:id="rId2" xr:uid="{00000000-0004-0000-1100-000001000000}"/>
    <hyperlink ref="L3" r:id="rId3" xr:uid="{00000000-0004-0000-1100-000002000000}"/>
    <hyperlink ref="M3" r:id="rId4" xr:uid="{00000000-0004-0000-1100-000003000000}"/>
    <hyperlink ref="L4" r:id="rId5" xr:uid="{00000000-0004-0000-1100-000004000000}"/>
    <hyperlink ref="M4" r:id="rId6" xr:uid="{00000000-0004-0000-1100-000005000000}"/>
    <hyperlink ref="L5" r:id="rId7" xr:uid="{00000000-0004-0000-1100-000006000000}"/>
    <hyperlink ref="M5" r:id="rId8" xr:uid="{00000000-0004-0000-1100-000007000000}"/>
    <hyperlink ref="L6" r:id="rId9" xr:uid="{00000000-0004-0000-1100-000008000000}"/>
    <hyperlink ref="M6" r:id="rId10" xr:uid="{00000000-0004-0000-1100-000009000000}"/>
    <hyperlink ref="L7" r:id="rId11" xr:uid="{00000000-0004-0000-1100-00000A000000}"/>
    <hyperlink ref="M7" r:id="rId12" xr:uid="{00000000-0004-0000-1100-00000B000000}"/>
    <hyperlink ref="L8" r:id="rId13" xr:uid="{00000000-0004-0000-1100-00000C000000}"/>
    <hyperlink ref="M8" r:id="rId14" xr:uid="{00000000-0004-0000-1100-00000D000000}"/>
    <hyperlink ref="L9" r:id="rId15" xr:uid="{00000000-0004-0000-1100-00000E000000}"/>
    <hyperlink ref="M9" r:id="rId16" xr:uid="{00000000-0004-0000-1100-00000F000000}"/>
    <hyperlink ref="L10" r:id="rId17" xr:uid="{00000000-0004-0000-1100-000010000000}"/>
    <hyperlink ref="M10" r:id="rId18" xr:uid="{00000000-0004-0000-1100-000011000000}"/>
    <hyperlink ref="L11" r:id="rId19" xr:uid="{00000000-0004-0000-1100-000012000000}"/>
    <hyperlink ref="M11" r:id="rId20" xr:uid="{00000000-0004-0000-1100-000013000000}"/>
    <hyperlink ref="L12" r:id="rId21" xr:uid="{00000000-0004-0000-1100-000014000000}"/>
    <hyperlink ref="M12" r:id="rId22" xr:uid="{00000000-0004-0000-1100-000015000000}"/>
    <hyperlink ref="L13" r:id="rId23" xr:uid="{00000000-0004-0000-1100-000016000000}"/>
    <hyperlink ref="M13" r:id="rId24" xr:uid="{00000000-0004-0000-1100-000017000000}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13"/>
  <sheetViews>
    <sheetView workbookViewId="0">
      <pane ySplit="1" topLeftCell="A2" activePane="bottomLeft" state="frozen"/>
      <selection pane="bottomLeft" activeCell="H2" sqref="H2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4" t="s">
        <v>34</v>
      </c>
      <c r="B2" s="4" t="s">
        <v>169</v>
      </c>
      <c r="C2" s="4" t="s">
        <v>170</v>
      </c>
      <c r="D2" s="4" t="s">
        <v>171</v>
      </c>
      <c r="E2" s="4" t="s">
        <v>172</v>
      </c>
      <c r="F2" s="4" t="s">
        <v>497</v>
      </c>
      <c r="G2" s="4" t="s">
        <v>500</v>
      </c>
      <c r="H2" s="4" t="s">
        <v>908</v>
      </c>
      <c r="I2" s="4" t="s">
        <v>853</v>
      </c>
      <c r="J2" s="4" t="s">
        <v>790</v>
      </c>
      <c r="K2" s="4" t="s">
        <v>909</v>
      </c>
      <c r="L2" s="7" t="s">
        <v>174</v>
      </c>
      <c r="M2" s="7" t="s">
        <v>175</v>
      </c>
    </row>
    <row r="3" spans="1:13" ht="48" customHeight="1" x14ac:dyDescent="0.25">
      <c r="A3" s="4" t="s">
        <v>34</v>
      </c>
      <c r="B3" s="4" t="s">
        <v>243</v>
      </c>
      <c r="C3" s="4" t="s">
        <v>244</v>
      </c>
      <c r="D3" s="4" t="s">
        <v>245</v>
      </c>
      <c r="E3" s="4" t="s">
        <v>234</v>
      </c>
      <c r="F3" s="4" t="s">
        <v>497</v>
      </c>
      <c r="G3" s="4" t="s">
        <v>500</v>
      </c>
      <c r="H3" s="4" t="s">
        <v>910</v>
      </c>
      <c r="I3" s="4" t="s">
        <v>853</v>
      </c>
      <c r="J3" s="4" t="s">
        <v>856</v>
      </c>
      <c r="K3" s="4" t="s">
        <v>911</v>
      </c>
      <c r="L3" s="7" t="s">
        <v>247</v>
      </c>
      <c r="M3" s="7" t="s">
        <v>248</v>
      </c>
    </row>
    <row r="4" spans="1:13" ht="48" customHeight="1" x14ac:dyDescent="0.25">
      <c r="A4" s="4" t="s">
        <v>34</v>
      </c>
      <c r="B4" s="4" t="s">
        <v>147</v>
      </c>
      <c r="C4" s="4" t="s">
        <v>148</v>
      </c>
      <c r="D4" s="4" t="s">
        <v>50</v>
      </c>
      <c r="E4" s="4" t="s">
        <v>144</v>
      </c>
      <c r="F4" s="4" t="s">
        <v>497</v>
      </c>
      <c r="G4" s="4" t="s">
        <v>500</v>
      </c>
      <c r="H4" s="4" t="s">
        <v>912</v>
      </c>
      <c r="I4" s="4" t="s">
        <v>632</v>
      </c>
      <c r="J4" s="4" t="s">
        <v>632</v>
      </c>
      <c r="K4" s="4" t="s">
        <v>913</v>
      </c>
      <c r="L4" s="7" t="s">
        <v>150</v>
      </c>
      <c r="M4" s="7" t="s">
        <v>151</v>
      </c>
    </row>
    <row r="5" spans="1:13" ht="48" customHeight="1" x14ac:dyDescent="0.25">
      <c r="A5" s="4" t="s">
        <v>34</v>
      </c>
      <c r="B5" s="4" t="s">
        <v>192</v>
      </c>
      <c r="C5" s="4" t="s">
        <v>193</v>
      </c>
      <c r="D5" s="4" t="s">
        <v>181</v>
      </c>
      <c r="E5" s="4" t="s">
        <v>182</v>
      </c>
      <c r="F5" s="4" t="s">
        <v>497</v>
      </c>
      <c r="G5" s="4" t="s">
        <v>500</v>
      </c>
      <c r="H5" s="4" t="s">
        <v>914</v>
      </c>
      <c r="I5" s="4" t="s">
        <v>547</v>
      </c>
      <c r="J5" s="4" t="s">
        <v>861</v>
      </c>
      <c r="K5" s="4" t="s">
        <v>915</v>
      </c>
      <c r="L5" s="7" t="s">
        <v>195</v>
      </c>
      <c r="M5" s="7" t="s">
        <v>196</v>
      </c>
    </row>
    <row r="6" spans="1:13" ht="48" customHeight="1" x14ac:dyDescent="0.25">
      <c r="A6" s="4" t="s">
        <v>34</v>
      </c>
      <c r="B6" s="4" t="s">
        <v>863</v>
      </c>
      <c r="C6" s="4" t="s">
        <v>222</v>
      </c>
      <c r="D6" s="4" t="s">
        <v>223</v>
      </c>
      <c r="E6" s="4" t="s">
        <v>217</v>
      </c>
      <c r="F6" s="4" t="s">
        <v>497</v>
      </c>
      <c r="G6" s="4" t="s">
        <v>500</v>
      </c>
      <c r="H6" s="4" t="s">
        <v>916</v>
      </c>
      <c r="I6" s="4" t="s">
        <v>677</v>
      </c>
      <c r="J6" s="4" t="s">
        <v>865</v>
      </c>
      <c r="K6" s="4" t="s">
        <v>917</v>
      </c>
      <c r="L6" s="7" t="s">
        <v>225</v>
      </c>
      <c r="M6" s="7" t="s">
        <v>226</v>
      </c>
    </row>
    <row r="7" spans="1:13" ht="48" customHeight="1" x14ac:dyDescent="0.25">
      <c r="A7" s="4" t="s">
        <v>34</v>
      </c>
      <c r="B7" s="4" t="s">
        <v>303</v>
      </c>
      <c r="C7" s="4" t="s">
        <v>112</v>
      </c>
      <c r="D7" s="4" t="s">
        <v>181</v>
      </c>
      <c r="E7" s="4" t="s">
        <v>304</v>
      </c>
      <c r="F7" s="4" t="s">
        <v>497</v>
      </c>
      <c r="G7" s="4" t="s">
        <v>500</v>
      </c>
      <c r="H7" s="4" t="s">
        <v>918</v>
      </c>
      <c r="I7" s="4" t="s">
        <v>867</v>
      </c>
      <c r="J7" s="4" t="s">
        <v>868</v>
      </c>
      <c r="K7" s="4" t="s">
        <v>919</v>
      </c>
      <c r="L7" s="7" t="s">
        <v>306</v>
      </c>
      <c r="M7" s="7" t="s">
        <v>307</v>
      </c>
    </row>
    <row r="8" spans="1:13" ht="48" customHeight="1" x14ac:dyDescent="0.25">
      <c r="A8" s="4" t="s">
        <v>34</v>
      </c>
      <c r="B8" s="4" t="s">
        <v>264</v>
      </c>
      <c r="C8" s="4" t="s">
        <v>265</v>
      </c>
      <c r="D8" s="4" t="s">
        <v>91</v>
      </c>
      <c r="E8" s="4" t="s">
        <v>266</v>
      </c>
      <c r="F8" s="4" t="s">
        <v>497</v>
      </c>
      <c r="G8" s="4" t="s">
        <v>500</v>
      </c>
      <c r="H8" s="4" t="s">
        <v>920</v>
      </c>
      <c r="I8" s="4" t="s">
        <v>870</v>
      </c>
      <c r="J8" s="4" t="s">
        <v>631</v>
      </c>
      <c r="K8" s="4" t="s">
        <v>921</v>
      </c>
      <c r="L8" s="7" t="s">
        <v>268</v>
      </c>
      <c r="M8" s="7" t="s">
        <v>269</v>
      </c>
    </row>
    <row r="9" spans="1:13" ht="48" customHeight="1" x14ac:dyDescent="0.25">
      <c r="A9" s="4" t="s">
        <v>34</v>
      </c>
      <c r="B9" s="4" t="s">
        <v>335</v>
      </c>
      <c r="C9" s="4" t="s">
        <v>112</v>
      </c>
      <c r="D9" s="4" t="s">
        <v>223</v>
      </c>
      <c r="E9" s="4" t="s">
        <v>336</v>
      </c>
      <c r="F9" s="4" t="s">
        <v>497</v>
      </c>
      <c r="G9" s="4" t="s">
        <v>500</v>
      </c>
      <c r="H9" s="4" t="s">
        <v>922</v>
      </c>
      <c r="I9" s="4" t="s">
        <v>872</v>
      </c>
      <c r="J9" s="4" t="s">
        <v>873</v>
      </c>
      <c r="K9" s="4" t="s">
        <v>923</v>
      </c>
      <c r="L9" s="7" t="s">
        <v>338</v>
      </c>
      <c r="M9" s="7" t="s">
        <v>339</v>
      </c>
    </row>
    <row r="10" spans="1:13" ht="48" customHeight="1" x14ac:dyDescent="0.25">
      <c r="A10" s="4" t="s">
        <v>34</v>
      </c>
      <c r="B10" s="4" t="s">
        <v>371</v>
      </c>
      <c r="C10" s="4" t="s">
        <v>372</v>
      </c>
      <c r="D10" s="4" t="s">
        <v>50</v>
      </c>
      <c r="E10" s="4" t="s">
        <v>364</v>
      </c>
      <c r="F10" s="4" t="s">
        <v>497</v>
      </c>
      <c r="G10" s="4" t="s">
        <v>500</v>
      </c>
      <c r="H10" s="4" t="s">
        <v>924</v>
      </c>
      <c r="I10" s="4" t="s">
        <v>875</v>
      </c>
      <c r="J10" s="4" t="s">
        <v>876</v>
      </c>
      <c r="K10" s="4" t="s">
        <v>925</v>
      </c>
      <c r="L10" s="7" t="s">
        <v>374</v>
      </c>
      <c r="M10" s="7" t="s">
        <v>375</v>
      </c>
    </row>
    <row r="11" spans="1:13" ht="48" customHeight="1" x14ac:dyDescent="0.25">
      <c r="A11" s="4" t="s">
        <v>34</v>
      </c>
      <c r="B11" s="4" t="s">
        <v>376</v>
      </c>
      <c r="C11" s="4" t="s">
        <v>377</v>
      </c>
      <c r="D11" s="4" t="s">
        <v>378</v>
      </c>
      <c r="E11" s="4" t="s">
        <v>379</v>
      </c>
      <c r="F11" s="4" t="s">
        <v>497</v>
      </c>
      <c r="G11" s="4" t="s">
        <v>500</v>
      </c>
      <c r="H11" s="4" t="s">
        <v>926</v>
      </c>
      <c r="I11" s="4" t="s">
        <v>875</v>
      </c>
      <c r="J11" s="4" t="s">
        <v>868</v>
      </c>
      <c r="K11" s="4" t="s">
        <v>927</v>
      </c>
      <c r="L11" s="7" t="s">
        <v>381</v>
      </c>
      <c r="M11" s="7" t="s">
        <v>382</v>
      </c>
    </row>
    <row r="12" spans="1:13" ht="48" customHeight="1" x14ac:dyDescent="0.25">
      <c r="A12" s="4" t="s">
        <v>34</v>
      </c>
      <c r="B12" s="4" t="s">
        <v>394</v>
      </c>
      <c r="C12" s="4" t="s">
        <v>377</v>
      </c>
      <c r="D12" s="4" t="s">
        <v>50</v>
      </c>
      <c r="E12" s="4" t="s">
        <v>395</v>
      </c>
      <c r="F12" s="4" t="s">
        <v>497</v>
      </c>
      <c r="G12" s="4" t="s">
        <v>500</v>
      </c>
      <c r="H12" s="4" t="s">
        <v>928</v>
      </c>
      <c r="I12" s="4" t="s">
        <v>880</v>
      </c>
      <c r="J12" s="4" t="s">
        <v>881</v>
      </c>
      <c r="K12" s="4" t="s">
        <v>929</v>
      </c>
      <c r="L12" s="7" t="s">
        <v>397</v>
      </c>
      <c r="M12" s="7" t="s">
        <v>398</v>
      </c>
    </row>
    <row r="13" spans="1:13" ht="48" customHeight="1" x14ac:dyDescent="0.25">
      <c r="A13" s="4" t="s">
        <v>34</v>
      </c>
      <c r="B13" s="4" t="s">
        <v>90</v>
      </c>
      <c r="C13" s="4" t="s">
        <v>36</v>
      </c>
      <c r="D13" s="4" t="s">
        <v>91</v>
      </c>
      <c r="E13" s="4" t="s">
        <v>80</v>
      </c>
      <c r="F13" s="4" t="s">
        <v>497</v>
      </c>
      <c r="G13" s="4" t="s">
        <v>500</v>
      </c>
      <c r="H13" s="4" t="s">
        <v>930</v>
      </c>
      <c r="I13" s="4" t="s">
        <v>632</v>
      </c>
      <c r="J13" s="4" t="s">
        <v>632</v>
      </c>
      <c r="K13" s="4" t="s">
        <v>931</v>
      </c>
      <c r="L13" s="7" t="s">
        <v>93</v>
      </c>
      <c r="M13" s="7" t="s">
        <v>93</v>
      </c>
    </row>
  </sheetData>
  <autoFilter ref="A1:M13" xr:uid="{00000000-0009-0000-0000-000012000000}"/>
  <phoneticPr fontId="4" type="noConversion"/>
  <hyperlinks>
    <hyperlink ref="L2" r:id="rId1" xr:uid="{00000000-0004-0000-1200-000000000000}"/>
    <hyperlink ref="M2" r:id="rId2" xr:uid="{00000000-0004-0000-1200-000001000000}"/>
    <hyperlink ref="L3" r:id="rId3" xr:uid="{00000000-0004-0000-1200-000002000000}"/>
    <hyperlink ref="M3" r:id="rId4" xr:uid="{00000000-0004-0000-1200-000003000000}"/>
    <hyperlink ref="L4" r:id="rId5" xr:uid="{00000000-0004-0000-1200-000004000000}"/>
    <hyperlink ref="M4" r:id="rId6" xr:uid="{00000000-0004-0000-1200-000005000000}"/>
    <hyperlink ref="L5" r:id="rId7" xr:uid="{00000000-0004-0000-1200-000006000000}"/>
    <hyperlink ref="M5" r:id="rId8" xr:uid="{00000000-0004-0000-1200-000007000000}"/>
    <hyperlink ref="L6" r:id="rId9" xr:uid="{00000000-0004-0000-1200-000008000000}"/>
    <hyperlink ref="M6" r:id="rId10" xr:uid="{00000000-0004-0000-1200-000009000000}"/>
    <hyperlink ref="L7" r:id="rId11" xr:uid="{00000000-0004-0000-1200-00000A000000}"/>
    <hyperlink ref="M7" r:id="rId12" xr:uid="{00000000-0004-0000-1200-00000B000000}"/>
    <hyperlink ref="L8" r:id="rId13" xr:uid="{00000000-0004-0000-1200-00000C000000}"/>
    <hyperlink ref="M8" r:id="rId14" xr:uid="{00000000-0004-0000-1200-00000D000000}"/>
    <hyperlink ref="L9" r:id="rId15" xr:uid="{00000000-0004-0000-1200-00000E000000}"/>
    <hyperlink ref="M9" r:id="rId16" xr:uid="{00000000-0004-0000-1200-00000F000000}"/>
    <hyperlink ref="L10" r:id="rId17" xr:uid="{00000000-0004-0000-1200-000010000000}"/>
    <hyperlink ref="M10" r:id="rId18" xr:uid="{00000000-0004-0000-1200-000011000000}"/>
    <hyperlink ref="L11" r:id="rId19" xr:uid="{00000000-0004-0000-1200-000012000000}"/>
    <hyperlink ref="M11" r:id="rId20" xr:uid="{00000000-0004-0000-1200-000013000000}"/>
    <hyperlink ref="L12" r:id="rId21" xr:uid="{00000000-0004-0000-1200-000014000000}"/>
    <hyperlink ref="M12" r:id="rId22" xr:uid="{00000000-0004-0000-1200-000015000000}"/>
    <hyperlink ref="L13" r:id="rId23" xr:uid="{00000000-0004-0000-1200-000016000000}"/>
    <hyperlink ref="M13" r:id="rId24" xr:uid="{00000000-0004-0000-1200-000017000000}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13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4" t="s">
        <v>34</v>
      </c>
      <c r="B2" s="4" t="s">
        <v>169</v>
      </c>
      <c r="C2" s="4" t="s">
        <v>170</v>
      </c>
      <c r="D2" s="4" t="s">
        <v>171</v>
      </c>
      <c r="E2" s="4" t="s">
        <v>172</v>
      </c>
      <c r="F2" s="4" t="s">
        <v>497</v>
      </c>
      <c r="G2" s="4" t="s">
        <v>500</v>
      </c>
      <c r="H2" s="4" t="s">
        <v>932</v>
      </c>
      <c r="I2" s="4" t="s">
        <v>853</v>
      </c>
      <c r="J2" s="4" t="s">
        <v>790</v>
      </c>
      <c r="K2" s="4" t="s">
        <v>933</v>
      </c>
      <c r="L2" s="7" t="s">
        <v>174</v>
      </c>
      <c r="M2" s="7" t="s">
        <v>175</v>
      </c>
    </row>
    <row r="3" spans="1:13" ht="48" customHeight="1" x14ac:dyDescent="0.25">
      <c r="A3" s="4" t="s">
        <v>34</v>
      </c>
      <c r="B3" s="4" t="s">
        <v>243</v>
      </c>
      <c r="C3" s="4" t="s">
        <v>244</v>
      </c>
      <c r="D3" s="4" t="s">
        <v>245</v>
      </c>
      <c r="E3" s="4" t="s">
        <v>234</v>
      </c>
      <c r="F3" s="4" t="s">
        <v>497</v>
      </c>
      <c r="G3" s="4" t="s">
        <v>500</v>
      </c>
      <c r="H3" s="4" t="s">
        <v>934</v>
      </c>
      <c r="I3" s="4" t="s">
        <v>853</v>
      </c>
      <c r="J3" s="4" t="s">
        <v>856</v>
      </c>
      <c r="K3" s="4" t="s">
        <v>935</v>
      </c>
      <c r="L3" s="7" t="s">
        <v>247</v>
      </c>
      <c r="M3" s="7" t="s">
        <v>248</v>
      </c>
    </row>
    <row r="4" spans="1:13" ht="48" customHeight="1" x14ac:dyDescent="0.25">
      <c r="A4" s="4" t="s">
        <v>34</v>
      </c>
      <c r="B4" s="4" t="s">
        <v>147</v>
      </c>
      <c r="C4" s="4" t="s">
        <v>148</v>
      </c>
      <c r="D4" s="4" t="s">
        <v>50</v>
      </c>
      <c r="E4" s="4" t="s">
        <v>144</v>
      </c>
      <c r="F4" s="4" t="s">
        <v>497</v>
      </c>
      <c r="G4" s="4" t="s">
        <v>500</v>
      </c>
      <c r="H4" s="4" t="s">
        <v>936</v>
      </c>
      <c r="I4" s="4" t="s">
        <v>632</v>
      </c>
      <c r="J4" s="4" t="s">
        <v>632</v>
      </c>
      <c r="K4" s="4" t="s">
        <v>937</v>
      </c>
      <c r="L4" s="7" t="s">
        <v>150</v>
      </c>
      <c r="M4" s="7" t="s">
        <v>151</v>
      </c>
    </row>
    <row r="5" spans="1:13" ht="48" customHeight="1" x14ac:dyDescent="0.25">
      <c r="A5" s="4" t="s">
        <v>34</v>
      </c>
      <c r="B5" s="4" t="s">
        <v>192</v>
      </c>
      <c r="C5" s="4" t="s">
        <v>193</v>
      </c>
      <c r="D5" s="4" t="s">
        <v>181</v>
      </c>
      <c r="E5" s="4" t="s">
        <v>182</v>
      </c>
      <c r="F5" s="4" t="s">
        <v>497</v>
      </c>
      <c r="G5" s="4" t="s">
        <v>500</v>
      </c>
      <c r="H5" s="4" t="s">
        <v>938</v>
      </c>
      <c r="I5" s="4" t="s">
        <v>547</v>
      </c>
      <c r="J5" s="4" t="s">
        <v>861</v>
      </c>
      <c r="K5" s="4" t="s">
        <v>939</v>
      </c>
      <c r="L5" s="7" t="s">
        <v>195</v>
      </c>
      <c r="M5" s="7" t="s">
        <v>196</v>
      </c>
    </row>
    <row r="6" spans="1:13" ht="48" customHeight="1" x14ac:dyDescent="0.25">
      <c r="A6" s="4" t="s">
        <v>34</v>
      </c>
      <c r="B6" s="4" t="s">
        <v>863</v>
      </c>
      <c r="C6" s="4" t="s">
        <v>222</v>
      </c>
      <c r="D6" s="4" t="s">
        <v>223</v>
      </c>
      <c r="E6" s="4" t="s">
        <v>217</v>
      </c>
      <c r="F6" s="4" t="s">
        <v>497</v>
      </c>
      <c r="G6" s="4" t="s">
        <v>500</v>
      </c>
      <c r="H6" s="4" t="s">
        <v>940</v>
      </c>
      <c r="I6" s="4" t="s">
        <v>677</v>
      </c>
      <c r="J6" s="4" t="s">
        <v>865</v>
      </c>
      <c r="K6" s="4" t="s">
        <v>941</v>
      </c>
      <c r="L6" s="7" t="s">
        <v>225</v>
      </c>
      <c r="M6" s="7" t="s">
        <v>226</v>
      </c>
    </row>
    <row r="7" spans="1:13" ht="48" customHeight="1" x14ac:dyDescent="0.25">
      <c r="A7" s="4" t="s">
        <v>34</v>
      </c>
      <c r="B7" s="4" t="s">
        <v>303</v>
      </c>
      <c r="C7" s="4" t="s">
        <v>112</v>
      </c>
      <c r="D7" s="4" t="s">
        <v>181</v>
      </c>
      <c r="E7" s="4" t="s">
        <v>304</v>
      </c>
      <c r="F7" s="4" t="s">
        <v>497</v>
      </c>
      <c r="G7" s="4" t="s">
        <v>500</v>
      </c>
      <c r="H7" s="4" t="s">
        <v>942</v>
      </c>
      <c r="I7" s="4" t="s">
        <v>867</v>
      </c>
      <c r="J7" s="4" t="s">
        <v>868</v>
      </c>
      <c r="K7" s="4" t="s">
        <v>943</v>
      </c>
      <c r="L7" s="7" t="s">
        <v>306</v>
      </c>
      <c r="M7" s="7" t="s">
        <v>307</v>
      </c>
    </row>
    <row r="8" spans="1:13" ht="48" customHeight="1" x14ac:dyDescent="0.25">
      <c r="A8" s="4" t="s">
        <v>34</v>
      </c>
      <c r="B8" s="4" t="s">
        <v>264</v>
      </c>
      <c r="C8" s="4" t="s">
        <v>265</v>
      </c>
      <c r="D8" s="4" t="s">
        <v>91</v>
      </c>
      <c r="E8" s="4" t="s">
        <v>266</v>
      </c>
      <c r="F8" s="4" t="s">
        <v>497</v>
      </c>
      <c r="G8" s="4" t="s">
        <v>500</v>
      </c>
      <c r="H8" s="4" t="s">
        <v>944</v>
      </c>
      <c r="I8" s="4" t="s">
        <v>870</v>
      </c>
      <c r="J8" s="4" t="s">
        <v>631</v>
      </c>
      <c r="K8" s="4" t="s">
        <v>945</v>
      </c>
      <c r="L8" s="7" t="s">
        <v>268</v>
      </c>
      <c r="M8" s="7" t="s">
        <v>269</v>
      </c>
    </row>
    <row r="9" spans="1:13" ht="48" customHeight="1" x14ac:dyDescent="0.25">
      <c r="A9" s="4" t="s">
        <v>34</v>
      </c>
      <c r="B9" s="4" t="s">
        <v>335</v>
      </c>
      <c r="C9" s="4" t="s">
        <v>112</v>
      </c>
      <c r="D9" s="4" t="s">
        <v>223</v>
      </c>
      <c r="E9" s="4" t="s">
        <v>336</v>
      </c>
      <c r="F9" s="4" t="s">
        <v>497</v>
      </c>
      <c r="G9" s="4" t="s">
        <v>500</v>
      </c>
      <c r="H9" s="4" t="s">
        <v>946</v>
      </c>
      <c r="I9" s="4" t="s">
        <v>872</v>
      </c>
      <c r="J9" s="4" t="s">
        <v>873</v>
      </c>
      <c r="K9" s="4" t="s">
        <v>947</v>
      </c>
      <c r="L9" s="7" t="s">
        <v>338</v>
      </c>
      <c r="M9" s="7" t="s">
        <v>339</v>
      </c>
    </row>
    <row r="10" spans="1:13" ht="48" customHeight="1" x14ac:dyDescent="0.25">
      <c r="A10" s="4" t="s">
        <v>34</v>
      </c>
      <c r="B10" s="4" t="s">
        <v>371</v>
      </c>
      <c r="C10" s="4" t="s">
        <v>372</v>
      </c>
      <c r="D10" s="4" t="s">
        <v>50</v>
      </c>
      <c r="E10" s="4" t="s">
        <v>364</v>
      </c>
      <c r="F10" s="4" t="s">
        <v>497</v>
      </c>
      <c r="G10" s="4" t="s">
        <v>500</v>
      </c>
      <c r="H10" s="4" t="s">
        <v>948</v>
      </c>
      <c r="I10" s="4" t="s">
        <v>875</v>
      </c>
      <c r="J10" s="4" t="s">
        <v>876</v>
      </c>
      <c r="K10" s="4" t="s">
        <v>949</v>
      </c>
      <c r="L10" s="7" t="s">
        <v>374</v>
      </c>
      <c r="M10" s="7" t="s">
        <v>375</v>
      </c>
    </row>
    <row r="11" spans="1:13" ht="48" customHeight="1" x14ac:dyDescent="0.25">
      <c r="A11" s="4" t="s">
        <v>34</v>
      </c>
      <c r="B11" s="4" t="s">
        <v>376</v>
      </c>
      <c r="C11" s="4" t="s">
        <v>377</v>
      </c>
      <c r="D11" s="4" t="s">
        <v>378</v>
      </c>
      <c r="E11" s="4" t="s">
        <v>379</v>
      </c>
      <c r="F11" s="4" t="s">
        <v>497</v>
      </c>
      <c r="G11" s="4" t="s">
        <v>500</v>
      </c>
      <c r="H11" s="4" t="s">
        <v>950</v>
      </c>
      <c r="I11" s="4" t="s">
        <v>875</v>
      </c>
      <c r="J11" s="4" t="s">
        <v>868</v>
      </c>
      <c r="K11" s="4" t="s">
        <v>951</v>
      </c>
      <c r="L11" s="7" t="s">
        <v>381</v>
      </c>
      <c r="M11" s="7" t="s">
        <v>382</v>
      </c>
    </row>
    <row r="12" spans="1:13" ht="48" customHeight="1" x14ac:dyDescent="0.25">
      <c r="A12" s="4" t="s">
        <v>34</v>
      </c>
      <c r="B12" s="4" t="s">
        <v>394</v>
      </c>
      <c r="C12" s="4" t="s">
        <v>377</v>
      </c>
      <c r="D12" s="4" t="s">
        <v>50</v>
      </c>
      <c r="E12" s="4" t="s">
        <v>395</v>
      </c>
      <c r="F12" s="4" t="s">
        <v>497</v>
      </c>
      <c r="G12" s="4" t="s">
        <v>500</v>
      </c>
      <c r="H12" s="4" t="s">
        <v>952</v>
      </c>
      <c r="I12" s="4" t="s">
        <v>880</v>
      </c>
      <c r="J12" s="4" t="s">
        <v>881</v>
      </c>
      <c r="K12" s="4" t="s">
        <v>953</v>
      </c>
      <c r="L12" s="7" t="s">
        <v>397</v>
      </c>
      <c r="M12" s="7" t="s">
        <v>398</v>
      </c>
    </row>
    <row r="13" spans="1:13" ht="48" customHeight="1" x14ac:dyDescent="0.25">
      <c r="A13" s="4" t="s">
        <v>34</v>
      </c>
      <c r="B13" s="4" t="s">
        <v>90</v>
      </c>
      <c r="C13" s="4" t="s">
        <v>36</v>
      </c>
      <c r="D13" s="4" t="s">
        <v>91</v>
      </c>
      <c r="E13" s="4" t="s">
        <v>80</v>
      </c>
      <c r="F13" s="4" t="s">
        <v>497</v>
      </c>
      <c r="G13" s="4" t="s">
        <v>500</v>
      </c>
      <c r="H13" s="4" t="s">
        <v>954</v>
      </c>
      <c r="I13" s="4" t="s">
        <v>632</v>
      </c>
      <c r="J13" s="4" t="s">
        <v>632</v>
      </c>
      <c r="K13" s="4" t="s">
        <v>955</v>
      </c>
      <c r="L13" s="7" t="s">
        <v>93</v>
      </c>
      <c r="M13" s="7" t="s">
        <v>93</v>
      </c>
    </row>
  </sheetData>
  <autoFilter ref="A1:M13" xr:uid="{00000000-0009-0000-0000-000013000000}"/>
  <phoneticPr fontId="4" type="noConversion"/>
  <hyperlinks>
    <hyperlink ref="L2" r:id="rId1" xr:uid="{00000000-0004-0000-1300-000000000000}"/>
    <hyperlink ref="M2" r:id="rId2" xr:uid="{00000000-0004-0000-1300-000001000000}"/>
    <hyperlink ref="L3" r:id="rId3" xr:uid="{00000000-0004-0000-1300-000002000000}"/>
    <hyperlink ref="M3" r:id="rId4" xr:uid="{00000000-0004-0000-1300-000003000000}"/>
    <hyperlink ref="L4" r:id="rId5" xr:uid="{00000000-0004-0000-1300-000004000000}"/>
    <hyperlink ref="M4" r:id="rId6" xr:uid="{00000000-0004-0000-1300-000005000000}"/>
    <hyperlink ref="L5" r:id="rId7" xr:uid="{00000000-0004-0000-1300-000006000000}"/>
    <hyperlink ref="M5" r:id="rId8" xr:uid="{00000000-0004-0000-1300-000007000000}"/>
    <hyperlink ref="L6" r:id="rId9" xr:uid="{00000000-0004-0000-1300-000008000000}"/>
    <hyperlink ref="M6" r:id="rId10" xr:uid="{00000000-0004-0000-1300-000009000000}"/>
    <hyperlink ref="L7" r:id="rId11" xr:uid="{00000000-0004-0000-1300-00000A000000}"/>
    <hyperlink ref="M7" r:id="rId12" xr:uid="{00000000-0004-0000-1300-00000B000000}"/>
    <hyperlink ref="L8" r:id="rId13" xr:uid="{00000000-0004-0000-1300-00000C000000}"/>
    <hyperlink ref="M8" r:id="rId14" xr:uid="{00000000-0004-0000-1300-00000D000000}"/>
    <hyperlink ref="L9" r:id="rId15" xr:uid="{00000000-0004-0000-1300-00000E000000}"/>
    <hyperlink ref="M9" r:id="rId16" xr:uid="{00000000-0004-0000-1300-00000F000000}"/>
    <hyperlink ref="L10" r:id="rId17" xr:uid="{00000000-0004-0000-1300-000010000000}"/>
    <hyperlink ref="M10" r:id="rId18" xr:uid="{00000000-0004-0000-1300-000011000000}"/>
    <hyperlink ref="L11" r:id="rId19" xr:uid="{00000000-0004-0000-1300-000012000000}"/>
    <hyperlink ref="M11" r:id="rId20" xr:uid="{00000000-0004-0000-1300-000013000000}"/>
    <hyperlink ref="L12" r:id="rId21" xr:uid="{00000000-0004-0000-1300-000014000000}"/>
    <hyperlink ref="M12" r:id="rId22" xr:uid="{00000000-0004-0000-1300-000015000000}"/>
    <hyperlink ref="L13" r:id="rId23" xr:uid="{00000000-0004-0000-1300-000016000000}"/>
    <hyperlink ref="M13" r:id="rId24" xr:uid="{00000000-0004-0000-1300-000017000000}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13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4" t="s">
        <v>34</v>
      </c>
      <c r="B2" s="4" t="s">
        <v>169</v>
      </c>
      <c r="C2" s="4" t="s">
        <v>170</v>
      </c>
      <c r="D2" s="4" t="s">
        <v>171</v>
      </c>
      <c r="E2" s="4" t="s">
        <v>172</v>
      </c>
      <c r="F2" s="4" t="s">
        <v>497</v>
      </c>
      <c r="G2" s="4" t="s">
        <v>500</v>
      </c>
      <c r="H2" s="4" t="s">
        <v>956</v>
      </c>
      <c r="I2" s="4" t="s">
        <v>853</v>
      </c>
      <c r="J2" s="4" t="s">
        <v>790</v>
      </c>
      <c r="K2" s="4" t="s">
        <v>957</v>
      </c>
      <c r="L2" s="7" t="s">
        <v>174</v>
      </c>
      <c r="M2" s="7" t="s">
        <v>175</v>
      </c>
    </row>
    <row r="3" spans="1:13" ht="48" customHeight="1" x14ac:dyDescent="0.25">
      <c r="A3" s="4" t="s">
        <v>34</v>
      </c>
      <c r="B3" s="4" t="s">
        <v>243</v>
      </c>
      <c r="C3" s="4" t="s">
        <v>244</v>
      </c>
      <c r="D3" s="4" t="s">
        <v>245</v>
      </c>
      <c r="E3" s="4" t="s">
        <v>234</v>
      </c>
      <c r="F3" s="4" t="s">
        <v>497</v>
      </c>
      <c r="G3" s="4" t="s">
        <v>500</v>
      </c>
      <c r="H3" s="4" t="s">
        <v>958</v>
      </c>
      <c r="I3" s="4" t="s">
        <v>853</v>
      </c>
      <c r="J3" s="4" t="s">
        <v>856</v>
      </c>
      <c r="K3" s="4" t="s">
        <v>959</v>
      </c>
      <c r="L3" s="7" t="s">
        <v>247</v>
      </c>
      <c r="M3" s="7" t="s">
        <v>248</v>
      </c>
    </row>
    <row r="4" spans="1:13" ht="48" customHeight="1" x14ac:dyDescent="0.25">
      <c r="A4" s="4" t="s">
        <v>34</v>
      </c>
      <c r="B4" s="4" t="s">
        <v>147</v>
      </c>
      <c r="C4" s="4" t="s">
        <v>148</v>
      </c>
      <c r="D4" s="4" t="s">
        <v>50</v>
      </c>
      <c r="E4" s="4" t="s">
        <v>144</v>
      </c>
      <c r="F4" s="4" t="s">
        <v>497</v>
      </c>
      <c r="G4" s="4" t="s">
        <v>500</v>
      </c>
      <c r="H4" s="4" t="s">
        <v>960</v>
      </c>
      <c r="I4" s="4" t="s">
        <v>632</v>
      </c>
      <c r="J4" s="4" t="s">
        <v>632</v>
      </c>
      <c r="K4" s="4" t="s">
        <v>961</v>
      </c>
      <c r="L4" s="7" t="s">
        <v>150</v>
      </c>
      <c r="M4" s="7" t="s">
        <v>151</v>
      </c>
    </row>
    <row r="5" spans="1:13" ht="48" customHeight="1" x14ac:dyDescent="0.25">
      <c r="A5" s="4" t="s">
        <v>34</v>
      </c>
      <c r="B5" s="4" t="s">
        <v>192</v>
      </c>
      <c r="C5" s="4" t="s">
        <v>193</v>
      </c>
      <c r="D5" s="4" t="s">
        <v>181</v>
      </c>
      <c r="E5" s="4" t="s">
        <v>182</v>
      </c>
      <c r="F5" s="4" t="s">
        <v>497</v>
      </c>
      <c r="G5" s="4" t="s">
        <v>500</v>
      </c>
      <c r="H5" s="4" t="s">
        <v>962</v>
      </c>
      <c r="I5" s="4" t="s">
        <v>547</v>
      </c>
      <c r="J5" s="4" t="s">
        <v>861</v>
      </c>
      <c r="K5" s="4" t="s">
        <v>963</v>
      </c>
      <c r="L5" s="7" t="s">
        <v>195</v>
      </c>
      <c r="M5" s="7" t="s">
        <v>196</v>
      </c>
    </row>
    <row r="6" spans="1:13" ht="48" customHeight="1" x14ac:dyDescent="0.25">
      <c r="A6" s="4" t="s">
        <v>34</v>
      </c>
      <c r="B6" s="4" t="s">
        <v>863</v>
      </c>
      <c r="C6" s="4" t="s">
        <v>222</v>
      </c>
      <c r="D6" s="4" t="s">
        <v>223</v>
      </c>
      <c r="E6" s="4" t="s">
        <v>217</v>
      </c>
      <c r="F6" s="4" t="s">
        <v>497</v>
      </c>
      <c r="G6" s="4" t="s">
        <v>500</v>
      </c>
      <c r="H6" s="4" t="s">
        <v>964</v>
      </c>
      <c r="I6" s="4" t="s">
        <v>677</v>
      </c>
      <c r="J6" s="4" t="s">
        <v>865</v>
      </c>
      <c r="K6" s="4" t="s">
        <v>965</v>
      </c>
      <c r="L6" s="7" t="s">
        <v>225</v>
      </c>
      <c r="M6" s="7" t="s">
        <v>226</v>
      </c>
    </row>
    <row r="7" spans="1:13" ht="48" customHeight="1" x14ac:dyDescent="0.25">
      <c r="A7" s="4" t="s">
        <v>34</v>
      </c>
      <c r="B7" s="4" t="s">
        <v>303</v>
      </c>
      <c r="C7" s="4" t="s">
        <v>112</v>
      </c>
      <c r="D7" s="4" t="s">
        <v>181</v>
      </c>
      <c r="E7" s="4" t="s">
        <v>304</v>
      </c>
      <c r="F7" s="4" t="s">
        <v>497</v>
      </c>
      <c r="G7" s="4" t="s">
        <v>500</v>
      </c>
      <c r="H7" s="4" t="s">
        <v>966</v>
      </c>
      <c r="I7" s="4" t="s">
        <v>867</v>
      </c>
      <c r="J7" s="4" t="s">
        <v>868</v>
      </c>
      <c r="K7" s="4" t="s">
        <v>967</v>
      </c>
      <c r="L7" s="7" t="s">
        <v>306</v>
      </c>
      <c r="M7" s="7" t="s">
        <v>307</v>
      </c>
    </row>
    <row r="8" spans="1:13" ht="48" customHeight="1" x14ac:dyDescent="0.25">
      <c r="A8" s="4" t="s">
        <v>34</v>
      </c>
      <c r="B8" s="4" t="s">
        <v>264</v>
      </c>
      <c r="C8" s="4" t="s">
        <v>265</v>
      </c>
      <c r="D8" s="4" t="s">
        <v>91</v>
      </c>
      <c r="E8" s="4" t="s">
        <v>266</v>
      </c>
      <c r="F8" s="4" t="s">
        <v>497</v>
      </c>
      <c r="G8" s="4" t="s">
        <v>500</v>
      </c>
      <c r="H8" s="4" t="s">
        <v>968</v>
      </c>
      <c r="I8" s="4" t="s">
        <v>870</v>
      </c>
      <c r="J8" s="4" t="s">
        <v>631</v>
      </c>
      <c r="K8" s="4" t="s">
        <v>969</v>
      </c>
      <c r="L8" s="7" t="s">
        <v>268</v>
      </c>
      <c r="M8" s="7" t="s">
        <v>269</v>
      </c>
    </row>
    <row r="9" spans="1:13" ht="48" customHeight="1" x14ac:dyDescent="0.25">
      <c r="A9" s="4" t="s">
        <v>34</v>
      </c>
      <c r="B9" s="4" t="s">
        <v>335</v>
      </c>
      <c r="C9" s="4" t="s">
        <v>112</v>
      </c>
      <c r="D9" s="4" t="s">
        <v>223</v>
      </c>
      <c r="E9" s="4" t="s">
        <v>336</v>
      </c>
      <c r="F9" s="4" t="s">
        <v>497</v>
      </c>
      <c r="G9" s="4" t="s">
        <v>500</v>
      </c>
      <c r="H9" s="4" t="s">
        <v>970</v>
      </c>
      <c r="I9" s="4" t="s">
        <v>872</v>
      </c>
      <c r="J9" s="4" t="s">
        <v>873</v>
      </c>
      <c r="K9" s="4" t="s">
        <v>971</v>
      </c>
      <c r="L9" s="7" t="s">
        <v>338</v>
      </c>
      <c r="M9" s="7" t="s">
        <v>339</v>
      </c>
    </row>
    <row r="10" spans="1:13" ht="48" customHeight="1" x14ac:dyDescent="0.25">
      <c r="A10" s="4" t="s">
        <v>34</v>
      </c>
      <c r="B10" s="4" t="s">
        <v>371</v>
      </c>
      <c r="C10" s="4" t="s">
        <v>372</v>
      </c>
      <c r="D10" s="4" t="s">
        <v>50</v>
      </c>
      <c r="E10" s="4" t="s">
        <v>364</v>
      </c>
      <c r="F10" s="4" t="s">
        <v>497</v>
      </c>
      <c r="G10" s="4" t="s">
        <v>500</v>
      </c>
      <c r="H10" s="4" t="s">
        <v>972</v>
      </c>
      <c r="I10" s="4" t="s">
        <v>875</v>
      </c>
      <c r="J10" s="4" t="s">
        <v>876</v>
      </c>
      <c r="K10" s="4" t="s">
        <v>973</v>
      </c>
      <c r="L10" s="7" t="s">
        <v>374</v>
      </c>
      <c r="M10" s="7" t="s">
        <v>375</v>
      </c>
    </row>
    <row r="11" spans="1:13" ht="48" customHeight="1" x14ac:dyDescent="0.25">
      <c r="A11" s="4" t="s">
        <v>34</v>
      </c>
      <c r="B11" s="4" t="s">
        <v>376</v>
      </c>
      <c r="C11" s="4" t="s">
        <v>377</v>
      </c>
      <c r="D11" s="4" t="s">
        <v>378</v>
      </c>
      <c r="E11" s="4" t="s">
        <v>379</v>
      </c>
      <c r="F11" s="4" t="s">
        <v>497</v>
      </c>
      <c r="G11" s="4" t="s">
        <v>500</v>
      </c>
      <c r="H11" s="4" t="s">
        <v>974</v>
      </c>
      <c r="I11" s="4" t="s">
        <v>875</v>
      </c>
      <c r="J11" s="4" t="s">
        <v>868</v>
      </c>
      <c r="K11" s="4" t="s">
        <v>975</v>
      </c>
      <c r="L11" s="7" t="s">
        <v>381</v>
      </c>
      <c r="M11" s="7" t="s">
        <v>382</v>
      </c>
    </row>
    <row r="12" spans="1:13" ht="48" customHeight="1" x14ac:dyDescent="0.25">
      <c r="A12" s="4" t="s">
        <v>34</v>
      </c>
      <c r="B12" s="4" t="s">
        <v>394</v>
      </c>
      <c r="C12" s="4" t="s">
        <v>377</v>
      </c>
      <c r="D12" s="4" t="s">
        <v>50</v>
      </c>
      <c r="E12" s="4" t="s">
        <v>395</v>
      </c>
      <c r="F12" s="4" t="s">
        <v>497</v>
      </c>
      <c r="G12" s="4" t="s">
        <v>500</v>
      </c>
      <c r="H12" s="4" t="s">
        <v>976</v>
      </c>
      <c r="I12" s="4" t="s">
        <v>880</v>
      </c>
      <c r="J12" s="4" t="s">
        <v>881</v>
      </c>
      <c r="K12" s="4" t="s">
        <v>977</v>
      </c>
      <c r="L12" s="7" t="s">
        <v>397</v>
      </c>
      <c r="M12" s="7" t="s">
        <v>398</v>
      </c>
    </row>
    <row r="13" spans="1:13" ht="48" customHeight="1" x14ac:dyDescent="0.25">
      <c r="A13" s="4" t="s">
        <v>34</v>
      </c>
      <c r="B13" s="4" t="s">
        <v>90</v>
      </c>
      <c r="C13" s="4" t="s">
        <v>36</v>
      </c>
      <c r="D13" s="4" t="s">
        <v>91</v>
      </c>
      <c r="E13" s="4" t="s">
        <v>80</v>
      </c>
      <c r="F13" s="4" t="s">
        <v>497</v>
      </c>
      <c r="G13" s="4" t="s">
        <v>500</v>
      </c>
      <c r="H13" s="4" t="s">
        <v>978</v>
      </c>
      <c r="I13" s="4" t="s">
        <v>632</v>
      </c>
      <c r="J13" s="4" t="s">
        <v>632</v>
      </c>
      <c r="K13" s="4" t="s">
        <v>979</v>
      </c>
      <c r="L13" s="7" t="s">
        <v>93</v>
      </c>
      <c r="M13" s="7" t="s">
        <v>93</v>
      </c>
    </row>
  </sheetData>
  <autoFilter ref="A1:M13" xr:uid="{00000000-0009-0000-0000-000014000000}"/>
  <phoneticPr fontId="4" type="noConversion"/>
  <hyperlinks>
    <hyperlink ref="L2" r:id="rId1" xr:uid="{00000000-0004-0000-1400-000000000000}"/>
    <hyperlink ref="M2" r:id="rId2" xr:uid="{00000000-0004-0000-1400-000001000000}"/>
    <hyperlink ref="L3" r:id="rId3" xr:uid="{00000000-0004-0000-1400-000002000000}"/>
    <hyperlink ref="M3" r:id="rId4" xr:uid="{00000000-0004-0000-1400-000003000000}"/>
    <hyperlink ref="L4" r:id="rId5" xr:uid="{00000000-0004-0000-1400-000004000000}"/>
    <hyperlink ref="M4" r:id="rId6" xr:uid="{00000000-0004-0000-1400-000005000000}"/>
    <hyperlink ref="L5" r:id="rId7" xr:uid="{00000000-0004-0000-1400-000006000000}"/>
    <hyperlink ref="M5" r:id="rId8" xr:uid="{00000000-0004-0000-1400-000007000000}"/>
    <hyperlink ref="L6" r:id="rId9" xr:uid="{00000000-0004-0000-1400-000008000000}"/>
    <hyperlink ref="M6" r:id="rId10" xr:uid="{00000000-0004-0000-1400-000009000000}"/>
    <hyperlink ref="L7" r:id="rId11" xr:uid="{00000000-0004-0000-1400-00000A000000}"/>
    <hyperlink ref="M7" r:id="rId12" xr:uid="{00000000-0004-0000-1400-00000B000000}"/>
    <hyperlink ref="L8" r:id="rId13" xr:uid="{00000000-0004-0000-1400-00000C000000}"/>
    <hyperlink ref="M8" r:id="rId14" xr:uid="{00000000-0004-0000-1400-00000D000000}"/>
    <hyperlink ref="L9" r:id="rId15" xr:uid="{00000000-0004-0000-1400-00000E000000}"/>
    <hyperlink ref="M9" r:id="rId16" xr:uid="{00000000-0004-0000-1400-00000F000000}"/>
    <hyperlink ref="L10" r:id="rId17" xr:uid="{00000000-0004-0000-1400-000010000000}"/>
    <hyperlink ref="M10" r:id="rId18" xr:uid="{00000000-0004-0000-1400-000011000000}"/>
    <hyperlink ref="L11" r:id="rId19" xr:uid="{00000000-0004-0000-1400-000012000000}"/>
    <hyperlink ref="M11" r:id="rId20" xr:uid="{00000000-0004-0000-1400-000013000000}"/>
    <hyperlink ref="L12" r:id="rId21" xr:uid="{00000000-0004-0000-1400-000014000000}"/>
    <hyperlink ref="M12" r:id="rId22" xr:uid="{00000000-0004-0000-1400-000015000000}"/>
    <hyperlink ref="L13" r:id="rId23" xr:uid="{00000000-0004-0000-1400-000016000000}"/>
    <hyperlink ref="M13" r:id="rId24" xr:uid="{00000000-0004-0000-1400-000017000000}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M13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4" t="s">
        <v>34</v>
      </c>
      <c r="B2" s="4" t="s">
        <v>169</v>
      </c>
      <c r="C2" s="4" t="s">
        <v>170</v>
      </c>
      <c r="D2" s="4" t="s">
        <v>171</v>
      </c>
      <c r="E2" s="4" t="s">
        <v>172</v>
      </c>
      <c r="F2" s="4" t="s">
        <v>497</v>
      </c>
      <c r="G2" s="4" t="s">
        <v>500</v>
      </c>
      <c r="H2" s="4" t="s">
        <v>980</v>
      </c>
      <c r="I2" s="4" t="s">
        <v>853</v>
      </c>
      <c r="J2" s="4" t="s">
        <v>790</v>
      </c>
      <c r="K2" s="4" t="s">
        <v>981</v>
      </c>
      <c r="L2" s="7" t="s">
        <v>174</v>
      </c>
      <c r="M2" s="7" t="s">
        <v>175</v>
      </c>
    </row>
    <row r="3" spans="1:13" ht="48" customHeight="1" x14ac:dyDescent="0.25">
      <c r="A3" s="4" t="s">
        <v>34</v>
      </c>
      <c r="B3" s="4" t="s">
        <v>243</v>
      </c>
      <c r="C3" s="4" t="s">
        <v>244</v>
      </c>
      <c r="D3" s="4" t="s">
        <v>245</v>
      </c>
      <c r="E3" s="4" t="s">
        <v>234</v>
      </c>
      <c r="F3" s="4" t="s">
        <v>497</v>
      </c>
      <c r="G3" s="4" t="s">
        <v>500</v>
      </c>
      <c r="H3" s="4" t="s">
        <v>982</v>
      </c>
      <c r="I3" s="4" t="s">
        <v>853</v>
      </c>
      <c r="J3" s="4" t="s">
        <v>856</v>
      </c>
      <c r="K3" s="4" t="s">
        <v>983</v>
      </c>
      <c r="L3" s="7" t="s">
        <v>247</v>
      </c>
      <c r="M3" s="7" t="s">
        <v>248</v>
      </c>
    </row>
    <row r="4" spans="1:13" ht="48" customHeight="1" x14ac:dyDescent="0.25">
      <c r="A4" s="4" t="s">
        <v>34</v>
      </c>
      <c r="B4" s="4" t="s">
        <v>147</v>
      </c>
      <c r="C4" s="4" t="s">
        <v>148</v>
      </c>
      <c r="D4" s="4" t="s">
        <v>50</v>
      </c>
      <c r="E4" s="4" t="s">
        <v>144</v>
      </c>
      <c r="F4" s="4" t="s">
        <v>497</v>
      </c>
      <c r="G4" s="4" t="s">
        <v>500</v>
      </c>
      <c r="H4" s="4" t="s">
        <v>984</v>
      </c>
      <c r="I4" s="4" t="s">
        <v>632</v>
      </c>
      <c r="J4" s="4" t="s">
        <v>632</v>
      </c>
      <c r="K4" s="4" t="s">
        <v>985</v>
      </c>
      <c r="L4" s="7" t="s">
        <v>150</v>
      </c>
      <c r="M4" s="7" t="s">
        <v>151</v>
      </c>
    </row>
    <row r="5" spans="1:13" ht="48" customHeight="1" x14ac:dyDescent="0.25">
      <c r="A5" s="4" t="s">
        <v>34</v>
      </c>
      <c r="B5" s="4" t="s">
        <v>192</v>
      </c>
      <c r="C5" s="4" t="s">
        <v>193</v>
      </c>
      <c r="D5" s="4" t="s">
        <v>181</v>
      </c>
      <c r="E5" s="4" t="s">
        <v>182</v>
      </c>
      <c r="F5" s="4" t="s">
        <v>497</v>
      </c>
      <c r="G5" s="4" t="s">
        <v>500</v>
      </c>
      <c r="H5" s="4" t="s">
        <v>986</v>
      </c>
      <c r="I5" s="4" t="s">
        <v>547</v>
      </c>
      <c r="J5" s="4" t="s">
        <v>861</v>
      </c>
      <c r="K5" s="4" t="s">
        <v>987</v>
      </c>
      <c r="L5" s="7" t="s">
        <v>195</v>
      </c>
      <c r="M5" s="7" t="s">
        <v>196</v>
      </c>
    </row>
    <row r="6" spans="1:13" ht="48" customHeight="1" x14ac:dyDescent="0.25">
      <c r="A6" s="4" t="s">
        <v>34</v>
      </c>
      <c r="B6" s="4" t="s">
        <v>863</v>
      </c>
      <c r="C6" s="4" t="s">
        <v>222</v>
      </c>
      <c r="D6" s="4" t="s">
        <v>223</v>
      </c>
      <c r="E6" s="4" t="s">
        <v>217</v>
      </c>
      <c r="F6" s="4" t="s">
        <v>497</v>
      </c>
      <c r="G6" s="4" t="s">
        <v>500</v>
      </c>
      <c r="H6" s="4" t="s">
        <v>988</v>
      </c>
      <c r="I6" s="4" t="s">
        <v>677</v>
      </c>
      <c r="J6" s="4" t="s">
        <v>865</v>
      </c>
      <c r="K6" s="4" t="s">
        <v>989</v>
      </c>
      <c r="L6" s="7" t="s">
        <v>225</v>
      </c>
      <c r="M6" s="7" t="s">
        <v>226</v>
      </c>
    </row>
    <row r="7" spans="1:13" ht="48" customHeight="1" x14ac:dyDescent="0.25">
      <c r="A7" s="4" t="s">
        <v>34</v>
      </c>
      <c r="B7" s="4" t="s">
        <v>303</v>
      </c>
      <c r="C7" s="4" t="s">
        <v>112</v>
      </c>
      <c r="D7" s="4" t="s">
        <v>181</v>
      </c>
      <c r="E7" s="4" t="s">
        <v>304</v>
      </c>
      <c r="F7" s="4" t="s">
        <v>497</v>
      </c>
      <c r="G7" s="4" t="s">
        <v>500</v>
      </c>
      <c r="H7" s="4" t="s">
        <v>990</v>
      </c>
      <c r="I7" s="4" t="s">
        <v>867</v>
      </c>
      <c r="J7" s="4" t="s">
        <v>868</v>
      </c>
      <c r="K7" s="4" t="s">
        <v>991</v>
      </c>
      <c r="L7" s="7" t="s">
        <v>306</v>
      </c>
      <c r="M7" s="7" t="s">
        <v>307</v>
      </c>
    </row>
    <row r="8" spans="1:13" ht="48" customHeight="1" x14ac:dyDescent="0.25">
      <c r="A8" s="4" t="s">
        <v>34</v>
      </c>
      <c r="B8" s="4" t="s">
        <v>264</v>
      </c>
      <c r="C8" s="4" t="s">
        <v>265</v>
      </c>
      <c r="D8" s="4" t="s">
        <v>91</v>
      </c>
      <c r="E8" s="4" t="s">
        <v>266</v>
      </c>
      <c r="F8" s="4" t="s">
        <v>497</v>
      </c>
      <c r="G8" s="4" t="s">
        <v>500</v>
      </c>
      <c r="H8" s="4" t="s">
        <v>992</v>
      </c>
      <c r="I8" s="4" t="s">
        <v>870</v>
      </c>
      <c r="J8" s="4" t="s">
        <v>631</v>
      </c>
      <c r="K8" s="4" t="s">
        <v>993</v>
      </c>
      <c r="L8" s="7" t="s">
        <v>268</v>
      </c>
      <c r="M8" s="7" t="s">
        <v>269</v>
      </c>
    </row>
    <row r="9" spans="1:13" ht="48" customHeight="1" x14ac:dyDescent="0.25">
      <c r="A9" s="4" t="s">
        <v>34</v>
      </c>
      <c r="B9" s="4" t="s">
        <v>335</v>
      </c>
      <c r="C9" s="4" t="s">
        <v>112</v>
      </c>
      <c r="D9" s="4" t="s">
        <v>223</v>
      </c>
      <c r="E9" s="4" t="s">
        <v>336</v>
      </c>
      <c r="F9" s="4" t="s">
        <v>497</v>
      </c>
      <c r="G9" s="4" t="s">
        <v>500</v>
      </c>
      <c r="H9" s="4" t="s">
        <v>994</v>
      </c>
      <c r="I9" s="4" t="s">
        <v>872</v>
      </c>
      <c r="J9" s="4" t="s">
        <v>873</v>
      </c>
      <c r="K9" s="4" t="s">
        <v>995</v>
      </c>
      <c r="L9" s="7" t="s">
        <v>338</v>
      </c>
      <c r="M9" s="7" t="s">
        <v>339</v>
      </c>
    </row>
    <row r="10" spans="1:13" ht="48" customHeight="1" x14ac:dyDescent="0.25">
      <c r="A10" s="4" t="s">
        <v>34</v>
      </c>
      <c r="B10" s="4" t="s">
        <v>371</v>
      </c>
      <c r="C10" s="4" t="s">
        <v>372</v>
      </c>
      <c r="D10" s="4" t="s">
        <v>50</v>
      </c>
      <c r="E10" s="4" t="s">
        <v>364</v>
      </c>
      <c r="F10" s="4" t="s">
        <v>497</v>
      </c>
      <c r="G10" s="4" t="s">
        <v>500</v>
      </c>
      <c r="H10" s="4" t="s">
        <v>996</v>
      </c>
      <c r="I10" s="4" t="s">
        <v>875</v>
      </c>
      <c r="J10" s="4" t="s">
        <v>876</v>
      </c>
      <c r="K10" s="4" t="s">
        <v>997</v>
      </c>
      <c r="L10" s="7" t="s">
        <v>374</v>
      </c>
      <c r="M10" s="7" t="s">
        <v>375</v>
      </c>
    </row>
    <row r="11" spans="1:13" ht="48" customHeight="1" x14ac:dyDescent="0.25">
      <c r="A11" s="4" t="s">
        <v>34</v>
      </c>
      <c r="B11" s="4" t="s">
        <v>376</v>
      </c>
      <c r="C11" s="4" t="s">
        <v>377</v>
      </c>
      <c r="D11" s="4" t="s">
        <v>378</v>
      </c>
      <c r="E11" s="4" t="s">
        <v>379</v>
      </c>
      <c r="F11" s="4" t="s">
        <v>497</v>
      </c>
      <c r="G11" s="4" t="s">
        <v>500</v>
      </c>
      <c r="H11" s="4" t="s">
        <v>998</v>
      </c>
      <c r="I11" s="4" t="s">
        <v>875</v>
      </c>
      <c r="J11" s="4" t="s">
        <v>868</v>
      </c>
      <c r="K11" s="4" t="s">
        <v>999</v>
      </c>
      <c r="L11" s="7" t="s">
        <v>381</v>
      </c>
      <c r="M11" s="7" t="s">
        <v>382</v>
      </c>
    </row>
    <row r="12" spans="1:13" ht="48" customHeight="1" x14ac:dyDescent="0.25">
      <c r="A12" s="4" t="s">
        <v>34</v>
      </c>
      <c r="B12" s="4" t="s">
        <v>394</v>
      </c>
      <c r="C12" s="4" t="s">
        <v>377</v>
      </c>
      <c r="D12" s="4" t="s">
        <v>50</v>
      </c>
      <c r="E12" s="4" t="s">
        <v>395</v>
      </c>
      <c r="F12" s="4" t="s">
        <v>497</v>
      </c>
      <c r="G12" s="4" t="s">
        <v>500</v>
      </c>
      <c r="H12" s="4" t="s">
        <v>1000</v>
      </c>
      <c r="I12" s="4" t="s">
        <v>880</v>
      </c>
      <c r="J12" s="4" t="s">
        <v>881</v>
      </c>
      <c r="K12" s="4" t="s">
        <v>1001</v>
      </c>
      <c r="L12" s="7" t="s">
        <v>397</v>
      </c>
      <c r="M12" s="7" t="s">
        <v>398</v>
      </c>
    </row>
    <row r="13" spans="1:13" ht="48" customHeight="1" x14ac:dyDescent="0.25">
      <c r="A13" s="4" t="s">
        <v>34</v>
      </c>
      <c r="B13" s="4" t="s">
        <v>90</v>
      </c>
      <c r="C13" s="4" t="s">
        <v>36</v>
      </c>
      <c r="D13" s="4" t="s">
        <v>91</v>
      </c>
      <c r="E13" s="4" t="s">
        <v>80</v>
      </c>
      <c r="F13" s="4" t="s">
        <v>497</v>
      </c>
      <c r="G13" s="4" t="s">
        <v>500</v>
      </c>
      <c r="H13" s="4" t="s">
        <v>1002</v>
      </c>
      <c r="I13" s="4" t="s">
        <v>632</v>
      </c>
      <c r="J13" s="4" t="s">
        <v>632</v>
      </c>
      <c r="K13" s="4" t="s">
        <v>1003</v>
      </c>
      <c r="L13" s="7" t="s">
        <v>93</v>
      </c>
      <c r="M13" s="7" t="s">
        <v>93</v>
      </c>
    </row>
  </sheetData>
  <autoFilter ref="A1:M13" xr:uid="{00000000-0009-0000-0000-000015000000}"/>
  <phoneticPr fontId="4" type="noConversion"/>
  <hyperlinks>
    <hyperlink ref="L2" r:id="rId1" xr:uid="{00000000-0004-0000-1500-000000000000}"/>
    <hyperlink ref="M2" r:id="rId2" xr:uid="{00000000-0004-0000-1500-000001000000}"/>
    <hyperlink ref="L3" r:id="rId3" xr:uid="{00000000-0004-0000-1500-000002000000}"/>
    <hyperlink ref="M3" r:id="rId4" xr:uid="{00000000-0004-0000-1500-000003000000}"/>
    <hyperlink ref="L4" r:id="rId5" xr:uid="{00000000-0004-0000-1500-000004000000}"/>
    <hyperlink ref="M4" r:id="rId6" xr:uid="{00000000-0004-0000-1500-000005000000}"/>
    <hyperlink ref="L5" r:id="rId7" xr:uid="{00000000-0004-0000-1500-000006000000}"/>
    <hyperlink ref="M5" r:id="rId8" xr:uid="{00000000-0004-0000-1500-000007000000}"/>
    <hyperlink ref="L6" r:id="rId9" xr:uid="{00000000-0004-0000-1500-000008000000}"/>
    <hyperlink ref="M6" r:id="rId10" xr:uid="{00000000-0004-0000-1500-000009000000}"/>
    <hyperlink ref="L7" r:id="rId11" xr:uid="{00000000-0004-0000-1500-00000A000000}"/>
    <hyperlink ref="M7" r:id="rId12" xr:uid="{00000000-0004-0000-1500-00000B000000}"/>
    <hyperlink ref="L8" r:id="rId13" xr:uid="{00000000-0004-0000-1500-00000C000000}"/>
    <hyperlink ref="M8" r:id="rId14" xr:uid="{00000000-0004-0000-1500-00000D000000}"/>
    <hyperlink ref="L9" r:id="rId15" xr:uid="{00000000-0004-0000-1500-00000E000000}"/>
    <hyperlink ref="M9" r:id="rId16" xr:uid="{00000000-0004-0000-1500-00000F000000}"/>
    <hyperlink ref="L10" r:id="rId17" xr:uid="{00000000-0004-0000-1500-000010000000}"/>
    <hyperlink ref="M10" r:id="rId18" xr:uid="{00000000-0004-0000-1500-000011000000}"/>
    <hyperlink ref="L11" r:id="rId19" xr:uid="{00000000-0004-0000-1500-000012000000}"/>
    <hyperlink ref="M11" r:id="rId20" xr:uid="{00000000-0004-0000-1500-000013000000}"/>
    <hyperlink ref="L12" r:id="rId21" xr:uid="{00000000-0004-0000-1500-000014000000}"/>
    <hyperlink ref="M12" r:id="rId22" xr:uid="{00000000-0004-0000-1500-000015000000}"/>
    <hyperlink ref="L13" r:id="rId23" xr:uid="{00000000-0004-0000-1500-000016000000}"/>
    <hyperlink ref="M13" r:id="rId24" xr:uid="{00000000-0004-0000-1500-000017000000}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13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4" t="s">
        <v>34</v>
      </c>
      <c r="B2" s="4" t="s">
        <v>169</v>
      </c>
      <c r="C2" s="4" t="s">
        <v>170</v>
      </c>
      <c r="D2" s="4" t="s">
        <v>171</v>
      </c>
      <c r="E2" s="4" t="s">
        <v>172</v>
      </c>
      <c r="F2" s="4" t="s">
        <v>497</v>
      </c>
      <c r="G2" s="4" t="s">
        <v>500</v>
      </c>
      <c r="H2" s="4" t="s">
        <v>1004</v>
      </c>
      <c r="I2" s="4" t="s">
        <v>853</v>
      </c>
      <c r="J2" s="4" t="s">
        <v>790</v>
      </c>
      <c r="K2" s="4" t="s">
        <v>1005</v>
      </c>
      <c r="L2" s="7" t="s">
        <v>174</v>
      </c>
      <c r="M2" s="7" t="s">
        <v>175</v>
      </c>
    </row>
    <row r="3" spans="1:13" ht="48" customHeight="1" x14ac:dyDescent="0.25">
      <c r="A3" s="4" t="s">
        <v>34</v>
      </c>
      <c r="B3" s="4" t="s">
        <v>243</v>
      </c>
      <c r="C3" s="4" t="s">
        <v>244</v>
      </c>
      <c r="D3" s="4" t="s">
        <v>245</v>
      </c>
      <c r="E3" s="4" t="s">
        <v>234</v>
      </c>
      <c r="F3" s="4" t="s">
        <v>497</v>
      </c>
      <c r="G3" s="4" t="s">
        <v>500</v>
      </c>
      <c r="H3" s="4" t="s">
        <v>1006</v>
      </c>
      <c r="I3" s="4" t="s">
        <v>853</v>
      </c>
      <c r="J3" s="4" t="s">
        <v>856</v>
      </c>
      <c r="K3" s="4" t="s">
        <v>1007</v>
      </c>
      <c r="L3" s="7" t="s">
        <v>247</v>
      </c>
      <c r="M3" s="7" t="s">
        <v>248</v>
      </c>
    </row>
    <row r="4" spans="1:13" ht="48" customHeight="1" x14ac:dyDescent="0.25">
      <c r="A4" s="4" t="s">
        <v>34</v>
      </c>
      <c r="B4" s="4" t="s">
        <v>147</v>
      </c>
      <c r="C4" s="4" t="s">
        <v>148</v>
      </c>
      <c r="D4" s="4" t="s">
        <v>50</v>
      </c>
      <c r="E4" s="4" t="s">
        <v>144</v>
      </c>
      <c r="F4" s="4" t="s">
        <v>497</v>
      </c>
      <c r="G4" s="4" t="s">
        <v>500</v>
      </c>
      <c r="H4" s="4" t="s">
        <v>1008</v>
      </c>
      <c r="I4" s="4" t="s">
        <v>632</v>
      </c>
      <c r="J4" s="4" t="s">
        <v>632</v>
      </c>
      <c r="K4" s="4" t="s">
        <v>1009</v>
      </c>
      <c r="L4" s="7" t="s">
        <v>150</v>
      </c>
      <c r="M4" s="7" t="s">
        <v>151</v>
      </c>
    </row>
    <row r="5" spans="1:13" ht="48" customHeight="1" x14ac:dyDescent="0.25">
      <c r="A5" s="4" t="s">
        <v>34</v>
      </c>
      <c r="B5" s="4" t="s">
        <v>192</v>
      </c>
      <c r="C5" s="4" t="s">
        <v>193</v>
      </c>
      <c r="D5" s="4" t="s">
        <v>181</v>
      </c>
      <c r="E5" s="4" t="s">
        <v>182</v>
      </c>
      <c r="F5" s="4" t="s">
        <v>497</v>
      </c>
      <c r="G5" s="4" t="s">
        <v>500</v>
      </c>
      <c r="H5" s="4" t="s">
        <v>1010</v>
      </c>
      <c r="I5" s="4" t="s">
        <v>547</v>
      </c>
      <c r="J5" s="4" t="s">
        <v>861</v>
      </c>
      <c r="K5" s="4" t="s">
        <v>1011</v>
      </c>
      <c r="L5" s="7" t="s">
        <v>195</v>
      </c>
      <c r="M5" s="7" t="s">
        <v>196</v>
      </c>
    </row>
    <row r="6" spans="1:13" ht="48" customHeight="1" x14ac:dyDescent="0.25">
      <c r="A6" s="4" t="s">
        <v>34</v>
      </c>
      <c r="B6" s="4" t="s">
        <v>863</v>
      </c>
      <c r="C6" s="4" t="s">
        <v>222</v>
      </c>
      <c r="D6" s="4" t="s">
        <v>223</v>
      </c>
      <c r="E6" s="4" t="s">
        <v>217</v>
      </c>
      <c r="F6" s="4" t="s">
        <v>497</v>
      </c>
      <c r="G6" s="4" t="s">
        <v>500</v>
      </c>
      <c r="H6" s="4" t="s">
        <v>1012</v>
      </c>
      <c r="I6" s="4" t="s">
        <v>677</v>
      </c>
      <c r="J6" s="4" t="s">
        <v>865</v>
      </c>
      <c r="K6" s="4" t="s">
        <v>1013</v>
      </c>
      <c r="L6" s="7" t="s">
        <v>225</v>
      </c>
      <c r="M6" s="7" t="s">
        <v>226</v>
      </c>
    </row>
    <row r="7" spans="1:13" ht="48" customHeight="1" x14ac:dyDescent="0.25">
      <c r="A7" s="4" t="s">
        <v>34</v>
      </c>
      <c r="B7" s="4" t="s">
        <v>303</v>
      </c>
      <c r="C7" s="4" t="s">
        <v>112</v>
      </c>
      <c r="D7" s="4" t="s">
        <v>181</v>
      </c>
      <c r="E7" s="4" t="s">
        <v>304</v>
      </c>
      <c r="F7" s="4" t="s">
        <v>497</v>
      </c>
      <c r="G7" s="4" t="s">
        <v>500</v>
      </c>
      <c r="H7" s="4" t="s">
        <v>1014</v>
      </c>
      <c r="I7" s="4" t="s">
        <v>867</v>
      </c>
      <c r="J7" s="4" t="s">
        <v>868</v>
      </c>
      <c r="K7" s="4" t="s">
        <v>1015</v>
      </c>
      <c r="L7" s="7" t="s">
        <v>306</v>
      </c>
      <c r="M7" s="7" t="s">
        <v>307</v>
      </c>
    </row>
    <row r="8" spans="1:13" ht="48" customHeight="1" x14ac:dyDescent="0.25">
      <c r="A8" s="4" t="s">
        <v>34</v>
      </c>
      <c r="B8" s="4" t="s">
        <v>264</v>
      </c>
      <c r="C8" s="4" t="s">
        <v>265</v>
      </c>
      <c r="D8" s="4" t="s">
        <v>91</v>
      </c>
      <c r="E8" s="4" t="s">
        <v>266</v>
      </c>
      <c r="F8" s="4" t="s">
        <v>497</v>
      </c>
      <c r="G8" s="4" t="s">
        <v>500</v>
      </c>
      <c r="H8" s="4" t="s">
        <v>1016</v>
      </c>
      <c r="I8" s="4" t="s">
        <v>870</v>
      </c>
      <c r="J8" s="4" t="s">
        <v>631</v>
      </c>
      <c r="K8" s="4" t="s">
        <v>1017</v>
      </c>
      <c r="L8" s="7" t="s">
        <v>268</v>
      </c>
      <c r="M8" s="7" t="s">
        <v>269</v>
      </c>
    </row>
    <row r="9" spans="1:13" ht="48" customHeight="1" x14ac:dyDescent="0.25">
      <c r="A9" s="4" t="s">
        <v>34</v>
      </c>
      <c r="B9" s="4" t="s">
        <v>335</v>
      </c>
      <c r="C9" s="4" t="s">
        <v>112</v>
      </c>
      <c r="D9" s="4" t="s">
        <v>223</v>
      </c>
      <c r="E9" s="4" t="s">
        <v>336</v>
      </c>
      <c r="F9" s="4" t="s">
        <v>497</v>
      </c>
      <c r="G9" s="4" t="s">
        <v>500</v>
      </c>
      <c r="H9" s="4" t="s">
        <v>1018</v>
      </c>
      <c r="I9" s="4" t="s">
        <v>872</v>
      </c>
      <c r="J9" s="4" t="s">
        <v>873</v>
      </c>
      <c r="K9" s="4" t="s">
        <v>1019</v>
      </c>
      <c r="L9" s="7" t="s">
        <v>338</v>
      </c>
      <c r="M9" s="7" t="s">
        <v>339</v>
      </c>
    </row>
    <row r="10" spans="1:13" ht="48" customHeight="1" x14ac:dyDescent="0.25">
      <c r="A10" s="4" t="s">
        <v>34</v>
      </c>
      <c r="B10" s="4" t="s">
        <v>371</v>
      </c>
      <c r="C10" s="4" t="s">
        <v>372</v>
      </c>
      <c r="D10" s="4" t="s">
        <v>50</v>
      </c>
      <c r="E10" s="4" t="s">
        <v>364</v>
      </c>
      <c r="F10" s="4" t="s">
        <v>497</v>
      </c>
      <c r="G10" s="4" t="s">
        <v>500</v>
      </c>
      <c r="H10" s="4" t="s">
        <v>1020</v>
      </c>
      <c r="I10" s="4" t="s">
        <v>875</v>
      </c>
      <c r="J10" s="4" t="s">
        <v>876</v>
      </c>
      <c r="K10" s="4" t="s">
        <v>1021</v>
      </c>
      <c r="L10" s="7" t="s">
        <v>374</v>
      </c>
      <c r="M10" s="7" t="s">
        <v>375</v>
      </c>
    </row>
    <row r="11" spans="1:13" ht="48" customHeight="1" x14ac:dyDescent="0.25">
      <c r="A11" s="4" t="s">
        <v>34</v>
      </c>
      <c r="B11" s="4" t="s">
        <v>376</v>
      </c>
      <c r="C11" s="4" t="s">
        <v>377</v>
      </c>
      <c r="D11" s="4" t="s">
        <v>378</v>
      </c>
      <c r="E11" s="4" t="s">
        <v>379</v>
      </c>
      <c r="F11" s="4" t="s">
        <v>497</v>
      </c>
      <c r="G11" s="4" t="s">
        <v>500</v>
      </c>
      <c r="H11" s="4" t="s">
        <v>1022</v>
      </c>
      <c r="I11" s="4" t="s">
        <v>875</v>
      </c>
      <c r="J11" s="4" t="s">
        <v>868</v>
      </c>
      <c r="K11" s="4" t="s">
        <v>1023</v>
      </c>
      <c r="L11" s="7" t="s">
        <v>381</v>
      </c>
      <c r="M11" s="7" t="s">
        <v>382</v>
      </c>
    </row>
    <row r="12" spans="1:13" ht="48" customHeight="1" x14ac:dyDescent="0.25">
      <c r="A12" s="4" t="s">
        <v>34</v>
      </c>
      <c r="B12" s="4" t="s">
        <v>394</v>
      </c>
      <c r="C12" s="4" t="s">
        <v>377</v>
      </c>
      <c r="D12" s="4" t="s">
        <v>50</v>
      </c>
      <c r="E12" s="4" t="s">
        <v>395</v>
      </c>
      <c r="F12" s="4" t="s">
        <v>497</v>
      </c>
      <c r="G12" s="4" t="s">
        <v>500</v>
      </c>
      <c r="H12" s="4" t="s">
        <v>1024</v>
      </c>
      <c r="I12" s="4" t="s">
        <v>880</v>
      </c>
      <c r="J12" s="4" t="s">
        <v>881</v>
      </c>
      <c r="K12" s="4" t="s">
        <v>1025</v>
      </c>
      <c r="L12" s="7" t="s">
        <v>397</v>
      </c>
      <c r="M12" s="7" t="s">
        <v>398</v>
      </c>
    </row>
    <row r="13" spans="1:13" ht="48" customHeight="1" x14ac:dyDescent="0.25">
      <c r="A13" s="4" t="s">
        <v>34</v>
      </c>
      <c r="B13" s="4" t="s">
        <v>90</v>
      </c>
      <c r="C13" s="4" t="s">
        <v>36</v>
      </c>
      <c r="D13" s="4" t="s">
        <v>91</v>
      </c>
      <c r="E13" s="4" t="s">
        <v>80</v>
      </c>
      <c r="F13" s="4" t="s">
        <v>497</v>
      </c>
      <c r="G13" s="4" t="s">
        <v>500</v>
      </c>
      <c r="H13" s="4" t="s">
        <v>1026</v>
      </c>
      <c r="I13" s="4" t="s">
        <v>632</v>
      </c>
      <c r="J13" s="4" t="s">
        <v>632</v>
      </c>
      <c r="K13" s="4" t="s">
        <v>1027</v>
      </c>
      <c r="L13" s="7" t="s">
        <v>93</v>
      </c>
      <c r="M13" s="7" t="s">
        <v>93</v>
      </c>
    </row>
  </sheetData>
  <autoFilter ref="A1:M13" xr:uid="{00000000-0009-0000-0000-000016000000}"/>
  <phoneticPr fontId="4" type="noConversion"/>
  <hyperlinks>
    <hyperlink ref="L2" r:id="rId1" xr:uid="{00000000-0004-0000-1600-000000000000}"/>
    <hyperlink ref="M2" r:id="rId2" xr:uid="{00000000-0004-0000-1600-000001000000}"/>
    <hyperlink ref="L3" r:id="rId3" xr:uid="{00000000-0004-0000-1600-000002000000}"/>
    <hyperlink ref="M3" r:id="rId4" xr:uid="{00000000-0004-0000-1600-000003000000}"/>
    <hyperlink ref="L4" r:id="rId5" xr:uid="{00000000-0004-0000-1600-000004000000}"/>
    <hyperlink ref="M4" r:id="rId6" xr:uid="{00000000-0004-0000-1600-000005000000}"/>
    <hyperlink ref="L5" r:id="rId7" xr:uid="{00000000-0004-0000-1600-000006000000}"/>
    <hyperlink ref="M5" r:id="rId8" xr:uid="{00000000-0004-0000-1600-000007000000}"/>
    <hyperlink ref="L6" r:id="rId9" xr:uid="{00000000-0004-0000-1600-000008000000}"/>
    <hyperlink ref="M6" r:id="rId10" xr:uid="{00000000-0004-0000-1600-000009000000}"/>
    <hyperlink ref="L7" r:id="rId11" xr:uid="{00000000-0004-0000-1600-00000A000000}"/>
    <hyperlink ref="M7" r:id="rId12" xr:uid="{00000000-0004-0000-1600-00000B000000}"/>
    <hyperlink ref="L8" r:id="rId13" xr:uid="{00000000-0004-0000-1600-00000C000000}"/>
    <hyperlink ref="M8" r:id="rId14" xr:uid="{00000000-0004-0000-1600-00000D000000}"/>
    <hyperlink ref="L9" r:id="rId15" xr:uid="{00000000-0004-0000-1600-00000E000000}"/>
    <hyperlink ref="M9" r:id="rId16" xr:uid="{00000000-0004-0000-1600-00000F000000}"/>
    <hyperlink ref="L10" r:id="rId17" xr:uid="{00000000-0004-0000-1600-000010000000}"/>
    <hyperlink ref="M10" r:id="rId18" xr:uid="{00000000-0004-0000-1600-000011000000}"/>
    <hyperlink ref="L11" r:id="rId19" xr:uid="{00000000-0004-0000-1600-000012000000}"/>
    <hyperlink ref="M11" r:id="rId20" xr:uid="{00000000-0004-0000-1600-000013000000}"/>
    <hyperlink ref="L12" r:id="rId21" xr:uid="{00000000-0004-0000-1600-000014000000}"/>
    <hyperlink ref="M12" r:id="rId22" xr:uid="{00000000-0004-0000-1600-000015000000}"/>
    <hyperlink ref="L13" r:id="rId23" xr:uid="{00000000-0004-0000-1600-000016000000}"/>
    <hyperlink ref="M13" r:id="rId24" xr:uid="{00000000-0004-0000-1600-000017000000}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M13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4" t="s">
        <v>34</v>
      </c>
      <c r="B2" s="4" t="s">
        <v>169</v>
      </c>
      <c r="C2" s="4" t="s">
        <v>170</v>
      </c>
      <c r="D2" s="4" t="s">
        <v>171</v>
      </c>
      <c r="E2" s="4" t="s">
        <v>172</v>
      </c>
      <c r="F2" s="4" t="s">
        <v>497</v>
      </c>
      <c r="G2" s="4" t="s">
        <v>500</v>
      </c>
      <c r="H2" s="4" t="s">
        <v>1028</v>
      </c>
      <c r="I2" s="4" t="s">
        <v>853</v>
      </c>
      <c r="J2" s="4" t="s">
        <v>790</v>
      </c>
      <c r="K2" s="4" t="s">
        <v>1029</v>
      </c>
      <c r="L2" s="7" t="s">
        <v>174</v>
      </c>
      <c r="M2" s="7" t="s">
        <v>175</v>
      </c>
    </row>
    <row r="3" spans="1:13" ht="48" customHeight="1" x14ac:dyDescent="0.25">
      <c r="A3" s="4" t="s">
        <v>34</v>
      </c>
      <c r="B3" s="4" t="s">
        <v>243</v>
      </c>
      <c r="C3" s="4" t="s">
        <v>244</v>
      </c>
      <c r="D3" s="4" t="s">
        <v>245</v>
      </c>
      <c r="E3" s="4" t="s">
        <v>234</v>
      </c>
      <c r="F3" s="4" t="s">
        <v>497</v>
      </c>
      <c r="G3" s="4" t="s">
        <v>500</v>
      </c>
      <c r="H3" s="4" t="s">
        <v>1030</v>
      </c>
      <c r="I3" s="4" t="s">
        <v>853</v>
      </c>
      <c r="J3" s="4" t="s">
        <v>856</v>
      </c>
      <c r="K3" s="4" t="s">
        <v>1031</v>
      </c>
      <c r="L3" s="7" t="s">
        <v>247</v>
      </c>
      <c r="M3" s="7" t="s">
        <v>248</v>
      </c>
    </row>
    <row r="4" spans="1:13" ht="48" customHeight="1" x14ac:dyDescent="0.25">
      <c r="A4" s="4" t="s">
        <v>34</v>
      </c>
      <c r="B4" s="4" t="s">
        <v>147</v>
      </c>
      <c r="C4" s="4" t="s">
        <v>148</v>
      </c>
      <c r="D4" s="4" t="s">
        <v>50</v>
      </c>
      <c r="E4" s="4" t="s">
        <v>144</v>
      </c>
      <c r="F4" s="4" t="s">
        <v>497</v>
      </c>
      <c r="G4" s="4" t="s">
        <v>500</v>
      </c>
      <c r="H4" s="4" t="s">
        <v>1032</v>
      </c>
      <c r="I4" s="4" t="s">
        <v>632</v>
      </c>
      <c r="J4" s="4" t="s">
        <v>632</v>
      </c>
      <c r="K4" s="4" t="s">
        <v>1033</v>
      </c>
      <c r="L4" s="7" t="s">
        <v>150</v>
      </c>
      <c r="M4" s="7" t="s">
        <v>151</v>
      </c>
    </row>
    <row r="5" spans="1:13" ht="48" customHeight="1" x14ac:dyDescent="0.25">
      <c r="A5" s="4" t="s">
        <v>34</v>
      </c>
      <c r="B5" s="4" t="s">
        <v>192</v>
      </c>
      <c r="C5" s="4" t="s">
        <v>193</v>
      </c>
      <c r="D5" s="4" t="s">
        <v>181</v>
      </c>
      <c r="E5" s="4" t="s">
        <v>182</v>
      </c>
      <c r="F5" s="4" t="s">
        <v>497</v>
      </c>
      <c r="G5" s="4" t="s">
        <v>500</v>
      </c>
      <c r="H5" s="4" t="s">
        <v>1034</v>
      </c>
      <c r="I5" s="4" t="s">
        <v>547</v>
      </c>
      <c r="J5" s="4" t="s">
        <v>861</v>
      </c>
      <c r="K5" s="4" t="s">
        <v>1035</v>
      </c>
      <c r="L5" s="7" t="s">
        <v>195</v>
      </c>
      <c r="M5" s="7" t="s">
        <v>196</v>
      </c>
    </row>
    <row r="6" spans="1:13" ht="48" customHeight="1" x14ac:dyDescent="0.25">
      <c r="A6" s="4" t="s">
        <v>34</v>
      </c>
      <c r="B6" s="4" t="s">
        <v>863</v>
      </c>
      <c r="C6" s="4" t="s">
        <v>222</v>
      </c>
      <c r="D6" s="4" t="s">
        <v>223</v>
      </c>
      <c r="E6" s="4" t="s">
        <v>217</v>
      </c>
      <c r="F6" s="4" t="s">
        <v>497</v>
      </c>
      <c r="G6" s="4" t="s">
        <v>500</v>
      </c>
      <c r="H6" s="4" t="s">
        <v>1036</v>
      </c>
      <c r="I6" s="4" t="s">
        <v>677</v>
      </c>
      <c r="J6" s="4" t="s">
        <v>865</v>
      </c>
      <c r="K6" s="4" t="s">
        <v>1037</v>
      </c>
      <c r="L6" s="7" t="s">
        <v>225</v>
      </c>
      <c r="M6" s="7" t="s">
        <v>226</v>
      </c>
    </row>
    <row r="7" spans="1:13" ht="48" customHeight="1" x14ac:dyDescent="0.25">
      <c r="A7" s="4" t="s">
        <v>34</v>
      </c>
      <c r="B7" s="4" t="s">
        <v>303</v>
      </c>
      <c r="C7" s="4" t="s">
        <v>112</v>
      </c>
      <c r="D7" s="4" t="s">
        <v>181</v>
      </c>
      <c r="E7" s="4" t="s">
        <v>304</v>
      </c>
      <c r="F7" s="4" t="s">
        <v>497</v>
      </c>
      <c r="G7" s="4" t="s">
        <v>500</v>
      </c>
      <c r="H7" s="4" t="s">
        <v>1038</v>
      </c>
      <c r="I7" s="4" t="s">
        <v>867</v>
      </c>
      <c r="J7" s="4" t="s">
        <v>868</v>
      </c>
      <c r="K7" s="4" t="s">
        <v>1039</v>
      </c>
      <c r="L7" s="7" t="s">
        <v>306</v>
      </c>
      <c r="M7" s="7" t="s">
        <v>307</v>
      </c>
    </row>
    <row r="8" spans="1:13" ht="48" customHeight="1" x14ac:dyDescent="0.25">
      <c r="A8" s="4" t="s">
        <v>34</v>
      </c>
      <c r="B8" s="4" t="s">
        <v>264</v>
      </c>
      <c r="C8" s="4" t="s">
        <v>265</v>
      </c>
      <c r="D8" s="4" t="s">
        <v>91</v>
      </c>
      <c r="E8" s="4" t="s">
        <v>266</v>
      </c>
      <c r="F8" s="4" t="s">
        <v>497</v>
      </c>
      <c r="G8" s="4" t="s">
        <v>500</v>
      </c>
      <c r="H8" s="4" t="s">
        <v>1040</v>
      </c>
      <c r="I8" s="4" t="s">
        <v>870</v>
      </c>
      <c r="J8" s="4" t="s">
        <v>631</v>
      </c>
      <c r="K8" s="4" t="s">
        <v>1041</v>
      </c>
      <c r="L8" s="7" t="s">
        <v>268</v>
      </c>
      <c r="M8" s="7" t="s">
        <v>269</v>
      </c>
    </row>
    <row r="9" spans="1:13" ht="48" customHeight="1" x14ac:dyDescent="0.25">
      <c r="A9" s="4" t="s">
        <v>34</v>
      </c>
      <c r="B9" s="4" t="s">
        <v>335</v>
      </c>
      <c r="C9" s="4" t="s">
        <v>112</v>
      </c>
      <c r="D9" s="4" t="s">
        <v>223</v>
      </c>
      <c r="E9" s="4" t="s">
        <v>336</v>
      </c>
      <c r="F9" s="4" t="s">
        <v>497</v>
      </c>
      <c r="G9" s="4" t="s">
        <v>500</v>
      </c>
      <c r="H9" s="4" t="s">
        <v>1042</v>
      </c>
      <c r="I9" s="4" t="s">
        <v>872</v>
      </c>
      <c r="J9" s="4" t="s">
        <v>873</v>
      </c>
      <c r="K9" s="4" t="s">
        <v>1043</v>
      </c>
      <c r="L9" s="7" t="s">
        <v>338</v>
      </c>
      <c r="M9" s="7" t="s">
        <v>339</v>
      </c>
    </row>
    <row r="10" spans="1:13" ht="48" customHeight="1" x14ac:dyDescent="0.25">
      <c r="A10" s="4" t="s">
        <v>34</v>
      </c>
      <c r="B10" s="4" t="s">
        <v>371</v>
      </c>
      <c r="C10" s="4" t="s">
        <v>372</v>
      </c>
      <c r="D10" s="4" t="s">
        <v>50</v>
      </c>
      <c r="E10" s="4" t="s">
        <v>364</v>
      </c>
      <c r="F10" s="4" t="s">
        <v>497</v>
      </c>
      <c r="G10" s="4" t="s">
        <v>500</v>
      </c>
      <c r="H10" s="4" t="s">
        <v>1044</v>
      </c>
      <c r="I10" s="4" t="s">
        <v>875</v>
      </c>
      <c r="J10" s="4" t="s">
        <v>876</v>
      </c>
      <c r="K10" s="4" t="s">
        <v>1045</v>
      </c>
      <c r="L10" s="7" t="s">
        <v>374</v>
      </c>
      <c r="M10" s="7" t="s">
        <v>375</v>
      </c>
    </row>
    <row r="11" spans="1:13" ht="48" customHeight="1" x14ac:dyDescent="0.25">
      <c r="A11" s="4" t="s">
        <v>34</v>
      </c>
      <c r="B11" s="4" t="s">
        <v>376</v>
      </c>
      <c r="C11" s="4" t="s">
        <v>377</v>
      </c>
      <c r="D11" s="4" t="s">
        <v>378</v>
      </c>
      <c r="E11" s="4" t="s">
        <v>379</v>
      </c>
      <c r="F11" s="4" t="s">
        <v>497</v>
      </c>
      <c r="G11" s="4" t="s">
        <v>500</v>
      </c>
      <c r="H11" s="4" t="s">
        <v>1046</v>
      </c>
      <c r="I11" s="4" t="s">
        <v>875</v>
      </c>
      <c r="J11" s="4" t="s">
        <v>868</v>
      </c>
      <c r="K11" s="4" t="s">
        <v>1047</v>
      </c>
      <c r="L11" s="7" t="s">
        <v>381</v>
      </c>
      <c r="M11" s="7" t="s">
        <v>382</v>
      </c>
    </row>
    <row r="12" spans="1:13" ht="48" customHeight="1" x14ac:dyDescent="0.25">
      <c r="A12" s="4" t="s">
        <v>34</v>
      </c>
      <c r="B12" s="4" t="s">
        <v>394</v>
      </c>
      <c r="C12" s="4" t="s">
        <v>377</v>
      </c>
      <c r="D12" s="4" t="s">
        <v>50</v>
      </c>
      <c r="E12" s="4" t="s">
        <v>395</v>
      </c>
      <c r="F12" s="4" t="s">
        <v>497</v>
      </c>
      <c r="G12" s="4" t="s">
        <v>500</v>
      </c>
      <c r="H12" s="4" t="s">
        <v>1048</v>
      </c>
      <c r="I12" s="4" t="s">
        <v>880</v>
      </c>
      <c r="J12" s="4" t="s">
        <v>881</v>
      </c>
      <c r="K12" s="4" t="s">
        <v>1049</v>
      </c>
      <c r="L12" s="7" t="s">
        <v>397</v>
      </c>
      <c r="M12" s="7" t="s">
        <v>398</v>
      </c>
    </row>
    <row r="13" spans="1:13" ht="48" customHeight="1" x14ac:dyDescent="0.25">
      <c r="A13" s="4" t="s">
        <v>34</v>
      </c>
      <c r="B13" s="4" t="s">
        <v>90</v>
      </c>
      <c r="C13" s="4" t="s">
        <v>36</v>
      </c>
      <c r="D13" s="4" t="s">
        <v>91</v>
      </c>
      <c r="E13" s="4" t="s">
        <v>80</v>
      </c>
      <c r="F13" s="4" t="s">
        <v>497</v>
      </c>
      <c r="G13" s="4" t="s">
        <v>500</v>
      </c>
      <c r="H13" s="4" t="s">
        <v>1050</v>
      </c>
      <c r="I13" s="4" t="s">
        <v>632</v>
      </c>
      <c r="J13" s="4" t="s">
        <v>632</v>
      </c>
      <c r="K13" s="4" t="s">
        <v>1051</v>
      </c>
      <c r="L13" s="7" t="s">
        <v>93</v>
      </c>
      <c r="M13" s="7" t="s">
        <v>93</v>
      </c>
    </row>
  </sheetData>
  <autoFilter ref="A1:M13" xr:uid="{00000000-0009-0000-0000-000017000000}"/>
  <phoneticPr fontId="4" type="noConversion"/>
  <hyperlinks>
    <hyperlink ref="L2" r:id="rId1" xr:uid="{00000000-0004-0000-1700-000000000000}"/>
    <hyperlink ref="M2" r:id="rId2" xr:uid="{00000000-0004-0000-1700-000001000000}"/>
    <hyperlink ref="L3" r:id="rId3" xr:uid="{00000000-0004-0000-1700-000002000000}"/>
    <hyperlink ref="M3" r:id="rId4" xr:uid="{00000000-0004-0000-1700-000003000000}"/>
    <hyperlink ref="L4" r:id="rId5" xr:uid="{00000000-0004-0000-1700-000004000000}"/>
    <hyperlink ref="M4" r:id="rId6" xr:uid="{00000000-0004-0000-1700-000005000000}"/>
    <hyperlink ref="L5" r:id="rId7" xr:uid="{00000000-0004-0000-1700-000006000000}"/>
    <hyperlink ref="M5" r:id="rId8" xr:uid="{00000000-0004-0000-1700-000007000000}"/>
    <hyperlink ref="L6" r:id="rId9" xr:uid="{00000000-0004-0000-1700-000008000000}"/>
    <hyperlink ref="M6" r:id="rId10" xr:uid="{00000000-0004-0000-1700-000009000000}"/>
    <hyperlink ref="L7" r:id="rId11" xr:uid="{00000000-0004-0000-1700-00000A000000}"/>
    <hyperlink ref="M7" r:id="rId12" xr:uid="{00000000-0004-0000-1700-00000B000000}"/>
    <hyperlink ref="L8" r:id="rId13" xr:uid="{00000000-0004-0000-1700-00000C000000}"/>
    <hyperlink ref="M8" r:id="rId14" xr:uid="{00000000-0004-0000-1700-00000D000000}"/>
    <hyperlink ref="L9" r:id="rId15" xr:uid="{00000000-0004-0000-1700-00000E000000}"/>
    <hyperlink ref="M9" r:id="rId16" xr:uid="{00000000-0004-0000-1700-00000F000000}"/>
    <hyperlink ref="L10" r:id="rId17" xr:uid="{00000000-0004-0000-1700-000010000000}"/>
    <hyperlink ref="M10" r:id="rId18" xr:uid="{00000000-0004-0000-1700-000011000000}"/>
    <hyperlink ref="L11" r:id="rId19" xr:uid="{00000000-0004-0000-1700-000012000000}"/>
    <hyperlink ref="M11" r:id="rId20" xr:uid="{00000000-0004-0000-1700-000013000000}"/>
    <hyperlink ref="L12" r:id="rId21" xr:uid="{00000000-0004-0000-1700-000014000000}"/>
    <hyperlink ref="M12" r:id="rId22" xr:uid="{00000000-0004-0000-1700-000015000000}"/>
    <hyperlink ref="L13" r:id="rId23" xr:uid="{00000000-0004-0000-1700-000016000000}"/>
    <hyperlink ref="M13" r:id="rId24" xr:uid="{00000000-0004-0000-1700-000017000000}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M13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4" t="s">
        <v>34</v>
      </c>
      <c r="B2" s="4" t="s">
        <v>169</v>
      </c>
      <c r="C2" s="4" t="s">
        <v>170</v>
      </c>
      <c r="D2" s="4" t="s">
        <v>171</v>
      </c>
      <c r="E2" s="4" t="s">
        <v>172</v>
      </c>
      <c r="F2" s="4" t="s">
        <v>497</v>
      </c>
      <c r="G2" s="4" t="s">
        <v>500</v>
      </c>
      <c r="H2" s="4" t="s">
        <v>1052</v>
      </c>
      <c r="I2" s="4" t="s">
        <v>853</v>
      </c>
      <c r="J2" s="4" t="s">
        <v>790</v>
      </c>
      <c r="K2" s="4" t="s">
        <v>1053</v>
      </c>
      <c r="L2" s="7" t="s">
        <v>174</v>
      </c>
      <c r="M2" s="7" t="s">
        <v>175</v>
      </c>
    </row>
    <row r="3" spans="1:13" ht="48" customHeight="1" x14ac:dyDescent="0.25">
      <c r="A3" s="4" t="s">
        <v>34</v>
      </c>
      <c r="B3" s="4" t="s">
        <v>243</v>
      </c>
      <c r="C3" s="4" t="s">
        <v>244</v>
      </c>
      <c r="D3" s="4" t="s">
        <v>245</v>
      </c>
      <c r="E3" s="4" t="s">
        <v>234</v>
      </c>
      <c r="F3" s="4" t="s">
        <v>497</v>
      </c>
      <c r="G3" s="4" t="s">
        <v>500</v>
      </c>
      <c r="H3" s="4" t="s">
        <v>1054</v>
      </c>
      <c r="I3" s="4" t="s">
        <v>853</v>
      </c>
      <c r="J3" s="4" t="s">
        <v>856</v>
      </c>
      <c r="K3" s="4" t="s">
        <v>1055</v>
      </c>
      <c r="L3" s="7" t="s">
        <v>247</v>
      </c>
      <c r="M3" s="7" t="s">
        <v>248</v>
      </c>
    </row>
    <row r="4" spans="1:13" ht="48" customHeight="1" x14ac:dyDescent="0.25">
      <c r="A4" s="4" t="s">
        <v>34</v>
      </c>
      <c r="B4" s="4" t="s">
        <v>147</v>
      </c>
      <c r="C4" s="4" t="s">
        <v>148</v>
      </c>
      <c r="D4" s="4" t="s">
        <v>50</v>
      </c>
      <c r="E4" s="4" t="s">
        <v>144</v>
      </c>
      <c r="F4" s="4" t="s">
        <v>497</v>
      </c>
      <c r="G4" s="4" t="s">
        <v>500</v>
      </c>
      <c r="H4" s="4" t="s">
        <v>1056</v>
      </c>
      <c r="I4" s="4" t="s">
        <v>632</v>
      </c>
      <c r="J4" s="4" t="s">
        <v>632</v>
      </c>
      <c r="K4" s="4" t="s">
        <v>1057</v>
      </c>
      <c r="L4" s="7" t="s">
        <v>150</v>
      </c>
      <c r="M4" s="7" t="s">
        <v>151</v>
      </c>
    </row>
    <row r="5" spans="1:13" ht="48" customHeight="1" x14ac:dyDescent="0.25">
      <c r="A5" s="4" t="s">
        <v>34</v>
      </c>
      <c r="B5" s="4" t="s">
        <v>192</v>
      </c>
      <c r="C5" s="4" t="s">
        <v>193</v>
      </c>
      <c r="D5" s="4" t="s">
        <v>181</v>
      </c>
      <c r="E5" s="4" t="s">
        <v>182</v>
      </c>
      <c r="F5" s="4" t="s">
        <v>497</v>
      </c>
      <c r="G5" s="4" t="s">
        <v>500</v>
      </c>
      <c r="H5" s="4" t="s">
        <v>1058</v>
      </c>
      <c r="I5" s="4" t="s">
        <v>547</v>
      </c>
      <c r="J5" s="4" t="s">
        <v>861</v>
      </c>
      <c r="K5" s="4" t="s">
        <v>1059</v>
      </c>
      <c r="L5" s="7" t="s">
        <v>195</v>
      </c>
      <c r="M5" s="7" t="s">
        <v>196</v>
      </c>
    </row>
    <row r="6" spans="1:13" ht="48" customHeight="1" x14ac:dyDescent="0.25">
      <c r="A6" s="4" t="s">
        <v>34</v>
      </c>
      <c r="B6" s="4" t="s">
        <v>863</v>
      </c>
      <c r="C6" s="4" t="s">
        <v>222</v>
      </c>
      <c r="D6" s="4" t="s">
        <v>223</v>
      </c>
      <c r="E6" s="4" t="s">
        <v>217</v>
      </c>
      <c r="F6" s="4" t="s">
        <v>497</v>
      </c>
      <c r="G6" s="4" t="s">
        <v>500</v>
      </c>
      <c r="H6" s="4" t="s">
        <v>1060</v>
      </c>
      <c r="I6" s="4" t="s">
        <v>677</v>
      </c>
      <c r="J6" s="4" t="s">
        <v>865</v>
      </c>
      <c r="K6" s="4" t="s">
        <v>1061</v>
      </c>
      <c r="L6" s="7" t="s">
        <v>225</v>
      </c>
      <c r="M6" s="7" t="s">
        <v>226</v>
      </c>
    </row>
    <row r="7" spans="1:13" ht="48" customHeight="1" x14ac:dyDescent="0.25">
      <c r="A7" s="4" t="s">
        <v>34</v>
      </c>
      <c r="B7" s="4" t="s">
        <v>303</v>
      </c>
      <c r="C7" s="4" t="s">
        <v>112</v>
      </c>
      <c r="D7" s="4" t="s">
        <v>181</v>
      </c>
      <c r="E7" s="4" t="s">
        <v>304</v>
      </c>
      <c r="F7" s="4" t="s">
        <v>497</v>
      </c>
      <c r="G7" s="4" t="s">
        <v>500</v>
      </c>
      <c r="H7" s="4" t="s">
        <v>1062</v>
      </c>
      <c r="I7" s="4" t="s">
        <v>867</v>
      </c>
      <c r="J7" s="4" t="s">
        <v>868</v>
      </c>
      <c r="K7" s="4" t="s">
        <v>1063</v>
      </c>
      <c r="L7" s="7" t="s">
        <v>306</v>
      </c>
      <c r="M7" s="7" t="s">
        <v>307</v>
      </c>
    </row>
    <row r="8" spans="1:13" ht="48" customHeight="1" x14ac:dyDescent="0.25">
      <c r="A8" s="4" t="s">
        <v>34</v>
      </c>
      <c r="B8" s="4" t="s">
        <v>264</v>
      </c>
      <c r="C8" s="4" t="s">
        <v>265</v>
      </c>
      <c r="D8" s="4" t="s">
        <v>91</v>
      </c>
      <c r="E8" s="4" t="s">
        <v>266</v>
      </c>
      <c r="F8" s="4" t="s">
        <v>497</v>
      </c>
      <c r="G8" s="4" t="s">
        <v>500</v>
      </c>
      <c r="H8" s="4" t="s">
        <v>1064</v>
      </c>
      <c r="I8" s="4" t="s">
        <v>870</v>
      </c>
      <c r="J8" s="4" t="s">
        <v>631</v>
      </c>
      <c r="K8" s="4" t="s">
        <v>1065</v>
      </c>
      <c r="L8" s="7" t="s">
        <v>268</v>
      </c>
      <c r="M8" s="7" t="s">
        <v>269</v>
      </c>
    </row>
    <row r="9" spans="1:13" ht="48" customHeight="1" x14ac:dyDescent="0.25">
      <c r="A9" s="4" t="s">
        <v>34</v>
      </c>
      <c r="B9" s="4" t="s">
        <v>335</v>
      </c>
      <c r="C9" s="4" t="s">
        <v>112</v>
      </c>
      <c r="D9" s="4" t="s">
        <v>223</v>
      </c>
      <c r="E9" s="4" t="s">
        <v>336</v>
      </c>
      <c r="F9" s="4" t="s">
        <v>497</v>
      </c>
      <c r="G9" s="4" t="s">
        <v>500</v>
      </c>
      <c r="H9" s="4" t="s">
        <v>1066</v>
      </c>
      <c r="I9" s="4" t="s">
        <v>872</v>
      </c>
      <c r="J9" s="4" t="s">
        <v>873</v>
      </c>
      <c r="K9" s="4" t="s">
        <v>1067</v>
      </c>
      <c r="L9" s="7" t="s">
        <v>338</v>
      </c>
      <c r="M9" s="7" t="s">
        <v>339</v>
      </c>
    </row>
    <row r="10" spans="1:13" ht="48" customHeight="1" x14ac:dyDescent="0.25">
      <c r="A10" s="4" t="s">
        <v>34</v>
      </c>
      <c r="B10" s="4" t="s">
        <v>371</v>
      </c>
      <c r="C10" s="4" t="s">
        <v>372</v>
      </c>
      <c r="D10" s="4" t="s">
        <v>50</v>
      </c>
      <c r="E10" s="4" t="s">
        <v>364</v>
      </c>
      <c r="F10" s="4" t="s">
        <v>497</v>
      </c>
      <c r="G10" s="4" t="s">
        <v>500</v>
      </c>
      <c r="H10" s="4" t="s">
        <v>1068</v>
      </c>
      <c r="I10" s="4" t="s">
        <v>875</v>
      </c>
      <c r="J10" s="4" t="s">
        <v>876</v>
      </c>
      <c r="K10" s="4" t="s">
        <v>1069</v>
      </c>
      <c r="L10" s="7" t="s">
        <v>374</v>
      </c>
      <c r="M10" s="7" t="s">
        <v>375</v>
      </c>
    </row>
    <row r="11" spans="1:13" ht="48" customHeight="1" x14ac:dyDescent="0.25">
      <c r="A11" s="4" t="s">
        <v>34</v>
      </c>
      <c r="B11" s="4" t="s">
        <v>376</v>
      </c>
      <c r="C11" s="4" t="s">
        <v>377</v>
      </c>
      <c r="D11" s="4" t="s">
        <v>378</v>
      </c>
      <c r="E11" s="4" t="s">
        <v>379</v>
      </c>
      <c r="F11" s="4" t="s">
        <v>497</v>
      </c>
      <c r="G11" s="4" t="s">
        <v>500</v>
      </c>
      <c r="H11" s="4" t="s">
        <v>1070</v>
      </c>
      <c r="I11" s="4" t="s">
        <v>875</v>
      </c>
      <c r="J11" s="4" t="s">
        <v>868</v>
      </c>
      <c r="K11" s="4" t="s">
        <v>1071</v>
      </c>
      <c r="L11" s="7" t="s">
        <v>381</v>
      </c>
      <c r="M11" s="7" t="s">
        <v>382</v>
      </c>
    </row>
    <row r="12" spans="1:13" ht="48" customHeight="1" x14ac:dyDescent="0.25">
      <c r="A12" s="4" t="s">
        <v>34</v>
      </c>
      <c r="B12" s="4" t="s">
        <v>394</v>
      </c>
      <c r="C12" s="4" t="s">
        <v>377</v>
      </c>
      <c r="D12" s="4" t="s">
        <v>50</v>
      </c>
      <c r="E12" s="4" t="s">
        <v>395</v>
      </c>
      <c r="F12" s="4" t="s">
        <v>497</v>
      </c>
      <c r="G12" s="4" t="s">
        <v>500</v>
      </c>
      <c r="H12" s="4" t="s">
        <v>1072</v>
      </c>
      <c r="I12" s="4" t="s">
        <v>880</v>
      </c>
      <c r="J12" s="4" t="s">
        <v>881</v>
      </c>
      <c r="K12" s="4" t="s">
        <v>1073</v>
      </c>
      <c r="L12" s="7" t="s">
        <v>397</v>
      </c>
      <c r="M12" s="7" t="s">
        <v>398</v>
      </c>
    </row>
    <row r="13" spans="1:13" ht="48" customHeight="1" x14ac:dyDescent="0.25">
      <c r="A13" s="4" t="s">
        <v>34</v>
      </c>
      <c r="B13" s="4" t="s">
        <v>90</v>
      </c>
      <c r="C13" s="4" t="s">
        <v>36</v>
      </c>
      <c r="D13" s="4" t="s">
        <v>91</v>
      </c>
      <c r="E13" s="4" t="s">
        <v>80</v>
      </c>
      <c r="F13" s="4" t="s">
        <v>497</v>
      </c>
      <c r="G13" s="4" t="s">
        <v>500</v>
      </c>
      <c r="H13" s="4" t="s">
        <v>1074</v>
      </c>
      <c r="I13" s="4" t="s">
        <v>632</v>
      </c>
      <c r="J13" s="4" t="s">
        <v>632</v>
      </c>
      <c r="K13" s="4" t="s">
        <v>1075</v>
      </c>
      <c r="L13" s="7" t="s">
        <v>93</v>
      </c>
      <c r="M13" s="7" t="s">
        <v>93</v>
      </c>
    </row>
  </sheetData>
  <autoFilter ref="A1:M13" xr:uid="{00000000-0009-0000-0000-000018000000}"/>
  <phoneticPr fontId="4" type="noConversion"/>
  <hyperlinks>
    <hyperlink ref="L2" r:id="rId1" xr:uid="{00000000-0004-0000-1800-000000000000}"/>
    <hyperlink ref="M2" r:id="rId2" xr:uid="{00000000-0004-0000-1800-000001000000}"/>
    <hyperlink ref="L3" r:id="rId3" xr:uid="{00000000-0004-0000-1800-000002000000}"/>
    <hyperlink ref="M3" r:id="rId4" xr:uid="{00000000-0004-0000-1800-000003000000}"/>
    <hyperlink ref="L4" r:id="rId5" xr:uid="{00000000-0004-0000-1800-000004000000}"/>
    <hyperlink ref="M4" r:id="rId6" xr:uid="{00000000-0004-0000-1800-000005000000}"/>
    <hyperlink ref="L5" r:id="rId7" xr:uid="{00000000-0004-0000-1800-000006000000}"/>
    <hyperlink ref="M5" r:id="rId8" xr:uid="{00000000-0004-0000-1800-000007000000}"/>
    <hyperlink ref="L6" r:id="rId9" xr:uid="{00000000-0004-0000-1800-000008000000}"/>
    <hyperlink ref="M6" r:id="rId10" xr:uid="{00000000-0004-0000-1800-000009000000}"/>
    <hyperlink ref="L7" r:id="rId11" xr:uid="{00000000-0004-0000-1800-00000A000000}"/>
    <hyperlink ref="M7" r:id="rId12" xr:uid="{00000000-0004-0000-1800-00000B000000}"/>
    <hyperlink ref="L8" r:id="rId13" xr:uid="{00000000-0004-0000-1800-00000C000000}"/>
    <hyperlink ref="M8" r:id="rId14" xr:uid="{00000000-0004-0000-1800-00000D000000}"/>
    <hyperlink ref="L9" r:id="rId15" xr:uid="{00000000-0004-0000-1800-00000E000000}"/>
    <hyperlink ref="M9" r:id="rId16" xr:uid="{00000000-0004-0000-1800-00000F000000}"/>
    <hyperlink ref="L10" r:id="rId17" xr:uid="{00000000-0004-0000-1800-000010000000}"/>
    <hyperlink ref="M10" r:id="rId18" xr:uid="{00000000-0004-0000-1800-000011000000}"/>
    <hyperlink ref="L11" r:id="rId19" xr:uid="{00000000-0004-0000-1800-000012000000}"/>
    <hyperlink ref="M11" r:id="rId20" xr:uid="{00000000-0004-0000-1800-000013000000}"/>
    <hyperlink ref="L12" r:id="rId21" xr:uid="{00000000-0004-0000-1800-000014000000}"/>
    <hyperlink ref="M12" r:id="rId22" xr:uid="{00000000-0004-0000-1800-000015000000}"/>
    <hyperlink ref="L13" r:id="rId23" xr:uid="{00000000-0004-0000-1800-000016000000}"/>
    <hyperlink ref="M13" r:id="rId24" xr:uid="{00000000-0004-0000-1800-000017000000}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13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4" t="s">
        <v>34</v>
      </c>
      <c r="B2" s="4" t="s">
        <v>169</v>
      </c>
      <c r="C2" s="4" t="s">
        <v>170</v>
      </c>
      <c r="D2" s="4" t="s">
        <v>171</v>
      </c>
      <c r="E2" s="4" t="s">
        <v>172</v>
      </c>
      <c r="F2" s="4" t="s">
        <v>497</v>
      </c>
      <c r="G2" s="4" t="s">
        <v>500</v>
      </c>
      <c r="H2" s="4" t="s">
        <v>1076</v>
      </c>
      <c r="I2" s="4" t="s">
        <v>853</v>
      </c>
      <c r="J2" s="4" t="s">
        <v>790</v>
      </c>
      <c r="K2" s="4" t="s">
        <v>1077</v>
      </c>
      <c r="L2" s="7" t="s">
        <v>174</v>
      </c>
      <c r="M2" s="7" t="s">
        <v>175</v>
      </c>
    </row>
    <row r="3" spans="1:13" ht="48" customHeight="1" x14ac:dyDescent="0.25">
      <c r="A3" s="4" t="s">
        <v>34</v>
      </c>
      <c r="B3" s="4" t="s">
        <v>243</v>
      </c>
      <c r="C3" s="4" t="s">
        <v>244</v>
      </c>
      <c r="D3" s="4" t="s">
        <v>245</v>
      </c>
      <c r="E3" s="4" t="s">
        <v>234</v>
      </c>
      <c r="F3" s="4" t="s">
        <v>497</v>
      </c>
      <c r="G3" s="4" t="s">
        <v>500</v>
      </c>
      <c r="H3" s="4" t="s">
        <v>1078</v>
      </c>
      <c r="I3" s="4" t="s">
        <v>853</v>
      </c>
      <c r="J3" s="4" t="s">
        <v>856</v>
      </c>
      <c r="K3" s="4" t="s">
        <v>1079</v>
      </c>
      <c r="L3" s="7" t="s">
        <v>247</v>
      </c>
      <c r="M3" s="7" t="s">
        <v>248</v>
      </c>
    </row>
    <row r="4" spans="1:13" ht="48" customHeight="1" x14ac:dyDescent="0.25">
      <c r="A4" s="4" t="s">
        <v>34</v>
      </c>
      <c r="B4" s="4" t="s">
        <v>147</v>
      </c>
      <c r="C4" s="4" t="s">
        <v>148</v>
      </c>
      <c r="D4" s="4" t="s">
        <v>50</v>
      </c>
      <c r="E4" s="4" t="s">
        <v>144</v>
      </c>
      <c r="F4" s="4" t="s">
        <v>497</v>
      </c>
      <c r="G4" s="4" t="s">
        <v>500</v>
      </c>
      <c r="H4" s="4" t="s">
        <v>1080</v>
      </c>
      <c r="I4" s="4" t="s">
        <v>632</v>
      </c>
      <c r="J4" s="4" t="s">
        <v>632</v>
      </c>
      <c r="K4" s="4" t="s">
        <v>1081</v>
      </c>
      <c r="L4" s="7" t="s">
        <v>150</v>
      </c>
      <c r="M4" s="7" t="s">
        <v>151</v>
      </c>
    </row>
    <row r="5" spans="1:13" ht="48" customHeight="1" x14ac:dyDescent="0.25">
      <c r="A5" s="4" t="s">
        <v>34</v>
      </c>
      <c r="B5" s="4" t="s">
        <v>192</v>
      </c>
      <c r="C5" s="4" t="s">
        <v>193</v>
      </c>
      <c r="D5" s="4" t="s">
        <v>181</v>
      </c>
      <c r="E5" s="4" t="s">
        <v>182</v>
      </c>
      <c r="F5" s="4" t="s">
        <v>497</v>
      </c>
      <c r="G5" s="4" t="s">
        <v>500</v>
      </c>
      <c r="H5" s="4" t="s">
        <v>1082</v>
      </c>
      <c r="I5" s="4" t="s">
        <v>547</v>
      </c>
      <c r="J5" s="4" t="s">
        <v>861</v>
      </c>
      <c r="K5" s="4" t="s">
        <v>1083</v>
      </c>
      <c r="L5" s="7" t="s">
        <v>195</v>
      </c>
      <c r="M5" s="7" t="s">
        <v>196</v>
      </c>
    </row>
    <row r="6" spans="1:13" ht="48" customHeight="1" x14ac:dyDescent="0.25">
      <c r="A6" s="4" t="s">
        <v>34</v>
      </c>
      <c r="B6" s="4" t="s">
        <v>863</v>
      </c>
      <c r="C6" s="4" t="s">
        <v>222</v>
      </c>
      <c r="D6" s="4" t="s">
        <v>223</v>
      </c>
      <c r="E6" s="4" t="s">
        <v>217</v>
      </c>
      <c r="F6" s="4" t="s">
        <v>497</v>
      </c>
      <c r="G6" s="4" t="s">
        <v>500</v>
      </c>
      <c r="H6" s="4" t="s">
        <v>1084</v>
      </c>
      <c r="I6" s="4" t="s">
        <v>677</v>
      </c>
      <c r="J6" s="4" t="s">
        <v>865</v>
      </c>
      <c r="K6" s="4" t="s">
        <v>1085</v>
      </c>
      <c r="L6" s="7" t="s">
        <v>225</v>
      </c>
      <c r="M6" s="7" t="s">
        <v>226</v>
      </c>
    </row>
    <row r="7" spans="1:13" ht="48" customHeight="1" x14ac:dyDescent="0.25">
      <c r="A7" s="4" t="s">
        <v>34</v>
      </c>
      <c r="B7" s="4" t="s">
        <v>303</v>
      </c>
      <c r="C7" s="4" t="s">
        <v>112</v>
      </c>
      <c r="D7" s="4" t="s">
        <v>181</v>
      </c>
      <c r="E7" s="4" t="s">
        <v>304</v>
      </c>
      <c r="F7" s="4" t="s">
        <v>497</v>
      </c>
      <c r="G7" s="4" t="s">
        <v>500</v>
      </c>
      <c r="H7" s="4" t="s">
        <v>1086</v>
      </c>
      <c r="I7" s="4" t="s">
        <v>867</v>
      </c>
      <c r="J7" s="4" t="s">
        <v>868</v>
      </c>
      <c r="K7" s="4" t="s">
        <v>1087</v>
      </c>
      <c r="L7" s="7" t="s">
        <v>306</v>
      </c>
      <c r="M7" s="7" t="s">
        <v>307</v>
      </c>
    </row>
    <row r="8" spans="1:13" ht="48" customHeight="1" x14ac:dyDescent="0.25">
      <c r="A8" s="4" t="s">
        <v>34</v>
      </c>
      <c r="B8" s="4" t="s">
        <v>264</v>
      </c>
      <c r="C8" s="4" t="s">
        <v>265</v>
      </c>
      <c r="D8" s="4" t="s">
        <v>91</v>
      </c>
      <c r="E8" s="4" t="s">
        <v>266</v>
      </c>
      <c r="F8" s="4" t="s">
        <v>497</v>
      </c>
      <c r="G8" s="4" t="s">
        <v>500</v>
      </c>
      <c r="H8" s="4" t="s">
        <v>1088</v>
      </c>
      <c r="I8" s="4" t="s">
        <v>870</v>
      </c>
      <c r="J8" s="4" t="s">
        <v>631</v>
      </c>
      <c r="K8" s="4" t="s">
        <v>1089</v>
      </c>
      <c r="L8" s="7" t="s">
        <v>268</v>
      </c>
      <c r="M8" s="7" t="s">
        <v>269</v>
      </c>
    </row>
    <row r="9" spans="1:13" ht="48" customHeight="1" x14ac:dyDescent="0.25">
      <c r="A9" s="4" t="s">
        <v>34</v>
      </c>
      <c r="B9" s="4" t="s">
        <v>335</v>
      </c>
      <c r="C9" s="4" t="s">
        <v>112</v>
      </c>
      <c r="D9" s="4" t="s">
        <v>223</v>
      </c>
      <c r="E9" s="4" t="s">
        <v>336</v>
      </c>
      <c r="F9" s="4" t="s">
        <v>497</v>
      </c>
      <c r="G9" s="4" t="s">
        <v>500</v>
      </c>
      <c r="H9" s="4" t="s">
        <v>1090</v>
      </c>
      <c r="I9" s="4" t="s">
        <v>872</v>
      </c>
      <c r="J9" s="4" t="s">
        <v>873</v>
      </c>
      <c r="K9" s="4" t="s">
        <v>1091</v>
      </c>
      <c r="L9" s="7" t="s">
        <v>338</v>
      </c>
      <c r="M9" s="7" t="s">
        <v>339</v>
      </c>
    </row>
    <row r="10" spans="1:13" ht="48" customHeight="1" x14ac:dyDescent="0.25">
      <c r="A10" s="4" t="s">
        <v>34</v>
      </c>
      <c r="B10" s="4" t="s">
        <v>371</v>
      </c>
      <c r="C10" s="4" t="s">
        <v>372</v>
      </c>
      <c r="D10" s="4" t="s">
        <v>50</v>
      </c>
      <c r="E10" s="4" t="s">
        <v>364</v>
      </c>
      <c r="F10" s="4" t="s">
        <v>497</v>
      </c>
      <c r="G10" s="4" t="s">
        <v>500</v>
      </c>
      <c r="H10" s="4" t="s">
        <v>1092</v>
      </c>
      <c r="I10" s="4" t="s">
        <v>875</v>
      </c>
      <c r="J10" s="4" t="s">
        <v>876</v>
      </c>
      <c r="K10" s="4" t="s">
        <v>1093</v>
      </c>
      <c r="L10" s="7" t="s">
        <v>374</v>
      </c>
      <c r="M10" s="7" t="s">
        <v>375</v>
      </c>
    </row>
    <row r="11" spans="1:13" ht="48" customHeight="1" x14ac:dyDescent="0.25">
      <c r="A11" s="4" t="s">
        <v>34</v>
      </c>
      <c r="B11" s="4" t="s">
        <v>376</v>
      </c>
      <c r="C11" s="4" t="s">
        <v>377</v>
      </c>
      <c r="D11" s="4" t="s">
        <v>378</v>
      </c>
      <c r="E11" s="4" t="s">
        <v>379</v>
      </c>
      <c r="F11" s="4" t="s">
        <v>497</v>
      </c>
      <c r="G11" s="4" t="s">
        <v>500</v>
      </c>
      <c r="H11" s="4" t="s">
        <v>1094</v>
      </c>
      <c r="I11" s="4" t="s">
        <v>875</v>
      </c>
      <c r="J11" s="4" t="s">
        <v>868</v>
      </c>
      <c r="K11" s="4" t="s">
        <v>1095</v>
      </c>
      <c r="L11" s="7" t="s">
        <v>381</v>
      </c>
      <c r="M11" s="7" t="s">
        <v>382</v>
      </c>
    </row>
    <row r="12" spans="1:13" ht="48" customHeight="1" x14ac:dyDescent="0.25">
      <c r="A12" s="4" t="s">
        <v>34</v>
      </c>
      <c r="B12" s="4" t="s">
        <v>394</v>
      </c>
      <c r="C12" s="4" t="s">
        <v>377</v>
      </c>
      <c r="D12" s="4" t="s">
        <v>50</v>
      </c>
      <c r="E12" s="4" t="s">
        <v>395</v>
      </c>
      <c r="F12" s="4" t="s">
        <v>497</v>
      </c>
      <c r="G12" s="4" t="s">
        <v>500</v>
      </c>
      <c r="H12" s="4" t="s">
        <v>1096</v>
      </c>
      <c r="I12" s="4" t="s">
        <v>880</v>
      </c>
      <c r="J12" s="4" t="s">
        <v>881</v>
      </c>
      <c r="K12" s="4" t="s">
        <v>1097</v>
      </c>
      <c r="L12" s="7" t="s">
        <v>397</v>
      </c>
      <c r="M12" s="7" t="s">
        <v>398</v>
      </c>
    </row>
    <row r="13" spans="1:13" ht="48" customHeight="1" x14ac:dyDescent="0.25">
      <c r="A13" s="4" t="s">
        <v>34</v>
      </c>
      <c r="B13" s="4" t="s">
        <v>90</v>
      </c>
      <c r="C13" s="4" t="s">
        <v>36</v>
      </c>
      <c r="D13" s="4" t="s">
        <v>91</v>
      </c>
      <c r="E13" s="4" t="s">
        <v>80</v>
      </c>
      <c r="F13" s="4" t="s">
        <v>497</v>
      </c>
      <c r="G13" s="4" t="s">
        <v>500</v>
      </c>
      <c r="H13" s="4" t="s">
        <v>1098</v>
      </c>
      <c r="I13" s="4" t="s">
        <v>632</v>
      </c>
      <c r="J13" s="4" t="s">
        <v>632</v>
      </c>
      <c r="K13" s="4" t="s">
        <v>1099</v>
      </c>
      <c r="L13" s="7" t="s">
        <v>93</v>
      </c>
      <c r="M13" s="7" t="s">
        <v>93</v>
      </c>
    </row>
  </sheetData>
  <autoFilter ref="A1:M13" xr:uid="{00000000-0009-0000-0000-000019000000}"/>
  <phoneticPr fontId="4" type="noConversion"/>
  <hyperlinks>
    <hyperlink ref="L2" r:id="rId1" xr:uid="{00000000-0004-0000-1900-000000000000}"/>
    <hyperlink ref="M2" r:id="rId2" xr:uid="{00000000-0004-0000-1900-000001000000}"/>
    <hyperlink ref="L3" r:id="rId3" xr:uid="{00000000-0004-0000-1900-000002000000}"/>
    <hyperlink ref="M3" r:id="rId4" xr:uid="{00000000-0004-0000-1900-000003000000}"/>
    <hyperlink ref="L4" r:id="rId5" xr:uid="{00000000-0004-0000-1900-000004000000}"/>
    <hyperlink ref="M4" r:id="rId6" xr:uid="{00000000-0004-0000-1900-000005000000}"/>
    <hyperlink ref="L5" r:id="rId7" xr:uid="{00000000-0004-0000-1900-000006000000}"/>
    <hyperlink ref="M5" r:id="rId8" xr:uid="{00000000-0004-0000-1900-000007000000}"/>
    <hyperlink ref="L6" r:id="rId9" xr:uid="{00000000-0004-0000-1900-000008000000}"/>
    <hyperlink ref="M6" r:id="rId10" xr:uid="{00000000-0004-0000-1900-000009000000}"/>
    <hyperlink ref="L7" r:id="rId11" xr:uid="{00000000-0004-0000-1900-00000A000000}"/>
    <hyperlink ref="M7" r:id="rId12" xr:uid="{00000000-0004-0000-1900-00000B000000}"/>
    <hyperlink ref="L8" r:id="rId13" xr:uid="{00000000-0004-0000-1900-00000C000000}"/>
    <hyperlink ref="M8" r:id="rId14" xr:uid="{00000000-0004-0000-1900-00000D000000}"/>
    <hyperlink ref="L9" r:id="rId15" xr:uid="{00000000-0004-0000-1900-00000E000000}"/>
    <hyperlink ref="M9" r:id="rId16" xr:uid="{00000000-0004-0000-1900-00000F000000}"/>
    <hyperlink ref="L10" r:id="rId17" xr:uid="{00000000-0004-0000-1900-000010000000}"/>
    <hyperlink ref="M10" r:id="rId18" xr:uid="{00000000-0004-0000-1900-000011000000}"/>
    <hyperlink ref="L11" r:id="rId19" xr:uid="{00000000-0004-0000-1900-000012000000}"/>
    <hyperlink ref="M11" r:id="rId20" xr:uid="{00000000-0004-0000-1900-000013000000}"/>
    <hyperlink ref="L12" r:id="rId21" xr:uid="{00000000-0004-0000-1900-000014000000}"/>
    <hyperlink ref="M12" r:id="rId22" xr:uid="{00000000-0004-0000-1900-000015000000}"/>
    <hyperlink ref="L13" r:id="rId23" xr:uid="{00000000-0004-0000-1900-000016000000}"/>
    <hyperlink ref="M13" r:id="rId24" xr:uid="{00000000-0004-0000-1900-000017000000}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4" t="s">
        <v>34</v>
      </c>
      <c r="B2" s="4" t="s">
        <v>118</v>
      </c>
      <c r="C2" s="4" t="s">
        <v>119</v>
      </c>
      <c r="D2" s="4" t="s">
        <v>113</v>
      </c>
      <c r="E2" s="4" t="s">
        <v>114</v>
      </c>
      <c r="F2" s="4" t="s">
        <v>497</v>
      </c>
      <c r="G2" s="4" t="s">
        <v>500</v>
      </c>
      <c r="H2" s="4" t="s">
        <v>1100</v>
      </c>
      <c r="I2" s="4" t="s">
        <v>500</v>
      </c>
      <c r="J2" s="4" t="s">
        <v>500</v>
      </c>
      <c r="K2" s="4" t="s">
        <v>1101</v>
      </c>
      <c r="L2" s="7" t="s">
        <v>121</v>
      </c>
      <c r="M2" s="7" t="s">
        <v>122</v>
      </c>
    </row>
    <row r="3" spans="1:13" ht="48" customHeight="1" x14ac:dyDescent="0.25">
      <c r="A3" s="4" t="s">
        <v>34</v>
      </c>
      <c r="B3" s="4" t="s">
        <v>1102</v>
      </c>
      <c r="C3" s="4" t="s">
        <v>36</v>
      </c>
      <c r="D3" s="4" t="s">
        <v>50</v>
      </c>
      <c r="E3" s="4" t="s">
        <v>144</v>
      </c>
      <c r="F3" s="4" t="s">
        <v>497</v>
      </c>
      <c r="G3" s="4" t="s">
        <v>500</v>
      </c>
      <c r="H3" s="4" t="s">
        <v>1103</v>
      </c>
      <c r="I3" s="4" t="s">
        <v>500</v>
      </c>
      <c r="J3" s="4" t="s">
        <v>500</v>
      </c>
      <c r="K3" s="4" t="s">
        <v>1104</v>
      </c>
      <c r="L3" s="7" t="s">
        <v>826</v>
      </c>
      <c r="M3" s="7" t="s">
        <v>39</v>
      </c>
    </row>
    <row r="4" spans="1:13" ht="48" customHeight="1" x14ac:dyDescent="0.25">
      <c r="A4" s="4" t="s">
        <v>34</v>
      </c>
      <c r="B4" s="4" t="s">
        <v>1105</v>
      </c>
      <c r="C4" s="4" t="s">
        <v>384</v>
      </c>
      <c r="D4" s="4" t="s">
        <v>181</v>
      </c>
      <c r="E4" s="4" t="s">
        <v>385</v>
      </c>
      <c r="F4" s="4" t="s">
        <v>639</v>
      </c>
      <c r="G4" s="4" t="s">
        <v>500</v>
      </c>
      <c r="H4" s="4" t="s">
        <v>1103</v>
      </c>
      <c r="I4" s="4" t="s">
        <v>500</v>
      </c>
      <c r="J4" s="4" t="s">
        <v>631</v>
      </c>
      <c r="K4" s="4" t="s">
        <v>1106</v>
      </c>
      <c r="L4" s="7" t="s">
        <v>387</v>
      </c>
      <c r="M4" s="7" t="s">
        <v>388</v>
      </c>
    </row>
    <row r="5" spans="1:13" ht="48" customHeight="1" x14ac:dyDescent="0.25">
      <c r="A5" s="4" t="s">
        <v>34</v>
      </c>
      <c r="B5" s="4" t="s">
        <v>1107</v>
      </c>
      <c r="C5" s="4" t="s">
        <v>36</v>
      </c>
      <c r="D5" s="4" t="s">
        <v>711</v>
      </c>
      <c r="E5" s="4" t="s">
        <v>172</v>
      </c>
      <c r="F5" s="4" t="s">
        <v>639</v>
      </c>
      <c r="G5" s="4" t="s">
        <v>500</v>
      </c>
      <c r="H5" s="4" t="s">
        <v>1103</v>
      </c>
      <c r="I5" s="4" t="s">
        <v>500</v>
      </c>
      <c r="J5" s="4" t="s">
        <v>500</v>
      </c>
      <c r="K5" s="4" t="s">
        <v>1108</v>
      </c>
      <c r="L5" s="7" t="s">
        <v>122</v>
      </c>
      <c r="M5" s="7" t="s">
        <v>122</v>
      </c>
    </row>
    <row r="6" spans="1:13" ht="48" customHeight="1" x14ac:dyDescent="0.25">
      <c r="A6" s="4" t="s">
        <v>34</v>
      </c>
      <c r="B6" s="4" t="s">
        <v>1109</v>
      </c>
      <c r="C6" s="4" t="s">
        <v>404</v>
      </c>
      <c r="D6" s="4" t="s">
        <v>113</v>
      </c>
      <c r="E6" s="4" t="s">
        <v>1110</v>
      </c>
      <c r="F6" s="4" t="s">
        <v>639</v>
      </c>
      <c r="G6" s="4" t="s">
        <v>500</v>
      </c>
      <c r="H6" s="4" t="s">
        <v>1103</v>
      </c>
      <c r="I6" s="4" t="s">
        <v>500</v>
      </c>
      <c r="J6" s="4" t="s">
        <v>500</v>
      </c>
      <c r="K6" s="4" t="s">
        <v>1111</v>
      </c>
      <c r="L6" s="7" t="s">
        <v>1112</v>
      </c>
      <c r="M6" s="7" t="s">
        <v>1113</v>
      </c>
    </row>
    <row r="7" spans="1:13" ht="48" customHeight="1" x14ac:dyDescent="0.25">
      <c r="A7" s="4" t="s">
        <v>34</v>
      </c>
      <c r="B7" s="4" t="s">
        <v>694</v>
      </c>
      <c r="C7" s="4" t="s">
        <v>112</v>
      </c>
      <c r="D7" s="4" t="s">
        <v>113</v>
      </c>
      <c r="E7" s="4" t="s">
        <v>114</v>
      </c>
      <c r="F7" s="4" t="s">
        <v>497</v>
      </c>
      <c r="G7" s="4" t="s">
        <v>500</v>
      </c>
      <c r="H7" s="4" t="s">
        <v>1103</v>
      </c>
      <c r="I7" s="4" t="s">
        <v>500</v>
      </c>
      <c r="J7" s="4" t="s">
        <v>696</v>
      </c>
      <c r="K7" s="4" t="s">
        <v>1114</v>
      </c>
      <c r="L7" s="7" t="s">
        <v>116</v>
      </c>
      <c r="M7" s="7" t="s">
        <v>117</v>
      </c>
    </row>
    <row r="8" spans="1:13" ht="48" customHeight="1" x14ac:dyDescent="0.25">
      <c r="A8" s="4" t="s">
        <v>34</v>
      </c>
      <c r="B8" s="4" t="s">
        <v>1115</v>
      </c>
      <c r="C8" s="4" t="s">
        <v>36</v>
      </c>
      <c r="D8" s="4" t="s">
        <v>65</v>
      </c>
      <c r="E8" s="4" t="s">
        <v>51</v>
      </c>
      <c r="F8" s="4" t="s">
        <v>497</v>
      </c>
      <c r="G8" s="4" t="s">
        <v>500</v>
      </c>
      <c r="H8" s="4" t="s">
        <v>632</v>
      </c>
      <c r="I8" s="4" t="s">
        <v>500</v>
      </c>
      <c r="J8" s="4" t="s">
        <v>500</v>
      </c>
      <c r="K8" s="4" t="s">
        <v>1116</v>
      </c>
      <c r="L8" s="7" t="s">
        <v>67</v>
      </c>
      <c r="M8" s="7" t="s">
        <v>68</v>
      </c>
    </row>
    <row r="9" spans="1:13" ht="48" customHeight="1" x14ac:dyDescent="0.25">
      <c r="A9" s="4" t="s">
        <v>34</v>
      </c>
      <c r="B9" s="4" t="s">
        <v>308</v>
      </c>
      <c r="C9" s="4" t="s">
        <v>309</v>
      </c>
      <c r="D9" s="4" t="s">
        <v>181</v>
      </c>
      <c r="E9" s="4" t="s">
        <v>304</v>
      </c>
      <c r="F9" s="4" t="s">
        <v>639</v>
      </c>
      <c r="G9" s="4" t="s">
        <v>500</v>
      </c>
      <c r="H9" s="4" t="s">
        <v>1103</v>
      </c>
      <c r="I9" s="4" t="s">
        <v>500</v>
      </c>
      <c r="J9" s="4" t="s">
        <v>1117</v>
      </c>
      <c r="K9" s="4" t="s">
        <v>1118</v>
      </c>
      <c r="L9" s="7" t="s">
        <v>311</v>
      </c>
      <c r="M9" s="7" t="s">
        <v>312</v>
      </c>
    </row>
    <row r="10" spans="1:13" ht="48" customHeight="1" x14ac:dyDescent="0.25">
      <c r="A10" s="4" t="s">
        <v>34</v>
      </c>
      <c r="B10" s="4" t="s">
        <v>323</v>
      </c>
      <c r="C10" s="4" t="s">
        <v>324</v>
      </c>
      <c r="D10" s="4" t="s">
        <v>50</v>
      </c>
      <c r="E10" s="4" t="s">
        <v>325</v>
      </c>
      <c r="F10" s="4" t="s">
        <v>639</v>
      </c>
      <c r="G10" s="4" t="s">
        <v>500</v>
      </c>
      <c r="H10" s="4" t="s">
        <v>1103</v>
      </c>
      <c r="I10" s="4" t="s">
        <v>500</v>
      </c>
      <c r="J10" s="4" t="s">
        <v>1119</v>
      </c>
      <c r="K10" s="4" t="s">
        <v>1118</v>
      </c>
      <c r="L10" s="7" t="s">
        <v>327</v>
      </c>
      <c r="M10" s="7" t="s">
        <v>328</v>
      </c>
    </row>
    <row r="11" spans="1:13" ht="48" customHeight="1" x14ac:dyDescent="0.25">
      <c r="A11" s="4" t="s">
        <v>34</v>
      </c>
      <c r="B11" s="4" t="s">
        <v>94</v>
      </c>
      <c r="C11" s="4" t="s">
        <v>36</v>
      </c>
      <c r="D11" s="4" t="s">
        <v>95</v>
      </c>
      <c r="E11" s="4" t="s">
        <v>96</v>
      </c>
      <c r="F11" s="4" t="s">
        <v>497</v>
      </c>
      <c r="G11" s="4" t="s">
        <v>500</v>
      </c>
      <c r="H11" s="4" t="s">
        <v>1103</v>
      </c>
      <c r="I11" s="4" t="s">
        <v>500</v>
      </c>
      <c r="J11" s="4" t="s">
        <v>500</v>
      </c>
      <c r="K11" s="4" t="s">
        <v>1120</v>
      </c>
      <c r="L11" s="7" t="s">
        <v>98</v>
      </c>
      <c r="M11" s="7" t="s">
        <v>39</v>
      </c>
    </row>
    <row r="12" spans="1:13" ht="48" customHeight="1" x14ac:dyDescent="0.25">
      <c r="A12" s="4" t="s">
        <v>34</v>
      </c>
      <c r="B12" s="4" t="s">
        <v>1121</v>
      </c>
      <c r="C12" s="4" t="s">
        <v>119</v>
      </c>
      <c r="D12" s="4" t="s">
        <v>113</v>
      </c>
      <c r="E12" s="4" t="s">
        <v>114</v>
      </c>
      <c r="F12" s="4" t="s">
        <v>497</v>
      </c>
      <c r="G12" s="4" t="s">
        <v>500</v>
      </c>
      <c r="H12" s="4" t="s">
        <v>1103</v>
      </c>
      <c r="I12" s="4" t="s">
        <v>500</v>
      </c>
      <c r="J12" s="4" t="s">
        <v>500</v>
      </c>
      <c r="K12" s="4" t="s">
        <v>1122</v>
      </c>
      <c r="L12" s="7" t="s">
        <v>121</v>
      </c>
      <c r="M12" s="7" t="s">
        <v>122</v>
      </c>
    </row>
  </sheetData>
  <autoFilter ref="A1:M12" xr:uid="{00000000-0009-0000-0000-00001A000000}"/>
  <phoneticPr fontId="4" type="noConversion"/>
  <hyperlinks>
    <hyperlink ref="L2" r:id="rId1" xr:uid="{00000000-0004-0000-1A00-000000000000}"/>
    <hyperlink ref="M2" r:id="rId2" xr:uid="{00000000-0004-0000-1A00-000001000000}"/>
    <hyperlink ref="L3" r:id="rId3" xr:uid="{00000000-0004-0000-1A00-000002000000}"/>
    <hyperlink ref="M3" r:id="rId4" xr:uid="{00000000-0004-0000-1A00-000003000000}"/>
    <hyperlink ref="L4" r:id="rId5" xr:uid="{00000000-0004-0000-1A00-000004000000}"/>
    <hyperlink ref="M4" r:id="rId6" xr:uid="{00000000-0004-0000-1A00-000005000000}"/>
    <hyperlink ref="L5" r:id="rId7" xr:uid="{00000000-0004-0000-1A00-000006000000}"/>
    <hyperlink ref="M5" r:id="rId8" xr:uid="{00000000-0004-0000-1A00-000007000000}"/>
    <hyperlink ref="L6" r:id="rId9" xr:uid="{00000000-0004-0000-1A00-000008000000}"/>
    <hyperlink ref="M6" r:id="rId10" xr:uid="{00000000-0004-0000-1A00-000009000000}"/>
    <hyperlink ref="L7" r:id="rId11" xr:uid="{00000000-0004-0000-1A00-00000A000000}"/>
    <hyperlink ref="M7" r:id="rId12" xr:uid="{00000000-0004-0000-1A00-00000B000000}"/>
    <hyperlink ref="L8" r:id="rId13" xr:uid="{00000000-0004-0000-1A00-00000C000000}"/>
    <hyperlink ref="M8" r:id="rId14" xr:uid="{00000000-0004-0000-1A00-00000D000000}"/>
    <hyperlink ref="L9" r:id="rId15" xr:uid="{00000000-0004-0000-1A00-00000E000000}"/>
    <hyperlink ref="M9" r:id="rId16" xr:uid="{00000000-0004-0000-1A00-00000F000000}"/>
    <hyperlink ref="L10" r:id="rId17" xr:uid="{00000000-0004-0000-1A00-000010000000}"/>
    <hyperlink ref="M10" r:id="rId18" xr:uid="{00000000-0004-0000-1A00-000011000000}"/>
    <hyperlink ref="L11" r:id="rId19" xr:uid="{00000000-0004-0000-1A00-000012000000}"/>
    <hyperlink ref="M11" r:id="rId20" xr:uid="{00000000-0004-0000-1A00-000013000000}"/>
    <hyperlink ref="L12" r:id="rId21" xr:uid="{00000000-0004-0000-1A00-000014000000}"/>
    <hyperlink ref="M12" r:id="rId22" xr:uid="{00000000-0004-0000-1A00-000015000000}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5" t="s">
        <v>62</v>
      </c>
      <c r="B2" s="5" t="s">
        <v>1123</v>
      </c>
      <c r="C2" s="5" t="s">
        <v>1124</v>
      </c>
      <c r="D2" s="5" t="s">
        <v>50</v>
      </c>
      <c r="E2" s="5" t="s">
        <v>281</v>
      </c>
      <c r="F2" s="5" t="s">
        <v>497</v>
      </c>
      <c r="G2" s="5" t="s">
        <v>632</v>
      </c>
      <c r="H2" s="5" t="s">
        <v>1125</v>
      </c>
      <c r="I2" s="5" t="s">
        <v>500</v>
      </c>
      <c r="J2" s="5" t="s">
        <v>500</v>
      </c>
      <c r="K2" s="5" t="s">
        <v>1126</v>
      </c>
      <c r="L2" s="8" t="s">
        <v>1127</v>
      </c>
      <c r="M2" s="8" t="s">
        <v>1128</v>
      </c>
    </row>
    <row r="3" spans="1:13" ht="48" customHeight="1" x14ac:dyDescent="0.25">
      <c r="A3" s="5" t="s">
        <v>62</v>
      </c>
      <c r="B3" s="5" t="s">
        <v>1129</v>
      </c>
      <c r="C3" s="5" t="s">
        <v>112</v>
      </c>
      <c r="D3" s="5" t="s">
        <v>223</v>
      </c>
      <c r="E3" s="5" t="s">
        <v>613</v>
      </c>
      <c r="F3" s="5" t="s">
        <v>497</v>
      </c>
      <c r="G3" s="5" t="s">
        <v>632</v>
      </c>
      <c r="H3" s="5" t="s">
        <v>1125</v>
      </c>
      <c r="I3" s="5" t="s">
        <v>500</v>
      </c>
      <c r="J3" s="5" t="s">
        <v>500</v>
      </c>
      <c r="K3" s="5" t="s">
        <v>1130</v>
      </c>
      <c r="L3" s="8" t="s">
        <v>1131</v>
      </c>
      <c r="M3" s="8" t="s">
        <v>1132</v>
      </c>
    </row>
    <row r="4" spans="1:13" ht="48" customHeight="1" x14ac:dyDescent="0.25">
      <c r="A4" s="5" t="s">
        <v>62</v>
      </c>
      <c r="B4" s="5" t="s">
        <v>1133</v>
      </c>
      <c r="C4" s="5" t="s">
        <v>1134</v>
      </c>
      <c r="D4" s="5" t="s">
        <v>50</v>
      </c>
      <c r="E4" s="5" t="s">
        <v>281</v>
      </c>
      <c r="F4" s="5" t="s">
        <v>497</v>
      </c>
      <c r="G4" s="5" t="s">
        <v>632</v>
      </c>
      <c r="H4" s="5" t="s">
        <v>1125</v>
      </c>
      <c r="I4" s="5" t="s">
        <v>500</v>
      </c>
      <c r="J4" s="5" t="s">
        <v>500</v>
      </c>
      <c r="K4" s="5" t="s">
        <v>1135</v>
      </c>
      <c r="L4" s="8" t="s">
        <v>1136</v>
      </c>
      <c r="M4" s="8" t="s">
        <v>1137</v>
      </c>
    </row>
    <row r="5" spans="1:13" ht="48" customHeight="1" x14ac:dyDescent="0.25">
      <c r="A5" s="5" t="s">
        <v>62</v>
      </c>
      <c r="B5" s="5" t="s">
        <v>1138</v>
      </c>
      <c r="C5" s="5" t="s">
        <v>112</v>
      </c>
      <c r="D5" s="5" t="s">
        <v>50</v>
      </c>
      <c r="E5" s="5" t="s">
        <v>198</v>
      </c>
      <c r="F5" s="5" t="s">
        <v>497</v>
      </c>
      <c r="G5" s="5" t="s">
        <v>632</v>
      </c>
      <c r="H5" s="5" t="s">
        <v>1125</v>
      </c>
      <c r="I5" s="5" t="s">
        <v>500</v>
      </c>
      <c r="J5" s="5" t="s">
        <v>500</v>
      </c>
      <c r="K5" s="5" t="s">
        <v>1139</v>
      </c>
      <c r="L5" s="8" t="s">
        <v>1140</v>
      </c>
      <c r="M5" s="8" t="s">
        <v>1141</v>
      </c>
    </row>
    <row r="6" spans="1:13" ht="48" customHeight="1" x14ac:dyDescent="0.25">
      <c r="A6" s="5" t="s">
        <v>62</v>
      </c>
      <c r="B6" s="5" t="s">
        <v>1142</v>
      </c>
      <c r="C6" s="5" t="s">
        <v>1143</v>
      </c>
      <c r="D6" s="5" t="s">
        <v>50</v>
      </c>
      <c r="E6" s="5" t="s">
        <v>198</v>
      </c>
      <c r="F6" s="5" t="s">
        <v>497</v>
      </c>
      <c r="G6" s="5" t="s">
        <v>632</v>
      </c>
      <c r="H6" s="5" t="s">
        <v>1125</v>
      </c>
      <c r="I6" s="5" t="s">
        <v>500</v>
      </c>
      <c r="J6" s="5" t="s">
        <v>500</v>
      </c>
      <c r="K6" s="5" t="s">
        <v>1144</v>
      </c>
      <c r="L6" s="8" t="s">
        <v>1145</v>
      </c>
      <c r="M6" s="8" t="s">
        <v>1146</v>
      </c>
    </row>
    <row r="7" spans="1:13" ht="48" customHeight="1" x14ac:dyDescent="0.25">
      <c r="A7" s="5" t="s">
        <v>62</v>
      </c>
      <c r="B7" s="5" t="s">
        <v>1147</v>
      </c>
      <c r="C7" s="5" t="s">
        <v>1148</v>
      </c>
      <c r="D7" s="5" t="s">
        <v>113</v>
      </c>
      <c r="E7" s="5" t="s">
        <v>1149</v>
      </c>
      <c r="F7" s="5" t="s">
        <v>497</v>
      </c>
      <c r="G7" s="5" t="s">
        <v>632</v>
      </c>
      <c r="H7" s="5" t="s">
        <v>1125</v>
      </c>
      <c r="I7" s="5" t="s">
        <v>500</v>
      </c>
      <c r="J7" s="5" t="s">
        <v>500</v>
      </c>
      <c r="K7" s="5" t="s">
        <v>1150</v>
      </c>
      <c r="L7" s="8" t="s">
        <v>1151</v>
      </c>
      <c r="M7" s="8" t="s">
        <v>1152</v>
      </c>
    </row>
    <row r="8" spans="1:13" ht="48" customHeight="1" x14ac:dyDescent="0.25">
      <c r="A8" s="5" t="s">
        <v>62</v>
      </c>
      <c r="B8" s="5" t="s">
        <v>1153</v>
      </c>
      <c r="C8" s="5" t="s">
        <v>70</v>
      </c>
      <c r="D8" s="5" t="s">
        <v>1154</v>
      </c>
      <c r="E8" s="5" t="s">
        <v>364</v>
      </c>
      <c r="F8" s="5" t="s">
        <v>497</v>
      </c>
      <c r="G8" s="5" t="s">
        <v>632</v>
      </c>
      <c r="H8" s="5" t="s">
        <v>1125</v>
      </c>
      <c r="I8" s="5" t="s">
        <v>500</v>
      </c>
      <c r="J8" s="5" t="s">
        <v>500</v>
      </c>
      <c r="K8" s="5" t="s">
        <v>1155</v>
      </c>
      <c r="L8" s="8" t="s">
        <v>1156</v>
      </c>
      <c r="M8" s="8" t="s">
        <v>1157</v>
      </c>
    </row>
    <row r="9" spans="1:13" ht="48" customHeight="1" x14ac:dyDescent="0.25">
      <c r="A9" s="5" t="s">
        <v>62</v>
      </c>
      <c r="B9" s="5" t="s">
        <v>1158</v>
      </c>
      <c r="C9" s="5" t="s">
        <v>1159</v>
      </c>
      <c r="D9" s="5" t="s">
        <v>50</v>
      </c>
      <c r="E9" s="5" t="s">
        <v>325</v>
      </c>
      <c r="F9" s="5" t="s">
        <v>497</v>
      </c>
      <c r="G9" s="5" t="s">
        <v>632</v>
      </c>
      <c r="H9" s="5" t="s">
        <v>1125</v>
      </c>
      <c r="I9" s="5" t="s">
        <v>500</v>
      </c>
      <c r="J9" s="5" t="s">
        <v>500</v>
      </c>
      <c r="K9" s="5" t="s">
        <v>1160</v>
      </c>
      <c r="L9" s="8" t="s">
        <v>1161</v>
      </c>
      <c r="M9" s="8" t="s">
        <v>1162</v>
      </c>
    </row>
    <row r="10" spans="1:13" ht="48" customHeight="1" x14ac:dyDescent="0.25">
      <c r="A10" s="5" t="s">
        <v>62</v>
      </c>
      <c r="B10" s="5" t="s">
        <v>1163</v>
      </c>
      <c r="C10" s="5" t="s">
        <v>1164</v>
      </c>
      <c r="D10" s="5" t="s">
        <v>50</v>
      </c>
      <c r="E10" s="5" t="s">
        <v>281</v>
      </c>
      <c r="F10" s="5" t="s">
        <v>497</v>
      </c>
      <c r="G10" s="5" t="s">
        <v>632</v>
      </c>
      <c r="H10" s="5" t="s">
        <v>1125</v>
      </c>
      <c r="I10" s="5" t="s">
        <v>500</v>
      </c>
      <c r="J10" s="5" t="s">
        <v>500</v>
      </c>
      <c r="K10" s="5" t="s">
        <v>1165</v>
      </c>
      <c r="L10" s="8" t="s">
        <v>1166</v>
      </c>
      <c r="M10" s="8" t="s">
        <v>1167</v>
      </c>
    </row>
    <row r="11" spans="1:13" ht="48" customHeight="1" x14ac:dyDescent="0.25">
      <c r="A11" s="5" t="s">
        <v>62</v>
      </c>
      <c r="B11" s="5" t="s">
        <v>1168</v>
      </c>
      <c r="C11" s="5" t="s">
        <v>36</v>
      </c>
      <c r="D11" s="5" t="s">
        <v>29</v>
      </c>
      <c r="E11" s="5" t="s">
        <v>172</v>
      </c>
      <c r="F11" s="5" t="s">
        <v>567</v>
      </c>
      <c r="G11" s="5" t="s">
        <v>632</v>
      </c>
      <c r="H11" s="5" t="s">
        <v>1125</v>
      </c>
      <c r="I11" s="5" t="s">
        <v>500</v>
      </c>
      <c r="J11" s="5" t="s">
        <v>500</v>
      </c>
      <c r="K11" s="5" t="s">
        <v>1169</v>
      </c>
      <c r="L11" s="8" t="s">
        <v>1170</v>
      </c>
      <c r="M11" s="8" t="s">
        <v>39</v>
      </c>
    </row>
    <row r="12" spans="1:13" ht="48" customHeight="1" x14ac:dyDescent="0.25">
      <c r="A12" s="5" t="s">
        <v>62</v>
      </c>
      <c r="B12" s="5" t="s">
        <v>628</v>
      </c>
      <c r="C12" s="5" t="s">
        <v>711</v>
      </c>
      <c r="D12" s="5" t="s">
        <v>711</v>
      </c>
      <c r="E12" s="5" t="s">
        <v>764</v>
      </c>
      <c r="F12" s="5" t="s">
        <v>639</v>
      </c>
      <c r="G12" s="5" t="s">
        <v>632</v>
      </c>
      <c r="H12" s="5" t="s">
        <v>1171</v>
      </c>
      <c r="I12" s="5" t="s">
        <v>500</v>
      </c>
      <c r="J12" s="5" t="s">
        <v>631</v>
      </c>
      <c r="K12" s="5" t="s">
        <v>1172</v>
      </c>
      <c r="L12" s="8" t="s">
        <v>433</v>
      </c>
      <c r="M12" s="8" t="s">
        <v>434</v>
      </c>
    </row>
  </sheetData>
  <autoFilter ref="A1:M12" xr:uid="{00000000-0009-0000-0000-00001B000000}"/>
  <phoneticPr fontId="4" type="noConversion"/>
  <hyperlinks>
    <hyperlink ref="L2" r:id="rId1" xr:uid="{00000000-0004-0000-1B00-000000000000}"/>
    <hyperlink ref="M2" r:id="rId2" xr:uid="{00000000-0004-0000-1B00-000001000000}"/>
    <hyperlink ref="L3" r:id="rId3" xr:uid="{00000000-0004-0000-1B00-000002000000}"/>
    <hyperlink ref="M3" r:id="rId4" xr:uid="{00000000-0004-0000-1B00-000003000000}"/>
    <hyperlink ref="L4" r:id="rId5" xr:uid="{00000000-0004-0000-1B00-000004000000}"/>
    <hyperlink ref="M4" r:id="rId6" xr:uid="{00000000-0004-0000-1B00-000005000000}"/>
    <hyperlink ref="L5" r:id="rId7" xr:uid="{00000000-0004-0000-1B00-000006000000}"/>
    <hyperlink ref="M5" r:id="rId8" xr:uid="{00000000-0004-0000-1B00-000007000000}"/>
    <hyperlink ref="L6" r:id="rId9" xr:uid="{00000000-0004-0000-1B00-000008000000}"/>
    <hyperlink ref="M6" r:id="rId10" xr:uid="{00000000-0004-0000-1B00-000009000000}"/>
    <hyperlink ref="L7" r:id="rId11" xr:uid="{00000000-0004-0000-1B00-00000A000000}"/>
    <hyperlink ref="M7" r:id="rId12" xr:uid="{00000000-0004-0000-1B00-00000B000000}"/>
    <hyperlink ref="L8" r:id="rId13" xr:uid="{00000000-0004-0000-1B00-00000C000000}"/>
    <hyperlink ref="M8" r:id="rId14" xr:uid="{00000000-0004-0000-1B00-00000D000000}"/>
    <hyperlink ref="L9" r:id="rId15" xr:uid="{00000000-0004-0000-1B00-00000E000000}"/>
    <hyperlink ref="M9" r:id="rId16" xr:uid="{00000000-0004-0000-1B00-00000F000000}"/>
    <hyperlink ref="L10" r:id="rId17" xr:uid="{00000000-0004-0000-1B00-000010000000}"/>
    <hyperlink ref="M10" r:id="rId18" xr:uid="{00000000-0004-0000-1B00-000011000000}"/>
    <hyperlink ref="L11" r:id="rId19" xr:uid="{00000000-0004-0000-1B00-000012000000}"/>
    <hyperlink ref="M11" r:id="rId20" xr:uid="{00000000-0004-0000-1B00-000013000000}"/>
    <hyperlink ref="L12" r:id="rId21" xr:uid="{00000000-0004-0000-1B00-000014000000}"/>
    <hyperlink ref="M12" r:id="rId22" xr:uid="{00000000-0004-0000-1B00-000015000000}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5" t="s">
        <v>62</v>
      </c>
      <c r="B2" s="5" t="s">
        <v>1173</v>
      </c>
      <c r="C2" s="5" t="s">
        <v>216</v>
      </c>
      <c r="D2" s="5" t="s">
        <v>223</v>
      </c>
      <c r="E2" s="5" t="s">
        <v>266</v>
      </c>
      <c r="F2" s="5" t="s">
        <v>497</v>
      </c>
      <c r="G2" s="5" t="s">
        <v>500</v>
      </c>
      <c r="H2" s="5" t="s">
        <v>1174</v>
      </c>
      <c r="I2" s="5" t="s">
        <v>500</v>
      </c>
      <c r="J2" s="5" t="s">
        <v>1175</v>
      </c>
      <c r="K2" s="5" t="s">
        <v>1176</v>
      </c>
      <c r="L2" s="8" t="s">
        <v>272</v>
      </c>
      <c r="M2" s="8" t="s">
        <v>273</v>
      </c>
    </row>
    <row r="3" spans="1:13" ht="48" customHeight="1" x14ac:dyDescent="0.25">
      <c r="A3" s="5" t="s">
        <v>62</v>
      </c>
      <c r="B3" s="5" t="s">
        <v>1177</v>
      </c>
      <c r="C3" s="5" t="s">
        <v>309</v>
      </c>
      <c r="D3" s="5" t="s">
        <v>181</v>
      </c>
      <c r="E3" s="5" t="s">
        <v>304</v>
      </c>
      <c r="F3" s="5" t="s">
        <v>497</v>
      </c>
      <c r="G3" s="5" t="s">
        <v>500</v>
      </c>
      <c r="H3" s="5" t="s">
        <v>1178</v>
      </c>
      <c r="I3" s="5" t="s">
        <v>500</v>
      </c>
      <c r="J3" s="5" t="s">
        <v>1117</v>
      </c>
      <c r="K3" s="5" t="s">
        <v>1179</v>
      </c>
      <c r="L3" s="8" t="s">
        <v>311</v>
      </c>
      <c r="M3" s="8" t="s">
        <v>312</v>
      </c>
    </row>
    <row r="4" spans="1:13" ht="48" customHeight="1" x14ac:dyDescent="0.25">
      <c r="A4" s="5" t="s">
        <v>62</v>
      </c>
      <c r="B4" s="5" t="s">
        <v>1180</v>
      </c>
      <c r="C4" s="5" t="s">
        <v>280</v>
      </c>
      <c r="D4" s="5" t="s">
        <v>50</v>
      </c>
      <c r="E4" s="5" t="s">
        <v>281</v>
      </c>
      <c r="F4" s="5" t="s">
        <v>497</v>
      </c>
      <c r="G4" s="5" t="s">
        <v>500</v>
      </c>
      <c r="H4" s="5" t="s">
        <v>1181</v>
      </c>
      <c r="I4" s="5" t="s">
        <v>500</v>
      </c>
      <c r="J4" s="5" t="s">
        <v>543</v>
      </c>
      <c r="K4" s="5" t="s">
        <v>282</v>
      </c>
      <c r="L4" s="8" t="s">
        <v>283</v>
      </c>
      <c r="M4" s="8" t="s">
        <v>284</v>
      </c>
    </row>
    <row r="5" spans="1:13" ht="48" customHeight="1" x14ac:dyDescent="0.25">
      <c r="A5" s="5" t="s">
        <v>62</v>
      </c>
      <c r="B5" s="5" t="s">
        <v>1182</v>
      </c>
      <c r="C5" s="5" t="s">
        <v>324</v>
      </c>
      <c r="D5" s="5" t="s">
        <v>50</v>
      </c>
      <c r="E5" s="5" t="s">
        <v>325</v>
      </c>
      <c r="F5" s="5" t="s">
        <v>497</v>
      </c>
      <c r="G5" s="5" t="s">
        <v>500</v>
      </c>
      <c r="H5" s="5" t="s">
        <v>1183</v>
      </c>
      <c r="I5" s="5" t="s">
        <v>500</v>
      </c>
      <c r="J5" s="5" t="s">
        <v>1119</v>
      </c>
      <c r="K5" s="5" t="s">
        <v>1184</v>
      </c>
      <c r="L5" s="8" t="s">
        <v>327</v>
      </c>
      <c r="M5" s="8" t="s">
        <v>328</v>
      </c>
    </row>
    <row r="6" spans="1:13" ht="48" customHeight="1" x14ac:dyDescent="0.25">
      <c r="A6" s="5" t="s">
        <v>62</v>
      </c>
      <c r="B6" s="5" t="s">
        <v>1185</v>
      </c>
      <c r="C6" s="5" t="s">
        <v>265</v>
      </c>
      <c r="D6" s="5" t="s">
        <v>113</v>
      </c>
      <c r="E6" s="5" t="s">
        <v>352</v>
      </c>
      <c r="F6" s="5" t="s">
        <v>497</v>
      </c>
      <c r="G6" s="5" t="s">
        <v>500</v>
      </c>
      <c r="H6" s="5" t="s">
        <v>1186</v>
      </c>
      <c r="I6" s="5" t="s">
        <v>500</v>
      </c>
      <c r="J6" s="5" t="s">
        <v>631</v>
      </c>
      <c r="K6" s="5" t="s">
        <v>353</v>
      </c>
      <c r="L6" s="8" t="s">
        <v>354</v>
      </c>
      <c r="M6" s="8" t="s">
        <v>355</v>
      </c>
    </row>
    <row r="7" spans="1:13" ht="48" customHeight="1" x14ac:dyDescent="0.25">
      <c r="A7" s="5" t="s">
        <v>62</v>
      </c>
      <c r="B7" s="5" t="s">
        <v>1187</v>
      </c>
      <c r="C7" s="5" t="s">
        <v>85</v>
      </c>
      <c r="D7" s="5" t="s">
        <v>357</v>
      </c>
      <c r="E7" s="5" t="s">
        <v>358</v>
      </c>
      <c r="F7" s="5" t="s">
        <v>497</v>
      </c>
      <c r="G7" s="5" t="s">
        <v>500</v>
      </c>
      <c r="H7" s="5" t="s">
        <v>1188</v>
      </c>
      <c r="I7" s="5" t="s">
        <v>500</v>
      </c>
      <c r="J7" s="5" t="s">
        <v>631</v>
      </c>
      <c r="K7" s="5" t="s">
        <v>359</v>
      </c>
      <c r="L7" s="8" t="s">
        <v>360</v>
      </c>
      <c r="M7" s="8" t="s">
        <v>361</v>
      </c>
    </row>
    <row r="8" spans="1:13" ht="48" customHeight="1" x14ac:dyDescent="0.25">
      <c r="A8" s="5" t="s">
        <v>62</v>
      </c>
      <c r="B8" s="5" t="s">
        <v>1189</v>
      </c>
      <c r="C8" s="5" t="s">
        <v>384</v>
      </c>
      <c r="D8" s="5" t="s">
        <v>181</v>
      </c>
      <c r="E8" s="5" t="s">
        <v>385</v>
      </c>
      <c r="F8" s="5" t="s">
        <v>497</v>
      </c>
      <c r="G8" s="5" t="s">
        <v>500</v>
      </c>
      <c r="H8" s="5" t="s">
        <v>1190</v>
      </c>
      <c r="I8" s="5" t="s">
        <v>500</v>
      </c>
      <c r="J8" s="5" t="s">
        <v>631</v>
      </c>
      <c r="K8" s="5" t="s">
        <v>386</v>
      </c>
      <c r="L8" s="8" t="s">
        <v>387</v>
      </c>
      <c r="M8" s="8" t="s">
        <v>388</v>
      </c>
    </row>
    <row r="9" spans="1:13" ht="48" customHeight="1" x14ac:dyDescent="0.25">
      <c r="A9" s="5" t="s">
        <v>62</v>
      </c>
      <c r="B9" s="5" t="s">
        <v>1191</v>
      </c>
      <c r="C9" s="5" t="s">
        <v>390</v>
      </c>
      <c r="D9" s="5" t="s">
        <v>181</v>
      </c>
      <c r="E9" s="5" t="s">
        <v>385</v>
      </c>
      <c r="F9" s="5" t="s">
        <v>497</v>
      </c>
      <c r="G9" s="5" t="s">
        <v>500</v>
      </c>
      <c r="H9" s="5" t="s">
        <v>632</v>
      </c>
      <c r="I9" s="5" t="s">
        <v>500</v>
      </c>
      <c r="J9" s="5" t="s">
        <v>548</v>
      </c>
      <c r="K9" s="5" t="s">
        <v>391</v>
      </c>
      <c r="L9" s="8" t="s">
        <v>392</v>
      </c>
      <c r="M9" s="8" t="s">
        <v>393</v>
      </c>
    </row>
    <row r="10" spans="1:13" ht="48" customHeight="1" x14ac:dyDescent="0.25">
      <c r="A10" s="5" t="s">
        <v>62</v>
      </c>
      <c r="B10" s="5" t="s">
        <v>1192</v>
      </c>
      <c r="C10" s="5" t="s">
        <v>158</v>
      </c>
      <c r="D10" s="5" t="s">
        <v>50</v>
      </c>
      <c r="E10" s="5" t="s">
        <v>144</v>
      </c>
      <c r="F10" s="5" t="s">
        <v>497</v>
      </c>
      <c r="G10" s="5" t="s">
        <v>500</v>
      </c>
      <c r="H10" s="5" t="s">
        <v>1193</v>
      </c>
      <c r="I10" s="5" t="s">
        <v>500</v>
      </c>
      <c r="J10" s="5" t="s">
        <v>500</v>
      </c>
      <c r="K10" s="5" t="s">
        <v>159</v>
      </c>
      <c r="L10" s="8" t="s">
        <v>160</v>
      </c>
      <c r="M10" s="8" t="s">
        <v>161</v>
      </c>
    </row>
    <row r="11" spans="1:13" ht="48" customHeight="1" x14ac:dyDescent="0.25">
      <c r="A11" s="5" t="s">
        <v>62</v>
      </c>
      <c r="B11" s="5" t="s">
        <v>1194</v>
      </c>
      <c r="C11" s="5" t="s">
        <v>36</v>
      </c>
      <c r="D11" s="5" t="s">
        <v>95</v>
      </c>
      <c r="E11" s="5" t="s">
        <v>96</v>
      </c>
      <c r="F11" s="5" t="s">
        <v>497</v>
      </c>
      <c r="G11" s="5" t="s">
        <v>500</v>
      </c>
      <c r="H11" s="5" t="s">
        <v>1195</v>
      </c>
      <c r="I11" s="5" t="s">
        <v>500</v>
      </c>
      <c r="J11" s="5" t="s">
        <v>500</v>
      </c>
      <c r="K11" s="5" t="s">
        <v>1196</v>
      </c>
      <c r="L11" s="8" t="s">
        <v>98</v>
      </c>
      <c r="M11" s="8" t="s">
        <v>39</v>
      </c>
    </row>
    <row r="12" spans="1:13" ht="48" customHeight="1" x14ac:dyDescent="0.25">
      <c r="A12" s="5" t="s">
        <v>62</v>
      </c>
      <c r="B12" s="5" t="s">
        <v>1197</v>
      </c>
      <c r="C12" s="5" t="s">
        <v>36</v>
      </c>
      <c r="D12" s="5" t="s">
        <v>29</v>
      </c>
      <c r="E12" s="5" t="s">
        <v>172</v>
      </c>
      <c r="F12" s="5" t="s">
        <v>567</v>
      </c>
      <c r="G12" s="5" t="s">
        <v>500</v>
      </c>
      <c r="H12" s="5" t="s">
        <v>632</v>
      </c>
      <c r="I12" s="5" t="s">
        <v>500</v>
      </c>
      <c r="J12" s="5" t="s">
        <v>500</v>
      </c>
      <c r="K12" s="5" t="s">
        <v>1198</v>
      </c>
      <c r="L12" s="8" t="s">
        <v>178</v>
      </c>
      <c r="M12" s="8" t="s">
        <v>39</v>
      </c>
    </row>
  </sheetData>
  <autoFilter ref="A1:M12" xr:uid="{00000000-0009-0000-0000-00001C000000}"/>
  <phoneticPr fontId="4" type="noConversion"/>
  <hyperlinks>
    <hyperlink ref="L2" r:id="rId1" xr:uid="{00000000-0004-0000-1C00-000000000000}"/>
    <hyperlink ref="M2" r:id="rId2" xr:uid="{00000000-0004-0000-1C00-000001000000}"/>
    <hyperlink ref="L3" r:id="rId3" xr:uid="{00000000-0004-0000-1C00-000002000000}"/>
    <hyperlink ref="M3" r:id="rId4" xr:uid="{00000000-0004-0000-1C00-000003000000}"/>
    <hyperlink ref="L4" r:id="rId5" xr:uid="{00000000-0004-0000-1C00-000004000000}"/>
    <hyperlink ref="M4" r:id="rId6" xr:uid="{00000000-0004-0000-1C00-000005000000}"/>
    <hyperlink ref="L5" r:id="rId7" xr:uid="{00000000-0004-0000-1C00-000006000000}"/>
    <hyperlink ref="M5" r:id="rId8" xr:uid="{00000000-0004-0000-1C00-000007000000}"/>
    <hyperlink ref="L6" r:id="rId9" xr:uid="{00000000-0004-0000-1C00-000008000000}"/>
    <hyperlink ref="M6" r:id="rId10" xr:uid="{00000000-0004-0000-1C00-000009000000}"/>
    <hyperlink ref="L7" r:id="rId11" xr:uid="{00000000-0004-0000-1C00-00000A000000}"/>
    <hyperlink ref="M7" r:id="rId12" xr:uid="{00000000-0004-0000-1C00-00000B000000}"/>
    <hyperlink ref="L8" r:id="rId13" xr:uid="{00000000-0004-0000-1C00-00000C000000}"/>
    <hyperlink ref="M8" r:id="rId14" xr:uid="{00000000-0004-0000-1C00-00000D000000}"/>
    <hyperlink ref="L9" r:id="rId15" xr:uid="{00000000-0004-0000-1C00-00000E000000}"/>
    <hyperlink ref="M9" r:id="rId16" xr:uid="{00000000-0004-0000-1C00-00000F000000}"/>
    <hyperlink ref="L10" r:id="rId17" xr:uid="{00000000-0004-0000-1C00-000010000000}"/>
    <hyperlink ref="M10" r:id="rId18" xr:uid="{00000000-0004-0000-1C00-000011000000}"/>
    <hyperlink ref="L11" r:id="rId19" xr:uid="{00000000-0004-0000-1C00-000012000000}"/>
    <hyperlink ref="M11" r:id="rId20" xr:uid="{00000000-0004-0000-1C00-000013000000}"/>
    <hyperlink ref="L12" r:id="rId21" xr:uid="{00000000-0004-0000-1C00-000014000000}"/>
    <hyperlink ref="M12" r:id="rId22" xr:uid="{00000000-0004-0000-1C00-000015000000}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5" t="s">
        <v>62</v>
      </c>
      <c r="B2" s="5" t="s">
        <v>1199</v>
      </c>
      <c r="C2" s="5" t="s">
        <v>216</v>
      </c>
      <c r="D2" s="5" t="s">
        <v>223</v>
      </c>
      <c r="E2" s="5" t="s">
        <v>266</v>
      </c>
      <c r="F2" s="5" t="s">
        <v>497</v>
      </c>
      <c r="G2" s="5" t="s">
        <v>500</v>
      </c>
      <c r="H2" s="5" t="s">
        <v>1200</v>
      </c>
      <c r="I2" s="5" t="s">
        <v>500</v>
      </c>
      <c r="J2" s="5" t="s">
        <v>1175</v>
      </c>
      <c r="K2" s="5" t="s">
        <v>1176</v>
      </c>
      <c r="L2" s="8" t="s">
        <v>272</v>
      </c>
      <c r="M2" s="8" t="s">
        <v>273</v>
      </c>
    </row>
    <row r="3" spans="1:13" ht="48" customHeight="1" x14ac:dyDescent="0.25">
      <c r="A3" s="5" t="s">
        <v>62</v>
      </c>
      <c r="B3" s="5" t="s">
        <v>1201</v>
      </c>
      <c r="C3" s="5" t="s">
        <v>309</v>
      </c>
      <c r="D3" s="5" t="s">
        <v>181</v>
      </c>
      <c r="E3" s="5" t="s">
        <v>304</v>
      </c>
      <c r="F3" s="5" t="s">
        <v>497</v>
      </c>
      <c r="G3" s="5" t="s">
        <v>500</v>
      </c>
      <c r="H3" s="5" t="s">
        <v>1202</v>
      </c>
      <c r="I3" s="5" t="s">
        <v>500</v>
      </c>
      <c r="J3" s="5" t="s">
        <v>1117</v>
      </c>
      <c r="K3" s="5" t="s">
        <v>1179</v>
      </c>
      <c r="L3" s="8" t="s">
        <v>311</v>
      </c>
      <c r="M3" s="8" t="s">
        <v>312</v>
      </c>
    </row>
    <row r="4" spans="1:13" ht="48" customHeight="1" x14ac:dyDescent="0.25">
      <c r="A4" s="5" t="s">
        <v>62</v>
      </c>
      <c r="B4" s="5" t="s">
        <v>1203</v>
      </c>
      <c r="C4" s="5" t="s">
        <v>280</v>
      </c>
      <c r="D4" s="5" t="s">
        <v>50</v>
      </c>
      <c r="E4" s="5" t="s">
        <v>281</v>
      </c>
      <c r="F4" s="5" t="s">
        <v>497</v>
      </c>
      <c r="G4" s="5" t="s">
        <v>500</v>
      </c>
      <c r="H4" s="5" t="s">
        <v>1204</v>
      </c>
      <c r="I4" s="5" t="s">
        <v>500</v>
      </c>
      <c r="J4" s="5" t="s">
        <v>543</v>
      </c>
      <c r="K4" s="5" t="s">
        <v>282</v>
      </c>
      <c r="L4" s="8" t="s">
        <v>283</v>
      </c>
      <c r="M4" s="8" t="s">
        <v>284</v>
      </c>
    </row>
    <row r="5" spans="1:13" ht="48" customHeight="1" x14ac:dyDescent="0.25">
      <c r="A5" s="5" t="s">
        <v>62</v>
      </c>
      <c r="B5" s="5" t="s">
        <v>1205</v>
      </c>
      <c r="C5" s="5" t="s">
        <v>324</v>
      </c>
      <c r="D5" s="5" t="s">
        <v>50</v>
      </c>
      <c r="E5" s="5" t="s">
        <v>325</v>
      </c>
      <c r="F5" s="5" t="s">
        <v>497</v>
      </c>
      <c r="G5" s="5" t="s">
        <v>500</v>
      </c>
      <c r="H5" s="5" t="s">
        <v>1206</v>
      </c>
      <c r="I5" s="5" t="s">
        <v>500</v>
      </c>
      <c r="J5" s="5" t="s">
        <v>1119</v>
      </c>
      <c r="K5" s="5" t="s">
        <v>1184</v>
      </c>
      <c r="L5" s="8" t="s">
        <v>327</v>
      </c>
      <c r="M5" s="8" t="s">
        <v>328</v>
      </c>
    </row>
    <row r="6" spans="1:13" ht="48" customHeight="1" x14ac:dyDescent="0.25">
      <c r="A6" s="5" t="s">
        <v>62</v>
      </c>
      <c r="B6" s="5" t="s">
        <v>1207</v>
      </c>
      <c r="C6" s="5" t="s">
        <v>265</v>
      </c>
      <c r="D6" s="5" t="s">
        <v>113</v>
      </c>
      <c r="E6" s="5" t="s">
        <v>352</v>
      </c>
      <c r="F6" s="5" t="s">
        <v>497</v>
      </c>
      <c r="G6" s="5" t="s">
        <v>500</v>
      </c>
      <c r="H6" s="5" t="s">
        <v>1208</v>
      </c>
      <c r="I6" s="5" t="s">
        <v>500</v>
      </c>
      <c r="J6" s="5" t="s">
        <v>631</v>
      </c>
      <c r="K6" s="5" t="s">
        <v>353</v>
      </c>
      <c r="L6" s="8" t="s">
        <v>354</v>
      </c>
      <c r="M6" s="8" t="s">
        <v>355</v>
      </c>
    </row>
    <row r="7" spans="1:13" ht="48" customHeight="1" x14ac:dyDescent="0.25">
      <c r="A7" s="5" t="s">
        <v>62</v>
      </c>
      <c r="B7" s="5" t="s">
        <v>1209</v>
      </c>
      <c r="C7" s="5" t="s">
        <v>85</v>
      </c>
      <c r="D7" s="5" t="s">
        <v>357</v>
      </c>
      <c r="E7" s="5" t="s">
        <v>358</v>
      </c>
      <c r="F7" s="5" t="s">
        <v>497</v>
      </c>
      <c r="G7" s="5" t="s">
        <v>500</v>
      </c>
      <c r="H7" s="5" t="s">
        <v>1210</v>
      </c>
      <c r="I7" s="5" t="s">
        <v>500</v>
      </c>
      <c r="J7" s="5" t="s">
        <v>631</v>
      </c>
      <c r="K7" s="5" t="s">
        <v>359</v>
      </c>
      <c r="L7" s="8" t="s">
        <v>360</v>
      </c>
      <c r="M7" s="8" t="s">
        <v>361</v>
      </c>
    </row>
    <row r="8" spans="1:13" ht="48" customHeight="1" x14ac:dyDescent="0.25">
      <c r="A8" s="5" t="s">
        <v>62</v>
      </c>
      <c r="B8" s="5" t="s">
        <v>1211</v>
      </c>
      <c r="C8" s="5" t="s">
        <v>384</v>
      </c>
      <c r="D8" s="5" t="s">
        <v>181</v>
      </c>
      <c r="E8" s="5" t="s">
        <v>385</v>
      </c>
      <c r="F8" s="5" t="s">
        <v>497</v>
      </c>
      <c r="G8" s="5" t="s">
        <v>500</v>
      </c>
      <c r="H8" s="5" t="s">
        <v>1212</v>
      </c>
      <c r="I8" s="5" t="s">
        <v>500</v>
      </c>
      <c r="J8" s="5" t="s">
        <v>631</v>
      </c>
      <c r="K8" s="5" t="s">
        <v>386</v>
      </c>
      <c r="L8" s="8" t="s">
        <v>387</v>
      </c>
      <c r="M8" s="8" t="s">
        <v>388</v>
      </c>
    </row>
    <row r="9" spans="1:13" ht="48" customHeight="1" x14ac:dyDescent="0.25">
      <c r="A9" s="5" t="s">
        <v>62</v>
      </c>
      <c r="B9" s="5" t="s">
        <v>1213</v>
      </c>
      <c r="C9" s="5" t="s">
        <v>390</v>
      </c>
      <c r="D9" s="5" t="s">
        <v>181</v>
      </c>
      <c r="E9" s="5" t="s">
        <v>385</v>
      </c>
      <c r="F9" s="5" t="s">
        <v>497</v>
      </c>
      <c r="G9" s="5" t="s">
        <v>500</v>
      </c>
      <c r="H9" s="5" t="s">
        <v>632</v>
      </c>
      <c r="I9" s="5" t="s">
        <v>500</v>
      </c>
      <c r="J9" s="5" t="s">
        <v>548</v>
      </c>
      <c r="K9" s="5" t="s">
        <v>391</v>
      </c>
      <c r="L9" s="8" t="s">
        <v>392</v>
      </c>
      <c r="M9" s="8" t="s">
        <v>393</v>
      </c>
    </row>
    <row r="10" spans="1:13" ht="48" customHeight="1" x14ac:dyDescent="0.25">
      <c r="A10" s="5" t="s">
        <v>62</v>
      </c>
      <c r="B10" s="5" t="s">
        <v>1214</v>
      </c>
      <c r="C10" s="5" t="s">
        <v>158</v>
      </c>
      <c r="D10" s="5" t="s">
        <v>50</v>
      </c>
      <c r="E10" s="5" t="s">
        <v>144</v>
      </c>
      <c r="F10" s="5" t="s">
        <v>497</v>
      </c>
      <c r="G10" s="5" t="s">
        <v>500</v>
      </c>
      <c r="H10" s="5" t="s">
        <v>1193</v>
      </c>
      <c r="I10" s="5" t="s">
        <v>500</v>
      </c>
      <c r="J10" s="5" t="s">
        <v>500</v>
      </c>
      <c r="K10" s="5" t="s">
        <v>159</v>
      </c>
      <c r="L10" s="8" t="s">
        <v>160</v>
      </c>
      <c r="M10" s="8" t="s">
        <v>161</v>
      </c>
    </row>
    <row r="11" spans="1:13" ht="48" customHeight="1" x14ac:dyDescent="0.25">
      <c r="A11" s="5" t="s">
        <v>62</v>
      </c>
      <c r="B11" s="5" t="s">
        <v>1215</v>
      </c>
      <c r="C11" s="5" t="s">
        <v>36</v>
      </c>
      <c r="D11" s="5" t="s">
        <v>95</v>
      </c>
      <c r="E11" s="5" t="s">
        <v>96</v>
      </c>
      <c r="F11" s="5" t="s">
        <v>497</v>
      </c>
      <c r="G11" s="5" t="s">
        <v>500</v>
      </c>
      <c r="H11" s="5" t="s">
        <v>1195</v>
      </c>
      <c r="I11" s="5" t="s">
        <v>500</v>
      </c>
      <c r="J11" s="5" t="s">
        <v>500</v>
      </c>
      <c r="K11" s="5" t="s">
        <v>1196</v>
      </c>
      <c r="L11" s="8" t="s">
        <v>98</v>
      </c>
      <c r="M11" s="8" t="s">
        <v>39</v>
      </c>
    </row>
    <row r="12" spans="1:13" ht="48" customHeight="1" x14ac:dyDescent="0.25">
      <c r="A12" s="5" t="s">
        <v>62</v>
      </c>
      <c r="B12" s="5" t="s">
        <v>1216</v>
      </c>
      <c r="C12" s="5" t="s">
        <v>36</v>
      </c>
      <c r="D12" s="5" t="s">
        <v>29</v>
      </c>
      <c r="E12" s="5" t="s">
        <v>172</v>
      </c>
      <c r="F12" s="5" t="s">
        <v>567</v>
      </c>
      <c r="G12" s="5" t="s">
        <v>500</v>
      </c>
      <c r="H12" s="5" t="s">
        <v>632</v>
      </c>
      <c r="I12" s="5" t="s">
        <v>500</v>
      </c>
      <c r="J12" s="5" t="s">
        <v>500</v>
      </c>
      <c r="K12" s="5" t="s">
        <v>1198</v>
      </c>
      <c r="L12" s="8" t="s">
        <v>178</v>
      </c>
      <c r="M12" s="8" t="s">
        <v>39</v>
      </c>
    </row>
  </sheetData>
  <autoFilter ref="A1:M12" xr:uid="{00000000-0009-0000-0000-00001D000000}"/>
  <phoneticPr fontId="4" type="noConversion"/>
  <hyperlinks>
    <hyperlink ref="L2" r:id="rId1" xr:uid="{00000000-0004-0000-1D00-000000000000}"/>
    <hyperlink ref="M2" r:id="rId2" xr:uid="{00000000-0004-0000-1D00-000001000000}"/>
    <hyperlink ref="L3" r:id="rId3" xr:uid="{00000000-0004-0000-1D00-000002000000}"/>
    <hyperlink ref="M3" r:id="rId4" xr:uid="{00000000-0004-0000-1D00-000003000000}"/>
    <hyperlink ref="L4" r:id="rId5" xr:uid="{00000000-0004-0000-1D00-000004000000}"/>
    <hyperlink ref="M4" r:id="rId6" xr:uid="{00000000-0004-0000-1D00-000005000000}"/>
    <hyperlink ref="L5" r:id="rId7" xr:uid="{00000000-0004-0000-1D00-000006000000}"/>
    <hyperlink ref="M5" r:id="rId8" xr:uid="{00000000-0004-0000-1D00-000007000000}"/>
    <hyperlink ref="L6" r:id="rId9" xr:uid="{00000000-0004-0000-1D00-000008000000}"/>
    <hyperlink ref="M6" r:id="rId10" xr:uid="{00000000-0004-0000-1D00-000009000000}"/>
    <hyperlink ref="L7" r:id="rId11" xr:uid="{00000000-0004-0000-1D00-00000A000000}"/>
    <hyperlink ref="M7" r:id="rId12" xr:uid="{00000000-0004-0000-1D00-00000B000000}"/>
    <hyperlink ref="L8" r:id="rId13" xr:uid="{00000000-0004-0000-1D00-00000C000000}"/>
    <hyperlink ref="M8" r:id="rId14" xr:uid="{00000000-0004-0000-1D00-00000D000000}"/>
    <hyperlink ref="L9" r:id="rId15" xr:uid="{00000000-0004-0000-1D00-00000E000000}"/>
    <hyperlink ref="M9" r:id="rId16" xr:uid="{00000000-0004-0000-1D00-00000F000000}"/>
    <hyperlink ref="L10" r:id="rId17" xr:uid="{00000000-0004-0000-1D00-000010000000}"/>
    <hyperlink ref="M10" r:id="rId18" xr:uid="{00000000-0004-0000-1D00-000011000000}"/>
    <hyperlink ref="L11" r:id="rId19" xr:uid="{00000000-0004-0000-1D00-000012000000}"/>
    <hyperlink ref="M11" r:id="rId20" xr:uid="{00000000-0004-0000-1D00-000013000000}"/>
    <hyperlink ref="L12" r:id="rId21" xr:uid="{00000000-0004-0000-1D00-000014000000}"/>
    <hyperlink ref="M12" r:id="rId22" xr:uid="{00000000-0004-0000-1D00-000015000000}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5" t="s">
        <v>62</v>
      </c>
      <c r="B2" s="5" t="s">
        <v>1217</v>
      </c>
      <c r="C2" s="5" t="s">
        <v>216</v>
      </c>
      <c r="D2" s="5" t="s">
        <v>223</v>
      </c>
      <c r="E2" s="5" t="s">
        <v>266</v>
      </c>
      <c r="F2" s="5" t="s">
        <v>497</v>
      </c>
      <c r="G2" s="5" t="s">
        <v>500</v>
      </c>
      <c r="H2" s="5" t="s">
        <v>1218</v>
      </c>
      <c r="I2" s="5" t="s">
        <v>500</v>
      </c>
      <c r="J2" s="5" t="s">
        <v>1175</v>
      </c>
      <c r="K2" s="5" t="s">
        <v>1176</v>
      </c>
      <c r="L2" s="8" t="s">
        <v>272</v>
      </c>
      <c r="M2" s="8" t="s">
        <v>273</v>
      </c>
    </row>
    <row r="3" spans="1:13" ht="48" customHeight="1" x14ac:dyDescent="0.25">
      <c r="A3" s="5" t="s">
        <v>62</v>
      </c>
      <c r="B3" s="5" t="s">
        <v>1219</v>
      </c>
      <c r="C3" s="5" t="s">
        <v>309</v>
      </c>
      <c r="D3" s="5" t="s">
        <v>181</v>
      </c>
      <c r="E3" s="5" t="s">
        <v>304</v>
      </c>
      <c r="F3" s="5" t="s">
        <v>497</v>
      </c>
      <c r="G3" s="5" t="s">
        <v>500</v>
      </c>
      <c r="H3" s="5" t="s">
        <v>1220</v>
      </c>
      <c r="I3" s="5" t="s">
        <v>500</v>
      </c>
      <c r="J3" s="5" t="s">
        <v>1117</v>
      </c>
      <c r="K3" s="5" t="s">
        <v>1179</v>
      </c>
      <c r="L3" s="8" t="s">
        <v>311</v>
      </c>
      <c r="M3" s="8" t="s">
        <v>312</v>
      </c>
    </row>
    <row r="4" spans="1:13" ht="48" customHeight="1" x14ac:dyDescent="0.25">
      <c r="A4" s="5" t="s">
        <v>62</v>
      </c>
      <c r="B4" s="5" t="s">
        <v>1221</v>
      </c>
      <c r="C4" s="5" t="s">
        <v>280</v>
      </c>
      <c r="D4" s="5" t="s">
        <v>50</v>
      </c>
      <c r="E4" s="5" t="s">
        <v>281</v>
      </c>
      <c r="F4" s="5" t="s">
        <v>497</v>
      </c>
      <c r="G4" s="5" t="s">
        <v>500</v>
      </c>
      <c r="H4" s="5" t="s">
        <v>1222</v>
      </c>
      <c r="I4" s="5" t="s">
        <v>500</v>
      </c>
      <c r="J4" s="5" t="s">
        <v>543</v>
      </c>
      <c r="K4" s="5" t="s">
        <v>282</v>
      </c>
      <c r="L4" s="8" t="s">
        <v>283</v>
      </c>
      <c r="M4" s="8" t="s">
        <v>284</v>
      </c>
    </row>
    <row r="5" spans="1:13" ht="48" customHeight="1" x14ac:dyDescent="0.25">
      <c r="A5" s="5" t="s">
        <v>62</v>
      </c>
      <c r="B5" s="5" t="s">
        <v>1223</v>
      </c>
      <c r="C5" s="5" t="s">
        <v>324</v>
      </c>
      <c r="D5" s="5" t="s">
        <v>50</v>
      </c>
      <c r="E5" s="5" t="s">
        <v>325</v>
      </c>
      <c r="F5" s="5" t="s">
        <v>497</v>
      </c>
      <c r="G5" s="5" t="s">
        <v>500</v>
      </c>
      <c r="H5" s="5" t="s">
        <v>1224</v>
      </c>
      <c r="I5" s="5" t="s">
        <v>500</v>
      </c>
      <c r="J5" s="5" t="s">
        <v>1119</v>
      </c>
      <c r="K5" s="5" t="s">
        <v>1184</v>
      </c>
      <c r="L5" s="8" t="s">
        <v>327</v>
      </c>
      <c r="M5" s="8" t="s">
        <v>328</v>
      </c>
    </row>
    <row r="6" spans="1:13" ht="48" customHeight="1" x14ac:dyDescent="0.25">
      <c r="A6" s="5" t="s">
        <v>62</v>
      </c>
      <c r="B6" s="5" t="s">
        <v>1225</v>
      </c>
      <c r="C6" s="5" t="s">
        <v>85</v>
      </c>
      <c r="D6" s="5" t="s">
        <v>357</v>
      </c>
      <c r="E6" s="5" t="s">
        <v>358</v>
      </c>
      <c r="F6" s="5" t="s">
        <v>497</v>
      </c>
      <c r="G6" s="5" t="s">
        <v>500</v>
      </c>
      <c r="H6" s="5" t="s">
        <v>1226</v>
      </c>
      <c r="I6" s="5" t="s">
        <v>500</v>
      </c>
      <c r="J6" s="5" t="s">
        <v>631</v>
      </c>
      <c r="K6" s="5" t="s">
        <v>359</v>
      </c>
      <c r="L6" s="8" t="s">
        <v>360</v>
      </c>
      <c r="M6" s="8" t="s">
        <v>361</v>
      </c>
    </row>
    <row r="7" spans="1:13" ht="48" customHeight="1" x14ac:dyDescent="0.25">
      <c r="A7" s="5" t="s">
        <v>62</v>
      </c>
      <c r="B7" s="5" t="s">
        <v>1227</v>
      </c>
      <c r="C7" s="5" t="s">
        <v>265</v>
      </c>
      <c r="D7" s="5" t="s">
        <v>113</v>
      </c>
      <c r="E7" s="5" t="s">
        <v>352</v>
      </c>
      <c r="F7" s="5" t="s">
        <v>497</v>
      </c>
      <c r="G7" s="5" t="s">
        <v>500</v>
      </c>
      <c r="H7" s="5" t="s">
        <v>1228</v>
      </c>
      <c r="I7" s="5" t="s">
        <v>500</v>
      </c>
      <c r="J7" s="5" t="s">
        <v>631</v>
      </c>
      <c r="K7" s="5" t="s">
        <v>353</v>
      </c>
      <c r="L7" s="8" t="s">
        <v>354</v>
      </c>
      <c r="M7" s="8" t="s">
        <v>355</v>
      </c>
    </row>
    <row r="8" spans="1:13" ht="48" customHeight="1" x14ac:dyDescent="0.25">
      <c r="A8" s="5" t="s">
        <v>62</v>
      </c>
      <c r="B8" s="5" t="s">
        <v>1229</v>
      </c>
      <c r="C8" s="5" t="s">
        <v>384</v>
      </c>
      <c r="D8" s="5" t="s">
        <v>181</v>
      </c>
      <c r="E8" s="5" t="s">
        <v>385</v>
      </c>
      <c r="F8" s="5" t="s">
        <v>497</v>
      </c>
      <c r="G8" s="5" t="s">
        <v>500</v>
      </c>
      <c r="H8" s="5" t="s">
        <v>1208</v>
      </c>
      <c r="I8" s="5" t="s">
        <v>500</v>
      </c>
      <c r="J8" s="5" t="s">
        <v>631</v>
      </c>
      <c r="K8" s="5" t="s">
        <v>386</v>
      </c>
      <c r="L8" s="8" t="s">
        <v>387</v>
      </c>
      <c r="M8" s="8" t="s">
        <v>388</v>
      </c>
    </row>
    <row r="9" spans="1:13" ht="48" customHeight="1" x14ac:dyDescent="0.25">
      <c r="A9" s="5" t="s">
        <v>62</v>
      </c>
      <c r="B9" s="5" t="s">
        <v>1230</v>
      </c>
      <c r="C9" s="5" t="s">
        <v>390</v>
      </c>
      <c r="D9" s="5" t="s">
        <v>181</v>
      </c>
      <c r="E9" s="5" t="s">
        <v>385</v>
      </c>
      <c r="F9" s="5" t="s">
        <v>497</v>
      </c>
      <c r="G9" s="5" t="s">
        <v>500</v>
      </c>
      <c r="H9" s="5" t="s">
        <v>1231</v>
      </c>
      <c r="I9" s="5" t="s">
        <v>500</v>
      </c>
      <c r="J9" s="5" t="s">
        <v>548</v>
      </c>
      <c r="K9" s="5" t="s">
        <v>391</v>
      </c>
      <c r="L9" s="8" t="s">
        <v>392</v>
      </c>
      <c r="M9" s="8" t="s">
        <v>393</v>
      </c>
    </row>
    <row r="10" spans="1:13" ht="48" customHeight="1" x14ac:dyDescent="0.25">
      <c r="A10" s="5" t="s">
        <v>62</v>
      </c>
      <c r="B10" s="5" t="s">
        <v>1232</v>
      </c>
      <c r="C10" s="5" t="s">
        <v>158</v>
      </c>
      <c r="D10" s="5" t="s">
        <v>50</v>
      </c>
      <c r="E10" s="5" t="s">
        <v>144</v>
      </c>
      <c r="F10" s="5" t="s">
        <v>497</v>
      </c>
      <c r="G10" s="5" t="s">
        <v>500</v>
      </c>
      <c r="H10" s="5" t="s">
        <v>1193</v>
      </c>
      <c r="I10" s="5" t="s">
        <v>500</v>
      </c>
      <c r="J10" s="5" t="s">
        <v>500</v>
      </c>
      <c r="K10" s="5" t="s">
        <v>159</v>
      </c>
      <c r="L10" s="8" t="s">
        <v>160</v>
      </c>
      <c r="M10" s="8" t="s">
        <v>161</v>
      </c>
    </row>
    <row r="11" spans="1:13" ht="48" customHeight="1" x14ac:dyDescent="0.25">
      <c r="A11" s="5" t="s">
        <v>62</v>
      </c>
      <c r="B11" s="5" t="s">
        <v>1233</v>
      </c>
      <c r="C11" s="5" t="s">
        <v>36</v>
      </c>
      <c r="D11" s="5" t="s">
        <v>95</v>
      </c>
      <c r="E11" s="5" t="s">
        <v>96</v>
      </c>
      <c r="F11" s="5" t="s">
        <v>497</v>
      </c>
      <c r="G11" s="5" t="s">
        <v>500</v>
      </c>
      <c r="H11" s="5" t="s">
        <v>1195</v>
      </c>
      <c r="I11" s="5" t="s">
        <v>500</v>
      </c>
      <c r="J11" s="5" t="s">
        <v>500</v>
      </c>
      <c r="K11" s="5" t="s">
        <v>1196</v>
      </c>
      <c r="L11" s="8" t="s">
        <v>98</v>
      </c>
      <c r="M11" s="8" t="s">
        <v>39</v>
      </c>
    </row>
    <row r="12" spans="1:13" ht="48" customHeight="1" x14ac:dyDescent="0.25">
      <c r="A12" s="5" t="s">
        <v>62</v>
      </c>
      <c r="B12" s="5" t="s">
        <v>1234</v>
      </c>
      <c r="C12" s="5" t="s">
        <v>36</v>
      </c>
      <c r="D12" s="5" t="s">
        <v>29</v>
      </c>
      <c r="E12" s="5" t="s">
        <v>172</v>
      </c>
      <c r="F12" s="5" t="s">
        <v>567</v>
      </c>
      <c r="G12" s="5" t="s">
        <v>500</v>
      </c>
      <c r="H12" s="5" t="s">
        <v>632</v>
      </c>
      <c r="I12" s="5" t="s">
        <v>500</v>
      </c>
      <c r="J12" s="5" t="s">
        <v>500</v>
      </c>
      <c r="K12" s="5" t="s">
        <v>1198</v>
      </c>
      <c r="L12" s="8" t="s">
        <v>178</v>
      </c>
      <c r="M12" s="8" t="s">
        <v>39</v>
      </c>
    </row>
  </sheetData>
  <autoFilter ref="A1:M12" xr:uid="{00000000-0009-0000-0000-00001E000000}"/>
  <phoneticPr fontId="4" type="noConversion"/>
  <hyperlinks>
    <hyperlink ref="L2" r:id="rId1" xr:uid="{00000000-0004-0000-1E00-000000000000}"/>
    <hyperlink ref="M2" r:id="rId2" xr:uid="{00000000-0004-0000-1E00-000001000000}"/>
    <hyperlink ref="L3" r:id="rId3" xr:uid="{00000000-0004-0000-1E00-000002000000}"/>
    <hyperlink ref="M3" r:id="rId4" xr:uid="{00000000-0004-0000-1E00-000003000000}"/>
    <hyperlink ref="L4" r:id="rId5" xr:uid="{00000000-0004-0000-1E00-000004000000}"/>
    <hyperlink ref="M4" r:id="rId6" xr:uid="{00000000-0004-0000-1E00-000005000000}"/>
    <hyperlink ref="L5" r:id="rId7" xr:uid="{00000000-0004-0000-1E00-000006000000}"/>
    <hyperlink ref="M5" r:id="rId8" xr:uid="{00000000-0004-0000-1E00-000007000000}"/>
    <hyperlink ref="L6" r:id="rId9" xr:uid="{00000000-0004-0000-1E00-000008000000}"/>
    <hyperlink ref="M6" r:id="rId10" xr:uid="{00000000-0004-0000-1E00-000009000000}"/>
    <hyperlink ref="L7" r:id="rId11" xr:uid="{00000000-0004-0000-1E00-00000A000000}"/>
    <hyperlink ref="M7" r:id="rId12" xr:uid="{00000000-0004-0000-1E00-00000B000000}"/>
    <hyperlink ref="L8" r:id="rId13" xr:uid="{00000000-0004-0000-1E00-00000C000000}"/>
    <hyperlink ref="M8" r:id="rId14" xr:uid="{00000000-0004-0000-1E00-00000D000000}"/>
    <hyperlink ref="L9" r:id="rId15" xr:uid="{00000000-0004-0000-1E00-00000E000000}"/>
    <hyperlink ref="M9" r:id="rId16" xr:uid="{00000000-0004-0000-1E00-00000F000000}"/>
    <hyperlink ref="L10" r:id="rId17" xr:uid="{00000000-0004-0000-1E00-000010000000}"/>
    <hyperlink ref="M10" r:id="rId18" xr:uid="{00000000-0004-0000-1E00-000011000000}"/>
    <hyperlink ref="L11" r:id="rId19" xr:uid="{00000000-0004-0000-1E00-000012000000}"/>
    <hyperlink ref="M11" r:id="rId20" xr:uid="{00000000-0004-0000-1E00-000013000000}"/>
    <hyperlink ref="L12" r:id="rId21" xr:uid="{00000000-0004-0000-1E00-000014000000}"/>
    <hyperlink ref="M12" r:id="rId22" xr:uid="{00000000-0004-0000-1E00-000015000000}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5" t="s">
        <v>62</v>
      </c>
      <c r="B2" s="5" t="s">
        <v>1235</v>
      </c>
      <c r="C2" s="5" t="s">
        <v>309</v>
      </c>
      <c r="D2" s="5" t="s">
        <v>181</v>
      </c>
      <c r="E2" s="5" t="s">
        <v>304</v>
      </c>
      <c r="F2" s="5" t="s">
        <v>497</v>
      </c>
      <c r="G2" s="5" t="s">
        <v>500</v>
      </c>
      <c r="H2" s="5" t="s">
        <v>1236</v>
      </c>
      <c r="I2" s="5" t="s">
        <v>500</v>
      </c>
      <c r="J2" s="5" t="s">
        <v>1117</v>
      </c>
      <c r="K2" s="5" t="s">
        <v>1179</v>
      </c>
      <c r="L2" s="8" t="s">
        <v>311</v>
      </c>
      <c r="M2" s="8" t="s">
        <v>312</v>
      </c>
    </row>
    <row r="3" spans="1:13" ht="48" customHeight="1" x14ac:dyDescent="0.25">
      <c r="A3" s="5" t="s">
        <v>62</v>
      </c>
      <c r="B3" s="5" t="s">
        <v>1237</v>
      </c>
      <c r="C3" s="5" t="s">
        <v>216</v>
      </c>
      <c r="D3" s="5" t="s">
        <v>223</v>
      </c>
      <c r="E3" s="5" t="s">
        <v>266</v>
      </c>
      <c r="F3" s="5" t="s">
        <v>497</v>
      </c>
      <c r="G3" s="5" t="s">
        <v>500</v>
      </c>
      <c r="H3" s="5" t="s">
        <v>1238</v>
      </c>
      <c r="I3" s="5" t="s">
        <v>500</v>
      </c>
      <c r="J3" s="5" t="s">
        <v>1175</v>
      </c>
      <c r="K3" s="5" t="s">
        <v>1176</v>
      </c>
      <c r="L3" s="8" t="s">
        <v>272</v>
      </c>
      <c r="M3" s="8" t="s">
        <v>273</v>
      </c>
    </row>
    <row r="4" spans="1:13" ht="48" customHeight="1" x14ac:dyDescent="0.25">
      <c r="A4" s="5" t="s">
        <v>62</v>
      </c>
      <c r="B4" s="5" t="s">
        <v>1239</v>
      </c>
      <c r="C4" s="5" t="s">
        <v>280</v>
      </c>
      <c r="D4" s="5" t="s">
        <v>50</v>
      </c>
      <c r="E4" s="5" t="s">
        <v>281</v>
      </c>
      <c r="F4" s="5" t="s">
        <v>497</v>
      </c>
      <c r="G4" s="5" t="s">
        <v>500</v>
      </c>
      <c r="H4" s="5" t="s">
        <v>630</v>
      </c>
      <c r="I4" s="5" t="s">
        <v>500</v>
      </c>
      <c r="J4" s="5" t="s">
        <v>543</v>
      </c>
      <c r="K4" s="5" t="s">
        <v>282</v>
      </c>
      <c r="L4" s="8" t="s">
        <v>283</v>
      </c>
      <c r="M4" s="8" t="s">
        <v>284</v>
      </c>
    </row>
    <row r="5" spans="1:13" ht="48" customHeight="1" x14ac:dyDescent="0.25">
      <c r="A5" s="5" t="s">
        <v>62</v>
      </c>
      <c r="B5" s="5" t="s">
        <v>1240</v>
      </c>
      <c r="C5" s="5" t="s">
        <v>324</v>
      </c>
      <c r="D5" s="5" t="s">
        <v>50</v>
      </c>
      <c r="E5" s="5" t="s">
        <v>325</v>
      </c>
      <c r="F5" s="5" t="s">
        <v>497</v>
      </c>
      <c r="G5" s="5" t="s">
        <v>500</v>
      </c>
      <c r="H5" s="5" t="s">
        <v>1241</v>
      </c>
      <c r="I5" s="5" t="s">
        <v>500</v>
      </c>
      <c r="J5" s="5" t="s">
        <v>1119</v>
      </c>
      <c r="K5" s="5" t="s">
        <v>1184</v>
      </c>
      <c r="L5" s="8" t="s">
        <v>327</v>
      </c>
      <c r="M5" s="8" t="s">
        <v>328</v>
      </c>
    </row>
    <row r="6" spans="1:13" ht="48" customHeight="1" x14ac:dyDescent="0.25">
      <c r="A6" s="5" t="s">
        <v>62</v>
      </c>
      <c r="B6" s="5" t="s">
        <v>1242</v>
      </c>
      <c r="C6" s="5" t="s">
        <v>265</v>
      </c>
      <c r="D6" s="5" t="s">
        <v>113</v>
      </c>
      <c r="E6" s="5" t="s">
        <v>352</v>
      </c>
      <c r="F6" s="5" t="s">
        <v>497</v>
      </c>
      <c r="G6" s="5" t="s">
        <v>500</v>
      </c>
      <c r="H6" s="5" t="s">
        <v>1200</v>
      </c>
      <c r="I6" s="5" t="s">
        <v>500</v>
      </c>
      <c r="J6" s="5" t="s">
        <v>631</v>
      </c>
      <c r="K6" s="5" t="s">
        <v>353</v>
      </c>
      <c r="L6" s="8" t="s">
        <v>354</v>
      </c>
      <c r="M6" s="8" t="s">
        <v>355</v>
      </c>
    </row>
    <row r="7" spans="1:13" ht="48" customHeight="1" x14ac:dyDescent="0.25">
      <c r="A7" s="5" t="s">
        <v>62</v>
      </c>
      <c r="B7" s="5" t="s">
        <v>1243</v>
      </c>
      <c r="C7" s="5" t="s">
        <v>85</v>
      </c>
      <c r="D7" s="5" t="s">
        <v>357</v>
      </c>
      <c r="E7" s="5" t="s">
        <v>358</v>
      </c>
      <c r="F7" s="5" t="s">
        <v>497</v>
      </c>
      <c r="G7" s="5" t="s">
        <v>500</v>
      </c>
      <c r="H7" s="5" t="s">
        <v>1244</v>
      </c>
      <c r="I7" s="5" t="s">
        <v>500</v>
      </c>
      <c r="J7" s="5" t="s">
        <v>631</v>
      </c>
      <c r="K7" s="5" t="s">
        <v>359</v>
      </c>
      <c r="L7" s="8" t="s">
        <v>360</v>
      </c>
      <c r="M7" s="8" t="s">
        <v>361</v>
      </c>
    </row>
    <row r="8" spans="1:13" ht="48" customHeight="1" x14ac:dyDescent="0.25">
      <c r="A8" s="5" t="s">
        <v>62</v>
      </c>
      <c r="B8" s="5" t="s">
        <v>1245</v>
      </c>
      <c r="C8" s="5" t="s">
        <v>384</v>
      </c>
      <c r="D8" s="5" t="s">
        <v>181</v>
      </c>
      <c r="E8" s="5" t="s">
        <v>385</v>
      </c>
      <c r="F8" s="5" t="s">
        <v>497</v>
      </c>
      <c r="G8" s="5" t="s">
        <v>500</v>
      </c>
      <c r="H8" s="5" t="s">
        <v>1246</v>
      </c>
      <c r="I8" s="5" t="s">
        <v>500</v>
      </c>
      <c r="J8" s="5" t="s">
        <v>631</v>
      </c>
      <c r="K8" s="5" t="s">
        <v>386</v>
      </c>
      <c r="L8" s="8" t="s">
        <v>387</v>
      </c>
      <c r="M8" s="8" t="s">
        <v>388</v>
      </c>
    </row>
    <row r="9" spans="1:13" ht="48" customHeight="1" x14ac:dyDescent="0.25">
      <c r="A9" s="5" t="s">
        <v>62</v>
      </c>
      <c r="B9" s="5" t="s">
        <v>1247</v>
      </c>
      <c r="C9" s="5" t="s">
        <v>390</v>
      </c>
      <c r="D9" s="5" t="s">
        <v>181</v>
      </c>
      <c r="E9" s="5" t="s">
        <v>385</v>
      </c>
      <c r="F9" s="5" t="s">
        <v>497</v>
      </c>
      <c r="G9" s="5" t="s">
        <v>500</v>
      </c>
      <c r="H9" s="5" t="s">
        <v>1248</v>
      </c>
      <c r="I9" s="5" t="s">
        <v>500</v>
      </c>
      <c r="J9" s="5" t="s">
        <v>548</v>
      </c>
      <c r="K9" s="5" t="s">
        <v>391</v>
      </c>
      <c r="L9" s="8" t="s">
        <v>392</v>
      </c>
      <c r="M9" s="8" t="s">
        <v>393</v>
      </c>
    </row>
    <row r="10" spans="1:13" ht="48" customHeight="1" x14ac:dyDescent="0.25">
      <c r="A10" s="5" t="s">
        <v>62</v>
      </c>
      <c r="B10" s="5" t="s">
        <v>1249</v>
      </c>
      <c r="C10" s="5" t="s">
        <v>158</v>
      </c>
      <c r="D10" s="5" t="s">
        <v>50</v>
      </c>
      <c r="E10" s="5" t="s">
        <v>144</v>
      </c>
      <c r="F10" s="5" t="s">
        <v>497</v>
      </c>
      <c r="G10" s="5" t="s">
        <v>500</v>
      </c>
      <c r="H10" s="5" t="s">
        <v>1193</v>
      </c>
      <c r="I10" s="5" t="s">
        <v>500</v>
      </c>
      <c r="J10" s="5" t="s">
        <v>500</v>
      </c>
      <c r="K10" s="5" t="s">
        <v>159</v>
      </c>
      <c r="L10" s="8" t="s">
        <v>160</v>
      </c>
      <c r="M10" s="8" t="s">
        <v>161</v>
      </c>
    </row>
    <row r="11" spans="1:13" ht="48" customHeight="1" x14ac:dyDescent="0.25">
      <c r="A11" s="5" t="s">
        <v>62</v>
      </c>
      <c r="B11" s="5" t="s">
        <v>1250</v>
      </c>
      <c r="C11" s="5" t="s">
        <v>36</v>
      </c>
      <c r="D11" s="5" t="s">
        <v>95</v>
      </c>
      <c r="E11" s="5" t="s">
        <v>96</v>
      </c>
      <c r="F11" s="5" t="s">
        <v>497</v>
      </c>
      <c r="G11" s="5" t="s">
        <v>500</v>
      </c>
      <c r="H11" s="5" t="s">
        <v>1195</v>
      </c>
      <c r="I11" s="5" t="s">
        <v>500</v>
      </c>
      <c r="J11" s="5" t="s">
        <v>500</v>
      </c>
      <c r="K11" s="5" t="s">
        <v>1196</v>
      </c>
      <c r="L11" s="8" t="s">
        <v>98</v>
      </c>
      <c r="M11" s="8" t="s">
        <v>39</v>
      </c>
    </row>
    <row r="12" spans="1:13" ht="48" customHeight="1" x14ac:dyDescent="0.25">
      <c r="A12" s="5" t="s">
        <v>62</v>
      </c>
      <c r="B12" s="5" t="s">
        <v>1251</v>
      </c>
      <c r="C12" s="5" t="s">
        <v>36</v>
      </c>
      <c r="D12" s="5" t="s">
        <v>29</v>
      </c>
      <c r="E12" s="5" t="s">
        <v>172</v>
      </c>
      <c r="F12" s="5" t="s">
        <v>567</v>
      </c>
      <c r="G12" s="5" t="s">
        <v>500</v>
      </c>
      <c r="H12" s="5" t="s">
        <v>632</v>
      </c>
      <c r="I12" s="5" t="s">
        <v>500</v>
      </c>
      <c r="J12" s="5" t="s">
        <v>500</v>
      </c>
      <c r="K12" s="5" t="s">
        <v>1198</v>
      </c>
      <c r="L12" s="8" t="s">
        <v>178</v>
      </c>
      <c r="M12" s="8" t="s">
        <v>39</v>
      </c>
    </row>
  </sheetData>
  <autoFilter ref="A1:M12" xr:uid="{00000000-0009-0000-0000-00001F000000}"/>
  <phoneticPr fontId="4" type="noConversion"/>
  <hyperlinks>
    <hyperlink ref="L2" r:id="rId1" xr:uid="{00000000-0004-0000-1F00-000000000000}"/>
    <hyperlink ref="M2" r:id="rId2" xr:uid="{00000000-0004-0000-1F00-000001000000}"/>
    <hyperlink ref="L3" r:id="rId3" xr:uid="{00000000-0004-0000-1F00-000002000000}"/>
    <hyperlink ref="M3" r:id="rId4" xr:uid="{00000000-0004-0000-1F00-000003000000}"/>
    <hyperlink ref="L4" r:id="rId5" xr:uid="{00000000-0004-0000-1F00-000004000000}"/>
    <hyperlink ref="M4" r:id="rId6" xr:uid="{00000000-0004-0000-1F00-000005000000}"/>
    <hyperlink ref="L5" r:id="rId7" xr:uid="{00000000-0004-0000-1F00-000006000000}"/>
    <hyperlink ref="M5" r:id="rId8" xr:uid="{00000000-0004-0000-1F00-000007000000}"/>
    <hyperlink ref="L6" r:id="rId9" xr:uid="{00000000-0004-0000-1F00-000008000000}"/>
    <hyperlink ref="M6" r:id="rId10" xr:uid="{00000000-0004-0000-1F00-000009000000}"/>
    <hyperlink ref="L7" r:id="rId11" xr:uid="{00000000-0004-0000-1F00-00000A000000}"/>
    <hyperlink ref="M7" r:id="rId12" xr:uid="{00000000-0004-0000-1F00-00000B000000}"/>
    <hyperlink ref="L8" r:id="rId13" xr:uid="{00000000-0004-0000-1F00-00000C000000}"/>
    <hyperlink ref="M8" r:id="rId14" xr:uid="{00000000-0004-0000-1F00-00000D000000}"/>
    <hyperlink ref="L9" r:id="rId15" xr:uid="{00000000-0004-0000-1F00-00000E000000}"/>
    <hyperlink ref="M9" r:id="rId16" xr:uid="{00000000-0004-0000-1F00-00000F000000}"/>
    <hyperlink ref="L10" r:id="rId17" xr:uid="{00000000-0004-0000-1F00-000010000000}"/>
    <hyperlink ref="M10" r:id="rId18" xr:uid="{00000000-0004-0000-1F00-000011000000}"/>
    <hyperlink ref="L11" r:id="rId19" xr:uid="{00000000-0004-0000-1F00-000012000000}"/>
    <hyperlink ref="M11" r:id="rId20" xr:uid="{00000000-0004-0000-1F00-000013000000}"/>
    <hyperlink ref="L12" r:id="rId21" xr:uid="{00000000-0004-0000-1F00-000014000000}"/>
    <hyperlink ref="M12" r:id="rId22" xr:uid="{00000000-0004-0000-1F00-000015000000}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5" t="s">
        <v>62</v>
      </c>
      <c r="B2" s="5" t="s">
        <v>1217</v>
      </c>
      <c r="C2" s="5" t="s">
        <v>216</v>
      </c>
      <c r="D2" s="5" t="s">
        <v>223</v>
      </c>
      <c r="E2" s="5" t="s">
        <v>266</v>
      </c>
      <c r="F2" s="5" t="s">
        <v>497</v>
      </c>
      <c r="G2" s="5" t="s">
        <v>500</v>
      </c>
      <c r="H2" s="5" t="s">
        <v>1218</v>
      </c>
      <c r="I2" s="5" t="s">
        <v>500</v>
      </c>
      <c r="J2" s="5" t="s">
        <v>1175</v>
      </c>
      <c r="K2" s="5" t="s">
        <v>1176</v>
      </c>
      <c r="L2" s="8" t="s">
        <v>272</v>
      </c>
      <c r="M2" s="8" t="s">
        <v>273</v>
      </c>
    </row>
    <row r="3" spans="1:13" ht="48" customHeight="1" x14ac:dyDescent="0.25">
      <c r="A3" s="5" t="s">
        <v>62</v>
      </c>
      <c r="B3" s="5" t="s">
        <v>1219</v>
      </c>
      <c r="C3" s="5" t="s">
        <v>309</v>
      </c>
      <c r="D3" s="5" t="s">
        <v>181</v>
      </c>
      <c r="E3" s="5" t="s">
        <v>304</v>
      </c>
      <c r="F3" s="5" t="s">
        <v>497</v>
      </c>
      <c r="G3" s="5" t="s">
        <v>500</v>
      </c>
      <c r="H3" s="5" t="s">
        <v>1220</v>
      </c>
      <c r="I3" s="5" t="s">
        <v>500</v>
      </c>
      <c r="J3" s="5" t="s">
        <v>1117</v>
      </c>
      <c r="K3" s="5" t="s">
        <v>1179</v>
      </c>
      <c r="L3" s="8" t="s">
        <v>311</v>
      </c>
      <c r="M3" s="8" t="s">
        <v>312</v>
      </c>
    </row>
    <row r="4" spans="1:13" ht="48" customHeight="1" x14ac:dyDescent="0.25">
      <c r="A4" s="5" t="s">
        <v>62</v>
      </c>
      <c r="B4" s="5" t="s">
        <v>1221</v>
      </c>
      <c r="C4" s="5" t="s">
        <v>280</v>
      </c>
      <c r="D4" s="5" t="s">
        <v>50</v>
      </c>
      <c r="E4" s="5" t="s">
        <v>281</v>
      </c>
      <c r="F4" s="5" t="s">
        <v>497</v>
      </c>
      <c r="G4" s="5" t="s">
        <v>500</v>
      </c>
      <c r="H4" s="5" t="s">
        <v>1222</v>
      </c>
      <c r="I4" s="5" t="s">
        <v>500</v>
      </c>
      <c r="J4" s="5" t="s">
        <v>543</v>
      </c>
      <c r="K4" s="5" t="s">
        <v>282</v>
      </c>
      <c r="L4" s="8" t="s">
        <v>283</v>
      </c>
      <c r="M4" s="8" t="s">
        <v>284</v>
      </c>
    </row>
    <row r="5" spans="1:13" ht="48" customHeight="1" x14ac:dyDescent="0.25">
      <c r="A5" s="5" t="s">
        <v>62</v>
      </c>
      <c r="B5" s="5" t="s">
        <v>1223</v>
      </c>
      <c r="C5" s="5" t="s">
        <v>324</v>
      </c>
      <c r="D5" s="5" t="s">
        <v>50</v>
      </c>
      <c r="E5" s="5" t="s">
        <v>325</v>
      </c>
      <c r="F5" s="5" t="s">
        <v>497</v>
      </c>
      <c r="G5" s="5" t="s">
        <v>500</v>
      </c>
      <c r="H5" s="5" t="s">
        <v>1224</v>
      </c>
      <c r="I5" s="5" t="s">
        <v>500</v>
      </c>
      <c r="J5" s="5" t="s">
        <v>1119</v>
      </c>
      <c r="K5" s="5" t="s">
        <v>1184</v>
      </c>
      <c r="L5" s="8" t="s">
        <v>327</v>
      </c>
      <c r="M5" s="8" t="s">
        <v>328</v>
      </c>
    </row>
    <row r="6" spans="1:13" ht="48" customHeight="1" x14ac:dyDescent="0.25">
      <c r="A6" s="5" t="s">
        <v>62</v>
      </c>
      <c r="B6" s="5" t="s">
        <v>1225</v>
      </c>
      <c r="C6" s="5" t="s">
        <v>85</v>
      </c>
      <c r="D6" s="5" t="s">
        <v>357</v>
      </c>
      <c r="E6" s="5" t="s">
        <v>358</v>
      </c>
      <c r="F6" s="5" t="s">
        <v>497</v>
      </c>
      <c r="G6" s="5" t="s">
        <v>500</v>
      </c>
      <c r="H6" s="5" t="s">
        <v>1226</v>
      </c>
      <c r="I6" s="5" t="s">
        <v>500</v>
      </c>
      <c r="J6" s="5" t="s">
        <v>631</v>
      </c>
      <c r="K6" s="5" t="s">
        <v>359</v>
      </c>
      <c r="L6" s="8" t="s">
        <v>360</v>
      </c>
      <c r="M6" s="8" t="s">
        <v>361</v>
      </c>
    </row>
    <row r="7" spans="1:13" ht="48" customHeight="1" x14ac:dyDescent="0.25">
      <c r="A7" s="5" t="s">
        <v>62</v>
      </c>
      <c r="B7" s="5" t="s">
        <v>1227</v>
      </c>
      <c r="C7" s="5" t="s">
        <v>265</v>
      </c>
      <c r="D7" s="5" t="s">
        <v>113</v>
      </c>
      <c r="E7" s="5" t="s">
        <v>352</v>
      </c>
      <c r="F7" s="5" t="s">
        <v>497</v>
      </c>
      <c r="G7" s="5" t="s">
        <v>500</v>
      </c>
      <c r="H7" s="5" t="s">
        <v>1228</v>
      </c>
      <c r="I7" s="5" t="s">
        <v>500</v>
      </c>
      <c r="J7" s="5" t="s">
        <v>631</v>
      </c>
      <c r="K7" s="5" t="s">
        <v>353</v>
      </c>
      <c r="L7" s="8" t="s">
        <v>354</v>
      </c>
      <c r="M7" s="8" t="s">
        <v>355</v>
      </c>
    </row>
    <row r="8" spans="1:13" ht="48" customHeight="1" x14ac:dyDescent="0.25">
      <c r="A8" s="5" t="s">
        <v>62</v>
      </c>
      <c r="B8" s="5" t="s">
        <v>1229</v>
      </c>
      <c r="C8" s="5" t="s">
        <v>384</v>
      </c>
      <c r="D8" s="5" t="s">
        <v>181</v>
      </c>
      <c r="E8" s="5" t="s">
        <v>385</v>
      </c>
      <c r="F8" s="5" t="s">
        <v>497</v>
      </c>
      <c r="G8" s="5" t="s">
        <v>500</v>
      </c>
      <c r="H8" s="5" t="s">
        <v>1208</v>
      </c>
      <c r="I8" s="5" t="s">
        <v>500</v>
      </c>
      <c r="J8" s="5" t="s">
        <v>631</v>
      </c>
      <c r="K8" s="5" t="s">
        <v>386</v>
      </c>
      <c r="L8" s="8" t="s">
        <v>387</v>
      </c>
      <c r="M8" s="8" t="s">
        <v>388</v>
      </c>
    </row>
    <row r="9" spans="1:13" ht="48" customHeight="1" x14ac:dyDescent="0.25">
      <c r="A9" s="5" t="s">
        <v>62</v>
      </c>
      <c r="B9" s="5" t="s">
        <v>1230</v>
      </c>
      <c r="C9" s="5" t="s">
        <v>390</v>
      </c>
      <c r="D9" s="5" t="s">
        <v>181</v>
      </c>
      <c r="E9" s="5" t="s">
        <v>385</v>
      </c>
      <c r="F9" s="5" t="s">
        <v>497</v>
      </c>
      <c r="G9" s="5" t="s">
        <v>500</v>
      </c>
      <c r="H9" s="5" t="s">
        <v>1231</v>
      </c>
      <c r="I9" s="5" t="s">
        <v>500</v>
      </c>
      <c r="J9" s="5" t="s">
        <v>548</v>
      </c>
      <c r="K9" s="5" t="s">
        <v>391</v>
      </c>
      <c r="L9" s="8" t="s">
        <v>392</v>
      </c>
      <c r="M9" s="8" t="s">
        <v>393</v>
      </c>
    </row>
    <row r="10" spans="1:13" ht="48" customHeight="1" x14ac:dyDescent="0.25">
      <c r="A10" s="5" t="s">
        <v>62</v>
      </c>
      <c r="B10" s="5" t="s">
        <v>1232</v>
      </c>
      <c r="C10" s="5" t="s">
        <v>158</v>
      </c>
      <c r="D10" s="5" t="s">
        <v>50</v>
      </c>
      <c r="E10" s="5" t="s">
        <v>144</v>
      </c>
      <c r="F10" s="5" t="s">
        <v>497</v>
      </c>
      <c r="G10" s="5" t="s">
        <v>500</v>
      </c>
      <c r="H10" s="5" t="s">
        <v>1193</v>
      </c>
      <c r="I10" s="5" t="s">
        <v>500</v>
      </c>
      <c r="J10" s="5" t="s">
        <v>500</v>
      </c>
      <c r="K10" s="5" t="s">
        <v>159</v>
      </c>
      <c r="L10" s="8" t="s">
        <v>160</v>
      </c>
      <c r="M10" s="8" t="s">
        <v>161</v>
      </c>
    </row>
    <row r="11" spans="1:13" ht="48" customHeight="1" x14ac:dyDescent="0.25">
      <c r="A11" s="5" t="s">
        <v>62</v>
      </c>
      <c r="B11" s="5" t="s">
        <v>1233</v>
      </c>
      <c r="C11" s="5" t="s">
        <v>36</v>
      </c>
      <c r="D11" s="5" t="s">
        <v>95</v>
      </c>
      <c r="E11" s="5" t="s">
        <v>96</v>
      </c>
      <c r="F11" s="5" t="s">
        <v>497</v>
      </c>
      <c r="G11" s="5" t="s">
        <v>500</v>
      </c>
      <c r="H11" s="5" t="s">
        <v>1195</v>
      </c>
      <c r="I11" s="5" t="s">
        <v>500</v>
      </c>
      <c r="J11" s="5" t="s">
        <v>500</v>
      </c>
      <c r="K11" s="5" t="s">
        <v>1196</v>
      </c>
      <c r="L11" s="8" t="s">
        <v>98</v>
      </c>
      <c r="M11" s="8" t="s">
        <v>39</v>
      </c>
    </row>
    <row r="12" spans="1:13" ht="48" customHeight="1" x14ac:dyDescent="0.25">
      <c r="A12" s="5" t="s">
        <v>62</v>
      </c>
      <c r="B12" s="5" t="s">
        <v>1234</v>
      </c>
      <c r="C12" s="5" t="s">
        <v>36</v>
      </c>
      <c r="D12" s="5" t="s">
        <v>29</v>
      </c>
      <c r="E12" s="5" t="s">
        <v>172</v>
      </c>
      <c r="F12" s="5" t="s">
        <v>567</v>
      </c>
      <c r="G12" s="5" t="s">
        <v>500</v>
      </c>
      <c r="H12" s="5" t="s">
        <v>632</v>
      </c>
      <c r="I12" s="5" t="s">
        <v>500</v>
      </c>
      <c r="J12" s="5" t="s">
        <v>500</v>
      </c>
      <c r="K12" s="5" t="s">
        <v>1198</v>
      </c>
      <c r="L12" s="8" t="s">
        <v>178</v>
      </c>
      <c r="M12" s="8" t="s">
        <v>39</v>
      </c>
    </row>
  </sheetData>
  <autoFilter ref="A1:M12" xr:uid="{00000000-0009-0000-0000-000020000000}"/>
  <phoneticPr fontId="4" type="noConversion"/>
  <hyperlinks>
    <hyperlink ref="L2" r:id="rId1" xr:uid="{00000000-0004-0000-2000-000000000000}"/>
    <hyperlink ref="M2" r:id="rId2" xr:uid="{00000000-0004-0000-2000-000001000000}"/>
    <hyperlink ref="L3" r:id="rId3" xr:uid="{00000000-0004-0000-2000-000002000000}"/>
    <hyperlink ref="M3" r:id="rId4" xr:uid="{00000000-0004-0000-2000-000003000000}"/>
    <hyperlink ref="L4" r:id="rId5" xr:uid="{00000000-0004-0000-2000-000004000000}"/>
    <hyperlink ref="M4" r:id="rId6" xr:uid="{00000000-0004-0000-2000-000005000000}"/>
    <hyperlink ref="L5" r:id="rId7" xr:uid="{00000000-0004-0000-2000-000006000000}"/>
    <hyperlink ref="M5" r:id="rId8" xr:uid="{00000000-0004-0000-2000-000007000000}"/>
    <hyperlink ref="L6" r:id="rId9" xr:uid="{00000000-0004-0000-2000-000008000000}"/>
    <hyperlink ref="M6" r:id="rId10" xr:uid="{00000000-0004-0000-2000-000009000000}"/>
    <hyperlink ref="L7" r:id="rId11" xr:uid="{00000000-0004-0000-2000-00000A000000}"/>
    <hyperlink ref="M7" r:id="rId12" xr:uid="{00000000-0004-0000-2000-00000B000000}"/>
    <hyperlink ref="L8" r:id="rId13" xr:uid="{00000000-0004-0000-2000-00000C000000}"/>
    <hyperlink ref="M8" r:id="rId14" xr:uid="{00000000-0004-0000-2000-00000D000000}"/>
    <hyperlink ref="L9" r:id="rId15" xr:uid="{00000000-0004-0000-2000-00000E000000}"/>
    <hyperlink ref="M9" r:id="rId16" xr:uid="{00000000-0004-0000-2000-00000F000000}"/>
    <hyperlink ref="L10" r:id="rId17" xr:uid="{00000000-0004-0000-2000-000010000000}"/>
    <hyperlink ref="M10" r:id="rId18" xr:uid="{00000000-0004-0000-2000-000011000000}"/>
    <hyperlink ref="L11" r:id="rId19" xr:uid="{00000000-0004-0000-2000-000012000000}"/>
    <hyperlink ref="M11" r:id="rId20" xr:uid="{00000000-0004-0000-2000-000013000000}"/>
    <hyperlink ref="L12" r:id="rId21" xr:uid="{00000000-0004-0000-2000-000014000000}"/>
    <hyperlink ref="M12" r:id="rId22" xr:uid="{00000000-0004-0000-2000-000015000000}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2" t="s">
        <v>104</v>
      </c>
      <c r="B2" s="2" t="s">
        <v>1252</v>
      </c>
      <c r="C2" s="2" t="s">
        <v>404</v>
      </c>
      <c r="D2" s="2" t="s">
        <v>113</v>
      </c>
      <c r="E2" s="2" t="s">
        <v>1110</v>
      </c>
      <c r="F2" s="2" t="s">
        <v>497</v>
      </c>
      <c r="G2" s="2" t="s">
        <v>500</v>
      </c>
      <c r="H2" s="2" t="s">
        <v>1253</v>
      </c>
      <c r="I2" s="2" t="s">
        <v>500</v>
      </c>
      <c r="J2" s="2" t="s">
        <v>1254</v>
      </c>
      <c r="K2" s="2" t="s">
        <v>1255</v>
      </c>
      <c r="L2" s="9" t="s">
        <v>1112</v>
      </c>
      <c r="M2" s="9" t="s">
        <v>1113</v>
      </c>
    </row>
    <row r="3" spans="1:13" ht="48" customHeight="1" x14ac:dyDescent="0.25">
      <c r="A3" s="5" t="s">
        <v>62</v>
      </c>
      <c r="B3" s="5" t="s">
        <v>162</v>
      </c>
      <c r="C3" s="5" t="s">
        <v>163</v>
      </c>
      <c r="D3" s="5" t="s">
        <v>29</v>
      </c>
      <c r="E3" s="5" t="s">
        <v>164</v>
      </c>
      <c r="F3" s="5" t="s">
        <v>567</v>
      </c>
      <c r="G3" s="5" t="s">
        <v>500</v>
      </c>
      <c r="H3" s="5" t="s">
        <v>1256</v>
      </c>
      <c r="I3" s="5" t="s">
        <v>500</v>
      </c>
      <c r="J3" s="5" t="s">
        <v>500</v>
      </c>
      <c r="K3" s="5" t="s">
        <v>1257</v>
      </c>
      <c r="L3" s="8" t="s">
        <v>166</v>
      </c>
      <c r="M3" s="8" t="s">
        <v>167</v>
      </c>
    </row>
    <row r="4" spans="1:13" ht="48" customHeight="1" x14ac:dyDescent="0.25">
      <c r="A4" s="2" t="s">
        <v>104</v>
      </c>
      <c r="B4" s="2" t="s">
        <v>111</v>
      </c>
      <c r="C4" s="2" t="s">
        <v>112</v>
      </c>
      <c r="D4" s="2" t="s">
        <v>113</v>
      </c>
      <c r="E4" s="2" t="s">
        <v>114</v>
      </c>
      <c r="F4" s="2" t="s">
        <v>497</v>
      </c>
      <c r="G4" s="2" t="s">
        <v>500</v>
      </c>
      <c r="H4" s="2" t="s">
        <v>1258</v>
      </c>
      <c r="I4" s="2" t="s">
        <v>500</v>
      </c>
      <c r="J4" s="2" t="s">
        <v>696</v>
      </c>
      <c r="K4" s="2" t="s">
        <v>1259</v>
      </c>
      <c r="L4" s="9" t="s">
        <v>116</v>
      </c>
      <c r="M4" s="9" t="s">
        <v>117</v>
      </c>
    </row>
    <row r="5" spans="1:13" ht="48" customHeight="1" x14ac:dyDescent="0.25">
      <c r="A5" s="2" t="s">
        <v>104</v>
      </c>
      <c r="B5" s="2" t="s">
        <v>1260</v>
      </c>
      <c r="C5" s="2" t="s">
        <v>250</v>
      </c>
      <c r="D5" s="2" t="s">
        <v>50</v>
      </c>
      <c r="E5" s="2" t="s">
        <v>281</v>
      </c>
      <c r="F5" s="2" t="s">
        <v>497</v>
      </c>
      <c r="G5" s="2" t="s">
        <v>500</v>
      </c>
      <c r="H5" s="2" t="s">
        <v>1261</v>
      </c>
      <c r="I5" s="2" t="s">
        <v>500</v>
      </c>
      <c r="J5" s="2" t="s">
        <v>1262</v>
      </c>
      <c r="K5" s="2" t="s">
        <v>1263</v>
      </c>
      <c r="L5" s="9" t="s">
        <v>1264</v>
      </c>
      <c r="M5" s="9" t="s">
        <v>1265</v>
      </c>
    </row>
    <row r="6" spans="1:13" ht="48" customHeight="1" x14ac:dyDescent="0.25">
      <c r="A6" s="2" t="s">
        <v>104</v>
      </c>
      <c r="B6" s="2" t="s">
        <v>1266</v>
      </c>
      <c r="C6" s="2" t="s">
        <v>1267</v>
      </c>
      <c r="D6" s="2" t="s">
        <v>79</v>
      </c>
      <c r="E6" s="2" t="s">
        <v>791</v>
      </c>
      <c r="F6" s="2" t="s">
        <v>497</v>
      </c>
      <c r="G6" s="2" t="s">
        <v>500</v>
      </c>
      <c r="H6" s="2" t="s">
        <v>1268</v>
      </c>
      <c r="I6" s="2" t="s">
        <v>500</v>
      </c>
      <c r="J6" s="2" t="s">
        <v>500</v>
      </c>
      <c r="K6" s="2" t="s">
        <v>1269</v>
      </c>
      <c r="L6" s="9" t="s">
        <v>1270</v>
      </c>
      <c r="M6" s="9" t="s">
        <v>1271</v>
      </c>
    </row>
    <row r="7" spans="1:13" ht="48" customHeight="1" x14ac:dyDescent="0.25">
      <c r="A7" s="2" t="s">
        <v>104</v>
      </c>
      <c r="B7" s="2" t="s">
        <v>105</v>
      </c>
      <c r="C7" s="2" t="s">
        <v>647</v>
      </c>
      <c r="D7" s="2" t="s">
        <v>29</v>
      </c>
      <c r="E7" s="2" t="s">
        <v>107</v>
      </c>
      <c r="F7" s="2" t="s">
        <v>567</v>
      </c>
      <c r="G7" s="2" t="s">
        <v>500</v>
      </c>
      <c r="H7" s="2" t="s">
        <v>1268</v>
      </c>
      <c r="I7" s="2" t="s">
        <v>500</v>
      </c>
      <c r="J7" s="2" t="s">
        <v>500</v>
      </c>
      <c r="K7" s="2" t="s">
        <v>1272</v>
      </c>
      <c r="L7" s="9" t="s">
        <v>109</v>
      </c>
      <c r="M7" s="9" t="s">
        <v>110</v>
      </c>
    </row>
    <row r="8" spans="1:13" ht="48" customHeight="1" x14ac:dyDescent="0.25">
      <c r="A8" s="2" t="s">
        <v>104</v>
      </c>
      <c r="B8" s="2" t="s">
        <v>1273</v>
      </c>
      <c r="C8" s="2" t="s">
        <v>1274</v>
      </c>
      <c r="D8" s="2" t="s">
        <v>50</v>
      </c>
      <c r="E8" s="2" t="s">
        <v>144</v>
      </c>
      <c r="F8" s="2" t="s">
        <v>497</v>
      </c>
      <c r="G8" s="2" t="s">
        <v>500</v>
      </c>
      <c r="H8" s="2" t="s">
        <v>1268</v>
      </c>
      <c r="I8" s="2" t="s">
        <v>1275</v>
      </c>
      <c r="J8" s="2" t="s">
        <v>500</v>
      </c>
      <c r="K8" s="2" t="s">
        <v>1276</v>
      </c>
      <c r="L8" s="9" t="s">
        <v>1277</v>
      </c>
      <c r="M8" s="9" t="s">
        <v>1278</v>
      </c>
    </row>
    <row r="9" spans="1:13" ht="48" customHeight="1" x14ac:dyDescent="0.25">
      <c r="A9" s="2" t="s">
        <v>104</v>
      </c>
      <c r="B9" s="2" t="s">
        <v>1279</v>
      </c>
      <c r="C9" s="2" t="s">
        <v>1280</v>
      </c>
      <c r="D9" s="2" t="s">
        <v>50</v>
      </c>
      <c r="E9" s="2" t="s">
        <v>281</v>
      </c>
      <c r="F9" s="2" t="s">
        <v>497</v>
      </c>
      <c r="G9" s="2" t="s">
        <v>500</v>
      </c>
      <c r="H9" s="2" t="s">
        <v>1268</v>
      </c>
      <c r="I9" s="2" t="s">
        <v>500</v>
      </c>
      <c r="J9" s="2" t="s">
        <v>500</v>
      </c>
      <c r="K9" s="2" t="s">
        <v>1281</v>
      </c>
      <c r="L9" s="9" t="s">
        <v>1282</v>
      </c>
      <c r="M9" s="9" t="s">
        <v>1283</v>
      </c>
    </row>
    <row r="10" spans="1:13" ht="48" customHeight="1" x14ac:dyDescent="0.25">
      <c r="A10" s="2" t="s">
        <v>104</v>
      </c>
      <c r="B10" s="2" t="s">
        <v>1284</v>
      </c>
      <c r="C10" s="2" t="s">
        <v>85</v>
      </c>
      <c r="D10" s="2" t="s">
        <v>50</v>
      </c>
      <c r="E10" s="2" t="s">
        <v>198</v>
      </c>
      <c r="F10" s="2" t="s">
        <v>497</v>
      </c>
      <c r="G10" s="2" t="s">
        <v>500</v>
      </c>
      <c r="H10" s="2" t="s">
        <v>1285</v>
      </c>
      <c r="I10" s="2" t="s">
        <v>500</v>
      </c>
      <c r="J10" s="2" t="s">
        <v>500</v>
      </c>
      <c r="K10" s="2" t="s">
        <v>1286</v>
      </c>
      <c r="L10" s="9" t="s">
        <v>208</v>
      </c>
      <c r="M10" s="9" t="s">
        <v>209</v>
      </c>
    </row>
    <row r="11" spans="1:13" ht="48" customHeight="1" x14ac:dyDescent="0.25">
      <c r="A11" s="2" t="s">
        <v>104</v>
      </c>
      <c r="B11" s="2" t="s">
        <v>1287</v>
      </c>
      <c r="C11" s="2" t="s">
        <v>404</v>
      </c>
      <c r="D11" s="2" t="s">
        <v>113</v>
      </c>
      <c r="E11" s="2" t="s">
        <v>1110</v>
      </c>
      <c r="F11" s="2" t="s">
        <v>497</v>
      </c>
      <c r="G11" s="2" t="s">
        <v>500</v>
      </c>
      <c r="H11" s="2" t="s">
        <v>1288</v>
      </c>
      <c r="I11" s="2" t="s">
        <v>500</v>
      </c>
      <c r="J11" s="2" t="s">
        <v>500</v>
      </c>
      <c r="K11" s="2" t="s">
        <v>511</v>
      </c>
      <c r="L11" s="9" t="s">
        <v>1112</v>
      </c>
      <c r="M11" s="9" t="s">
        <v>1113</v>
      </c>
    </row>
    <row r="12" spans="1:13" ht="48" customHeight="1" x14ac:dyDescent="0.25">
      <c r="A12" s="2" t="s">
        <v>104</v>
      </c>
      <c r="B12" s="2" t="s">
        <v>1289</v>
      </c>
      <c r="C12" s="2" t="s">
        <v>187</v>
      </c>
      <c r="D12" s="2" t="s">
        <v>29</v>
      </c>
      <c r="E12" s="2" t="s">
        <v>182</v>
      </c>
      <c r="F12" s="2" t="s">
        <v>497</v>
      </c>
      <c r="G12" s="2" t="s">
        <v>500</v>
      </c>
      <c r="H12" s="2" t="s">
        <v>1290</v>
      </c>
      <c r="I12" s="2" t="s">
        <v>500</v>
      </c>
      <c r="J12" s="2" t="s">
        <v>510</v>
      </c>
      <c r="K12" s="2" t="s">
        <v>1291</v>
      </c>
      <c r="L12" s="9" t="s">
        <v>190</v>
      </c>
      <c r="M12" s="9" t="s">
        <v>191</v>
      </c>
    </row>
  </sheetData>
  <autoFilter ref="A1:M12" xr:uid="{00000000-0009-0000-0000-000021000000}"/>
  <phoneticPr fontId="4" type="noConversion"/>
  <hyperlinks>
    <hyperlink ref="L2" r:id="rId1" xr:uid="{00000000-0004-0000-2100-000000000000}"/>
    <hyperlink ref="M2" r:id="rId2" xr:uid="{00000000-0004-0000-2100-000001000000}"/>
    <hyperlink ref="L3" r:id="rId3" xr:uid="{00000000-0004-0000-2100-000002000000}"/>
    <hyperlink ref="M3" r:id="rId4" xr:uid="{00000000-0004-0000-2100-000003000000}"/>
    <hyperlink ref="L4" r:id="rId5" xr:uid="{00000000-0004-0000-2100-000004000000}"/>
    <hyperlink ref="M4" r:id="rId6" xr:uid="{00000000-0004-0000-2100-000005000000}"/>
    <hyperlink ref="L5" r:id="rId7" xr:uid="{00000000-0004-0000-2100-000006000000}"/>
    <hyperlink ref="M5" r:id="rId8" xr:uid="{00000000-0004-0000-2100-000007000000}"/>
    <hyperlink ref="L6" r:id="rId9" xr:uid="{00000000-0004-0000-2100-000008000000}"/>
    <hyperlink ref="M6" r:id="rId10" xr:uid="{00000000-0004-0000-2100-000009000000}"/>
    <hyperlink ref="L7" r:id="rId11" xr:uid="{00000000-0004-0000-2100-00000A000000}"/>
    <hyperlink ref="M7" r:id="rId12" xr:uid="{00000000-0004-0000-2100-00000B000000}"/>
    <hyperlink ref="L8" r:id="rId13" xr:uid="{00000000-0004-0000-2100-00000C000000}"/>
    <hyperlink ref="M8" r:id="rId14" xr:uid="{00000000-0004-0000-2100-00000D000000}"/>
    <hyperlink ref="L9" r:id="rId15" xr:uid="{00000000-0004-0000-2100-00000E000000}"/>
    <hyperlink ref="M9" r:id="rId16" xr:uid="{00000000-0004-0000-2100-00000F000000}"/>
    <hyperlink ref="L10" r:id="rId17" xr:uid="{00000000-0004-0000-2100-000010000000}"/>
    <hyperlink ref="M10" r:id="rId18" xr:uid="{00000000-0004-0000-2100-000011000000}"/>
    <hyperlink ref="L11" r:id="rId19" xr:uid="{00000000-0004-0000-2100-000012000000}"/>
    <hyperlink ref="M11" r:id="rId20" xr:uid="{00000000-0004-0000-2100-000013000000}"/>
    <hyperlink ref="L12" r:id="rId21" xr:uid="{00000000-0004-0000-2100-000014000000}"/>
    <hyperlink ref="M12" r:id="rId22" xr:uid="{00000000-0004-0000-2100-000015000000}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2" t="s">
        <v>104</v>
      </c>
      <c r="B2" s="2" t="s">
        <v>1252</v>
      </c>
      <c r="C2" s="2" t="s">
        <v>404</v>
      </c>
      <c r="D2" s="2" t="s">
        <v>113</v>
      </c>
      <c r="E2" s="2" t="s">
        <v>1110</v>
      </c>
      <c r="F2" s="2" t="s">
        <v>497</v>
      </c>
      <c r="G2" s="2" t="s">
        <v>500</v>
      </c>
      <c r="H2" s="2" t="s">
        <v>1253</v>
      </c>
      <c r="I2" s="2" t="s">
        <v>500</v>
      </c>
      <c r="J2" s="2" t="s">
        <v>1254</v>
      </c>
      <c r="K2" s="2" t="s">
        <v>1292</v>
      </c>
      <c r="L2" s="9" t="s">
        <v>1112</v>
      </c>
      <c r="M2" s="9" t="s">
        <v>1113</v>
      </c>
    </row>
    <row r="3" spans="1:13" ht="48" customHeight="1" x14ac:dyDescent="0.25">
      <c r="A3" s="5" t="s">
        <v>62</v>
      </c>
      <c r="B3" s="5" t="s">
        <v>162</v>
      </c>
      <c r="C3" s="5" t="s">
        <v>163</v>
      </c>
      <c r="D3" s="5" t="s">
        <v>29</v>
      </c>
      <c r="E3" s="5" t="s">
        <v>164</v>
      </c>
      <c r="F3" s="5" t="s">
        <v>567</v>
      </c>
      <c r="G3" s="5" t="s">
        <v>500</v>
      </c>
      <c r="H3" s="5" t="s">
        <v>1256</v>
      </c>
      <c r="I3" s="5" t="s">
        <v>500</v>
      </c>
      <c r="J3" s="5" t="s">
        <v>500</v>
      </c>
      <c r="K3" s="5" t="s">
        <v>1293</v>
      </c>
      <c r="L3" s="8" t="s">
        <v>166</v>
      </c>
      <c r="M3" s="8" t="s">
        <v>167</v>
      </c>
    </row>
    <row r="4" spans="1:13" ht="48" customHeight="1" x14ac:dyDescent="0.25">
      <c r="A4" s="2" t="s">
        <v>104</v>
      </c>
      <c r="B4" s="2" t="s">
        <v>111</v>
      </c>
      <c r="C4" s="2" t="s">
        <v>112</v>
      </c>
      <c r="D4" s="2" t="s">
        <v>113</v>
      </c>
      <c r="E4" s="2" t="s">
        <v>114</v>
      </c>
      <c r="F4" s="2" t="s">
        <v>497</v>
      </c>
      <c r="G4" s="2" t="s">
        <v>500</v>
      </c>
      <c r="H4" s="2" t="s">
        <v>1258</v>
      </c>
      <c r="I4" s="2" t="s">
        <v>500</v>
      </c>
      <c r="J4" s="2" t="s">
        <v>696</v>
      </c>
      <c r="K4" s="2" t="s">
        <v>1294</v>
      </c>
      <c r="L4" s="9" t="s">
        <v>116</v>
      </c>
      <c r="M4" s="9" t="s">
        <v>117</v>
      </c>
    </row>
    <row r="5" spans="1:13" ht="48" customHeight="1" x14ac:dyDescent="0.25">
      <c r="A5" s="2" t="s">
        <v>104</v>
      </c>
      <c r="B5" s="2" t="s">
        <v>1260</v>
      </c>
      <c r="C5" s="2" t="s">
        <v>250</v>
      </c>
      <c r="D5" s="2" t="s">
        <v>50</v>
      </c>
      <c r="E5" s="2" t="s">
        <v>281</v>
      </c>
      <c r="F5" s="2" t="s">
        <v>497</v>
      </c>
      <c r="G5" s="2" t="s">
        <v>500</v>
      </c>
      <c r="H5" s="2" t="s">
        <v>1261</v>
      </c>
      <c r="I5" s="2" t="s">
        <v>500</v>
      </c>
      <c r="J5" s="2" t="s">
        <v>1262</v>
      </c>
      <c r="K5" s="2" t="s">
        <v>1295</v>
      </c>
      <c r="L5" s="9" t="s">
        <v>1264</v>
      </c>
      <c r="M5" s="9" t="s">
        <v>1265</v>
      </c>
    </row>
    <row r="6" spans="1:13" ht="48" customHeight="1" x14ac:dyDescent="0.25">
      <c r="A6" s="2" t="s">
        <v>104</v>
      </c>
      <c r="B6" s="2" t="s">
        <v>1266</v>
      </c>
      <c r="C6" s="2" t="s">
        <v>1267</v>
      </c>
      <c r="D6" s="2" t="s">
        <v>79</v>
      </c>
      <c r="E6" s="2" t="s">
        <v>791</v>
      </c>
      <c r="F6" s="2" t="s">
        <v>497</v>
      </c>
      <c r="G6" s="2" t="s">
        <v>500</v>
      </c>
      <c r="H6" s="2" t="s">
        <v>1268</v>
      </c>
      <c r="I6" s="2" t="s">
        <v>500</v>
      </c>
      <c r="J6" s="2" t="s">
        <v>500</v>
      </c>
      <c r="K6" s="2" t="s">
        <v>1296</v>
      </c>
      <c r="L6" s="9" t="s">
        <v>1270</v>
      </c>
      <c r="M6" s="9" t="s">
        <v>1271</v>
      </c>
    </row>
    <row r="7" spans="1:13" ht="48" customHeight="1" x14ac:dyDescent="0.25">
      <c r="A7" s="2" t="s">
        <v>104</v>
      </c>
      <c r="B7" s="2" t="s">
        <v>105</v>
      </c>
      <c r="C7" s="2" t="s">
        <v>647</v>
      </c>
      <c r="D7" s="2" t="s">
        <v>29</v>
      </c>
      <c r="E7" s="2" t="s">
        <v>107</v>
      </c>
      <c r="F7" s="2" t="s">
        <v>567</v>
      </c>
      <c r="G7" s="2" t="s">
        <v>500</v>
      </c>
      <c r="H7" s="2" t="s">
        <v>1268</v>
      </c>
      <c r="I7" s="2" t="s">
        <v>500</v>
      </c>
      <c r="J7" s="2" t="s">
        <v>500</v>
      </c>
      <c r="K7" s="2" t="s">
        <v>1297</v>
      </c>
      <c r="L7" s="9" t="s">
        <v>109</v>
      </c>
      <c r="M7" s="9" t="s">
        <v>110</v>
      </c>
    </row>
    <row r="8" spans="1:13" ht="48" customHeight="1" x14ac:dyDescent="0.25">
      <c r="A8" s="2" t="s">
        <v>104</v>
      </c>
      <c r="B8" s="2" t="s">
        <v>1273</v>
      </c>
      <c r="C8" s="2" t="s">
        <v>1274</v>
      </c>
      <c r="D8" s="2" t="s">
        <v>50</v>
      </c>
      <c r="E8" s="2" t="s">
        <v>144</v>
      </c>
      <c r="F8" s="2" t="s">
        <v>497</v>
      </c>
      <c r="G8" s="2" t="s">
        <v>500</v>
      </c>
      <c r="H8" s="2" t="s">
        <v>1268</v>
      </c>
      <c r="I8" s="2" t="s">
        <v>1275</v>
      </c>
      <c r="J8" s="2" t="s">
        <v>500</v>
      </c>
      <c r="K8" s="2" t="s">
        <v>1298</v>
      </c>
      <c r="L8" s="9" t="s">
        <v>1277</v>
      </c>
      <c r="M8" s="9" t="s">
        <v>1278</v>
      </c>
    </row>
    <row r="9" spans="1:13" ht="48" customHeight="1" x14ac:dyDescent="0.25">
      <c r="A9" s="2" t="s">
        <v>104</v>
      </c>
      <c r="B9" s="2" t="s">
        <v>1279</v>
      </c>
      <c r="C9" s="2" t="s">
        <v>1280</v>
      </c>
      <c r="D9" s="2" t="s">
        <v>50</v>
      </c>
      <c r="E9" s="2" t="s">
        <v>281</v>
      </c>
      <c r="F9" s="2" t="s">
        <v>497</v>
      </c>
      <c r="G9" s="2" t="s">
        <v>500</v>
      </c>
      <c r="H9" s="2" t="s">
        <v>1268</v>
      </c>
      <c r="I9" s="2" t="s">
        <v>500</v>
      </c>
      <c r="J9" s="2" t="s">
        <v>500</v>
      </c>
      <c r="K9" s="2" t="s">
        <v>1299</v>
      </c>
      <c r="L9" s="9" t="s">
        <v>1282</v>
      </c>
      <c r="M9" s="9" t="s">
        <v>1283</v>
      </c>
    </row>
    <row r="10" spans="1:13" ht="48" customHeight="1" x14ac:dyDescent="0.25">
      <c r="A10" s="2" t="s">
        <v>104</v>
      </c>
      <c r="B10" s="2" t="s">
        <v>1284</v>
      </c>
      <c r="C10" s="2" t="s">
        <v>85</v>
      </c>
      <c r="D10" s="2" t="s">
        <v>50</v>
      </c>
      <c r="E10" s="2" t="s">
        <v>198</v>
      </c>
      <c r="F10" s="2" t="s">
        <v>497</v>
      </c>
      <c r="G10" s="2" t="s">
        <v>500</v>
      </c>
      <c r="H10" s="2" t="s">
        <v>1285</v>
      </c>
      <c r="I10" s="2" t="s">
        <v>500</v>
      </c>
      <c r="J10" s="2" t="s">
        <v>500</v>
      </c>
      <c r="K10" s="2" t="s">
        <v>1300</v>
      </c>
      <c r="L10" s="9" t="s">
        <v>208</v>
      </c>
      <c r="M10" s="9" t="s">
        <v>209</v>
      </c>
    </row>
    <row r="11" spans="1:13" ht="48" customHeight="1" x14ac:dyDescent="0.25">
      <c r="A11" s="2" t="s">
        <v>104</v>
      </c>
      <c r="B11" s="2" t="s">
        <v>1287</v>
      </c>
      <c r="C11" s="2" t="s">
        <v>404</v>
      </c>
      <c r="D11" s="2" t="s">
        <v>113</v>
      </c>
      <c r="E11" s="2" t="s">
        <v>1110</v>
      </c>
      <c r="F11" s="2" t="s">
        <v>497</v>
      </c>
      <c r="G11" s="2" t="s">
        <v>500</v>
      </c>
      <c r="H11" s="2" t="s">
        <v>1288</v>
      </c>
      <c r="I11" s="2" t="s">
        <v>500</v>
      </c>
      <c r="J11" s="2" t="s">
        <v>500</v>
      </c>
      <c r="K11" s="2" t="s">
        <v>1301</v>
      </c>
      <c r="L11" s="9" t="s">
        <v>1112</v>
      </c>
      <c r="M11" s="9" t="s">
        <v>1113</v>
      </c>
    </row>
    <row r="12" spans="1:13" ht="48" customHeight="1" x14ac:dyDescent="0.25">
      <c r="A12" s="2" t="s">
        <v>104</v>
      </c>
      <c r="B12" s="2" t="s">
        <v>1289</v>
      </c>
      <c r="C12" s="2" t="s">
        <v>187</v>
      </c>
      <c r="D12" s="2" t="s">
        <v>29</v>
      </c>
      <c r="E12" s="2" t="s">
        <v>182</v>
      </c>
      <c r="F12" s="2" t="s">
        <v>497</v>
      </c>
      <c r="G12" s="2" t="s">
        <v>500</v>
      </c>
      <c r="H12" s="2" t="s">
        <v>1290</v>
      </c>
      <c r="I12" s="2" t="s">
        <v>500</v>
      </c>
      <c r="J12" s="2" t="s">
        <v>510</v>
      </c>
      <c r="K12" s="2" t="s">
        <v>1302</v>
      </c>
      <c r="L12" s="9" t="s">
        <v>190</v>
      </c>
      <c r="M12" s="9" t="s">
        <v>191</v>
      </c>
    </row>
  </sheetData>
  <autoFilter ref="A1:M12" xr:uid="{00000000-0009-0000-0000-000022000000}"/>
  <phoneticPr fontId="4" type="noConversion"/>
  <hyperlinks>
    <hyperlink ref="L2" r:id="rId1" xr:uid="{00000000-0004-0000-2200-000000000000}"/>
    <hyperlink ref="M2" r:id="rId2" xr:uid="{00000000-0004-0000-2200-000001000000}"/>
    <hyperlink ref="L3" r:id="rId3" xr:uid="{00000000-0004-0000-2200-000002000000}"/>
    <hyperlink ref="M3" r:id="rId4" xr:uid="{00000000-0004-0000-2200-000003000000}"/>
    <hyperlink ref="L4" r:id="rId5" xr:uid="{00000000-0004-0000-2200-000004000000}"/>
    <hyperlink ref="M4" r:id="rId6" xr:uid="{00000000-0004-0000-2200-000005000000}"/>
    <hyperlink ref="L5" r:id="rId7" xr:uid="{00000000-0004-0000-2200-000006000000}"/>
    <hyperlink ref="M5" r:id="rId8" xr:uid="{00000000-0004-0000-2200-000007000000}"/>
    <hyperlink ref="L6" r:id="rId9" xr:uid="{00000000-0004-0000-2200-000008000000}"/>
    <hyperlink ref="M6" r:id="rId10" xr:uid="{00000000-0004-0000-2200-000009000000}"/>
    <hyperlink ref="L7" r:id="rId11" xr:uid="{00000000-0004-0000-2200-00000A000000}"/>
    <hyperlink ref="M7" r:id="rId12" xr:uid="{00000000-0004-0000-2200-00000B000000}"/>
    <hyperlink ref="L8" r:id="rId13" xr:uid="{00000000-0004-0000-2200-00000C000000}"/>
    <hyperlink ref="M8" r:id="rId14" xr:uid="{00000000-0004-0000-2200-00000D000000}"/>
    <hyperlink ref="L9" r:id="rId15" xr:uid="{00000000-0004-0000-2200-00000E000000}"/>
    <hyperlink ref="M9" r:id="rId16" xr:uid="{00000000-0004-0000-2200-00000F000000}"/>
    <hyperlink ref="L10" r:id="rId17" xr:uid="{00000000-0004-0000-2200-000010000000}"/>
    <hyperlink ref="M10" r:id="rId18" xr:uid="{00000000-0004-0000-2200-000011000000}"/>
    <hyperlink ref="L11" r:id="rId19" xr:uid="{00000000-0004-0000-2200-000012000000}"/>
    <hyperlink ref="M11" r:id="rId20" xr:uid="{00000000-0004-0000-2200-000013000000}"/>
    <hyperlink ref="L12" r:id="rId21" xr:uid="{00000000-0004-0000-2200-000014000000}"/>
    <hyperlink ref="M12" r:id="rId22" xr:uid="{00000000-0004-0000-2200-000015000000}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5" t="s">
        <v>62</v>
      </c>
      <c r="B2" s="5" t="s">
        <v>162</v>
      </c>
      <c r="C2" s="5" t="s">
        <v>163</v>
      </c>
      <c r="D2" s="5" t="s">
        <v>29</v>
      </c>
      <c r="E2" s="5" t="s">
        <v>164</v>
      </c>
      <c r="F2" s="5" t="s">
        <v>567</v>
      </c>
      <c r="G2" s="5" t="s">
        <v>500</v>
      </c>
      <c r="H2" s="5" t="s">
        <v>1303</v>
      </c>
      <c r="I2" s="5" t="s">
        <v>500</v>
      </c>
      <c r="J2" s="5" t="s">
        <v>500</v>
      </c>
      <c r="K2" s="5" t="s">
        <v>1304</v>
      </c>
      <c r="L2" s="8" t="s">
        <v>166</v>
      </c>
      <c r="M2" s="8" t="s">
        <v>167</v>
      </c>
    </row>
    <row r="3" spans="1:13" ht="48" customHeight="1" x14ac:dyDescent="0.25">
      <c r="A3" s="5" t="s">
        <v>62</v>
      </c>
      <c r="B3" s="5" t="s">
        <v>111</v>
      </c>
      <c r="C3" s="5" t="s">
        <v>112</v>
      </c>
      <c r="D3" s="5" t="s">
        <v>113</v>
      </c>
      <c r="E3" s="5" t="s">
        <v>114</v>
      </c>
      <c r="F3" s="5" t="s">
        <v>497</v>
      </c>
      <c r="G3" s="5" t="s">
        <v>500</v>
      </c>
      <c r="H3" s="5" t="s">
        <v>1305</v>
      </c>
      <c r="I3" s="5" t="s">
        <v>500</v>
      </c>
      <c r="J3" s="5" t="s">
        <v>696</v>
      </c>
      <c r="K3" s="5" t="s">
        <v>1306</v>
      </c>
      <c r="L3" s="8" t="s">
        <v>116</v>
      </c>
      <c r="M3" s="8" t="s">
        <v>117</v>
      </c>
    </row>
    <row r="4" spans="1:13" ht="48" customHeight="1" x14ac:dyDescent="0.25">
      <c r="A4" s="5" t="s">
        <v>62</v>
      </c>
      <c r="B4" s="5" t="s">
        <v>105</v>
      </c>
      <c r="C4" s="5" t="s">
        <v>647</v>
      </c>
      <c r="D4" s="5" t="s">
        <v>29</v>
      </c>
      <c r="E4" s="5" t="s">
        <v>107</v>
      </c>
      <c r="F4" s="5" t="s">
        <v>567</v>
      </c>
      <c r="G4" s="5" t="s">
        <v>500</v>
      </c>
      <c r="H4" s="5" t="s">
        <v>1307</v>
      </c>
      <c r="I4" s="5" t="s">
        <v>500</v>
      </c>
      <c r="J4" s="5" t="s">
        <v>500</v>
      </c>
      <c r="K4" s="5" t="s">
        <v>1308</v>
      </c>
      <c r="L4" s="8" t="s">
        <v>109</v>
      </c>
      <c r="M4" s="8" t="s">
        <v>110</v>
      </c>
    </row>
    <row r="5" spans="1:13" ht="48" customHeight="1" x14ac:dyDescent="0.25">
      <c r="A5" s="5" t="s">
        <v>62</v>
      </c>
      <c r="B5" s="5" t="s">
        <v>1260</v>
      </c>
      <c r="C5" s="5" t="s">
        <v>250</v>
      </c>
      <c r="D5" s="5" t="s">
        <v>50</v>
      </c>
      <c r="E5" s="5" t="s">
        <v>281</v>
      </c>
      <c r="F5" s="5" t="s">
        <v>497</v>
      </c>
      <c r="G5" s="5" t="s">
        <v>500</v>
      </c>
      <c r="H5" s="5" t="s">
        <v>1309</v>
      </c>
      <c r="I5" s="5" t="s">
        <v>500</v>
      </c>
      <c r="J5" s="5" t="s">
        <v>1262</v>
      </c>
      <c r="K5" s="5" t="s">
        <v>1310</v>
      </c>
      <c r="L5" s="8" t="s">
        <v>1264</v>
      </c>
      <c r="M5" s="8" t="s">
        <v>1265</v>
      </c>
    </row>
    <row r="6" spans="1:13" ht="48" customHeight="1" x14ac:dyDescent="0.25">
      <c r="A6" s="5" t="s">
        <v>62</v>
      </c>
      <c r="B6" s="5" t="s">
        <v>1311</v>
      </c>
      <c r="C6" s="5" t="s">
        <v>216</v>
      </c>
      <c r="D6" s="5" t="s">
        <v>79</v>
      </c>
      <c r="E6" s="5" t="s">
        <v>234</v>
      </c>
      <c r="F6" s="5" t="s">
        <v>497</v>
      </c>
      <c r="G6" s="5" t="s">
        <v>500</v>
      </c>
      <c r="H6" s="5" t="s">
        <v>1312</v>
      </c>
      <c r="I6" s="5" t="s">
        <v>500</v>
      </c>
      <c r="J6" s="5" t="s">
        <v>1313</v>
      </c>
      <c r="K6" s="5" t="s">
        <v>1314</v>
      </c>
      <c r="L6" s="8" t="s">
        <v>1315</v>
      </c>
      <c r="M6" s="8" t="s">
        <v>1265</v>
      </c>
    </row>
    <row r="7" spans="1:13" ht="48" customHeight="1" x14ac:dyDescent="0.25">
      <c r="A7" s="5" t="s">
        <v>62</v>
      </c>
      <c r="B7" s="5" t="s">
        <v>1316</v>
      </c>
      <c r="C7" s="5" t="s">
        <v>1267</v>
      </c>
      <c r="D7" s="5" t="s">
        <v>113</v>
      </c>
      <c r="E7" s="5" t="s">
        <v>251</v>
      </c>
      <c r="F7" s="5" t="s">
        <v>497</v>
      </c>
      <c r="G7" s="5" t="s">
        <v>500</v>
      </c>
      <c r="H7" s="5" t="s">
        <v>1307</v>
      </c>
      <c r="I7" s="5" t="s">
        <v>500</v>
      </c>
      <c r="J7" s="5" t="s">
        <v>500</v>
      </c>
      <c r="K7" s="5" t="s">
        <v>1317</v>
      </c>
      <c r="L7" s="8" t="s">
        <v>1318</v>
      </c>
      <c r="M7" s="8" t="s">
        <v>1271</v>
      </c>
    </row>
    <row r="8" spans="1:13" ht="48" customHeight="1" x14ac:dyDescent="0.25">
      <c r="A8" s="5" t="s">
        <v>62</v>
      </c>
      <c r="B8" s="5" t="s">
        <v>1266</v>
      </c>
      <c r="C8" s="5" t="s">
        <v>1267</v>
      </c>
      <c r="D8" s="5" t="s">
        <v>79</v>
      </c>
      <c r="E8" s="5" t="s">
        <v>791</v>
      </c>
      <c r="F8" s="5" t="s">
        <v>497</v>
      </c>
      <c r="G8" s="5" t="s">
        <v>500</v>
      </c>
      <c r="H8" s="5" t="s">
        <v>1307</v>
      </c>
      <c r="I8" s="5" t="s">
        <v>500</v>
      </c>
      <c r="J8" s="5" t="s">
        <v>500</v>
      </c>
      <c r="K8" s="5" t="s">
        <v>1319</v>
      </c>
      <c r="L8" s="8" t="s">
        <v>1270</v>
      </c>
      <c r="M8" s="8" t="s">
        <v>1271</v>
      </c>
    </row>
    <row r="9" spans="1:13" ht="48" customHeight="1" x14ac:dyDescent="0.25">
      <c r="A9" s="5" t="s">
        <v>62</v>
      </c>
      <c r="B9" s="5" t="s">
        <v>1252</v>
      </c>
      <c r="C9" s="5" t="s">
        <v>404</v>
      </c>
      <c r="D9" s="5" t="s">
        <v>113</v>
      </c>
      <c r="E9" s="5" t="s">
        <v>1110</v>
      </c>
      <c r="F9" s="5" t="s">
        <v>497</v>
      </c>
      <c r="G9" s="5" t="s">
        <v>500</v>
      </c>
      <c r="H9" s="5" t="s">
        <v>1307</v>
      </c>
      <c r="I9" s="5" t="s">
        <v>500</v>
      </c>
      <c r="J9" s="5" t="s">
        <v>500</v>
      </c>
      <c r="K9" s="5" t="s">
        <v>1320</v>
      </c>
      <c r="L9" s="8" t="s">
        <v>1112</v>
      </c>
      <c r="M9" s="8" t="s">
        <v>1113</v>
      </c>
    </row>
    <row r="10" spans="1:13" ht="48" customHeight="1" x14ac:dyDescent="0.25">
      <c r="A10" s="5" t="s">
        <v>62</v>
      </c>
      <c r="B10" s="5" t="s">
        <v>1279</v>
      </c>
      <c r="C10" s="5" t="s">
        <v>1280</v>
      </c>
      <c r="D10" s="5" t="s">
        <v>50</v>
      </c>
      <c r="E10" s="5" t="s">
        <v>281</v>
      </c>
      <c r="F10" s="5" t="s">
        <v>497</v>
      </c>
      <c r="G10" s="5" t="s">
        <v>500</v>
      </c>
      <c r="H10" s="5" t="s">
        <v>1307</v>
      </c>
      <c r="I10" s="5" t="s">
        <v>500</v>
      </c>
      <c r="J10" s="5" t="s">
        <v>500</v>
      </c>
      <c r="K10" s="5" t="s">
        <v>1321</v>
      </c>
      <c r="L10" s="8" t="s">
        <v>1282</v>
      </c>
      <c r="M10" s="8" t="s">
        <v>1283</v>
      </c>
    </row>
    <row r="11" spans="1:13" ht="48" customHeight="1" x14ac:dyDescent="0.25">
      <c r="A11" s="5" t="s">
        <v>62</v>
      </c>
      <c r="B11" s="5" t="s">
        <v>1284</v>
      </c>
      <c r="C11" s="5" t="s">
        <v>85</v>
      </c>
      <c r="D11" s="5" t="s">
        <v>50</v>
      </c>
      <c r="E11" s="5" t="s">
        <v>198</v>
      </c>
      <c r="F11" s="5" t="s">
        <v>497</v>
      </c>
      <c r="G11" s="5" t="s">
        <v>500</v>
      </c>
      <c r="H11" s="5" t="s">
        <v>1307</v>
      </c>
      <c r="I11" s="5" t="s">
        <v>500</v>
      </c>
      <c r="J11" s="5" t="s">
        <v>500</v>
      </c>
      <c r="K11" s="5" t="s">
        <v>1286</v>
      </c>
      <c r="L11" s="8" t="s">
        <v>208</v>
      </c>
      <c r="M11" s="8" t="s">
        <v>209</v>
      </c>
    </row>
    <row r="12" spans="1:13" ht="48" customHeight="1" x14ac:dyDescent="0.25">
      <c r="A12" s="5" t="s">
        <v>62</v>
      </c>
      <c r="B12" s="5" t="s">
        <v>1273</v>
      </c>
      <c r="C12" s="5" t="s">
        <v>1274</v>
      </c>
      <c r="D12" s="5" t="s">
        <v>50</v>
      </c>
      <c r="E12" s="5" t="s">
        <v>144</v>
      </c>
      <c r="F12" s="5" t="s">
        <v>497</v>
      </c>
      <c r="G12" s="5" t="s">
        <v>500</v>
      </c>
      <c r="H12" s="5" t="s">
        <v>1307</v>
      </c>
      <c r="I12" s="5" t="s">
        <v>1275</v>
      </c>
      <c r="J12" s="5" t="s">
        <v>500</v>
      </c>
      <c r="K12" s="5" t="s">
        <v>1276</v>
      </c>
      <c r="L12" s="8" t="s">
        <v>1277</v>
      </c>
      <c r="M12" s="8" t="s">
        <v>1278</v>
      </c>
    </row>
  </sheetData>
  <autoFilter ref="A1:M12" xr:uid="{00000000-0009-0000-0000-000023000000}"/>
  <phoneticPr fontId="4" type="noConversion"/>
  <hyperlinks>
    <hyperlink ref="L2" r:id="rId1" xr:uid="{00000000-0004-0000-2300-000000000000}"/>
    <hyperlink ref="M2" r:id="rId2" xr:uid="{00000000-0004-0000-2300-000001000000}"/>
    <hyperlink ref="L3" r:id="rId3" xr:uid="{00000000-0004-0000-2300-000002000000}"/>
    <hyperlink ref="M3" r:id="rId4" xr:uid="{00000000-0004-0000-2300-000003000000}"/>
    <hyperlink ref="L4" r:id="rId5" xr:uid="{00000000-0004-0000-2300-000004000000}"/>
    <hyperlink ref="M4" r:id="rId6" xr:uid="{00000000-0004-0000-2300-000005000000}"/>
    <hyperlink ref="L5" r:id="rId7" xr:uid="{00000000-0004-0000-2300-000006000000}"/>
    <hyperlink ref="M5" r:id="rId8" xr:uid="{00000000-0004-0000-2300-000007000000}"/>
    <hyperlink ref="L6" r:id="rId9" xr:uid="{00000000-0004-0000-2300-000008000000}"/>
    <hyperlink ref="M6" r:id="rId10" xr:uid="{00000000-0004-0000-2300-000009000000}"/>
    <hyperlink ref="L7" r:id="rId11" xr:uid="{00000000-0004-0000-2300-00000A000000}"/>
    <hyperlink ref="M7" r:id="rId12" xr:uid="{00000000-0004-0000-2300-00000B000000}"/>
    <hyperlink ref="L8" r:id="rId13" xr:uid="{00000000-0004-0000-2300-00000C000000}"/>
    <hyperlink ref="M8" r:id="rId14" xr:uid="{00000000-0004-0000-2300-00000D000000}"/>
    <hyperlink ref="L9" r:id="rId15" xr:uid="{00000000-0004-0000-2300-00000E000000}"/>
    <hyperlink ref="M9" r:id="rId16" xr:uid="{00000000-0004-0000-2300-00000F000000}"/>
    <hyperlink ref="L10" r:id="rId17" xr:uid="{00000000-0004-0000-2300-000010000000}"/>
    <hyperlink ref="M10" r:id="rId18" xr:uid="{00000000-0004-0000-2300-000011000000}"/>
    <hyperlink ref="L11" r:id="rId19" xr:uid="{00000000-0004-0000-2300-000012000000}"/>
    <hyperlink ref="M11" r:id="rId20" xr:uid="{00000000-0004-0000-2300-000013000000}"/>
    <hyperlink ref="L12" r:id="rId21" xr:uid="{00000000-0004-0000-2300-000014000000}"/>
    <hyperlink ref="M12" r:id="rId22" xr:uid="{00000000-0004-0000-2300-000015000000}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M12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22" customWidth="1"/>
    <col min="2" max="2" width="30" customWidth="1"/>
    <col min="3" max="3" width="32" customWidth="1"/>
    <col min="4" max="4" width="16" customWidth="1"/>
    <col min="5" max="5" width="10" customWidth="1"/>
    <col min="6" max="6" width="14" customWidth="1"/>
    <col min="7" max="7" width="9" customWidth="1"/>
    <col min="8" max="8" width="18" customWidth="1"/>
    <col min="9" max="9" width="9" customWidth="1"/>
    <col min="10" max="10" width="10" customWidth="1"/>
    <col min="11" max="11" width="60" customWidth="1"/>
    <col min="12" max="13" width="50" customWidth="1"/>
  </cols>
  <sheetData>
    <row r="1" spans="1:13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493</v>
      </c>
      <c r="G1" s="1" t="s">
        <v>494</v>
      </c>
      <c r="H1" s="1" t="s">
        <v>483</v>
      </c>
      <c r="I1" s="1" t="s">
        <v>495</v>
      </c>
      <c r="J1" s="1" t="s">
        <v>496</v>
      </c>
      <c r="K1" s="1" t="s">
        <v>5</v>
      </c>
      <c r="L1" s="1" t="s">
        <v>6</v>
      </c>
      <c r="M1" s="1" t="s">
        <v>7</v>
      </c>
    </row>
    <row r="2" spans="1:13" ht="48" customHeight="1" x14ac:dyDescent="0.25">
      <c r="A2" s="5" t="s">
        <v>62</v>
      </c>
      <c r="B2" s="5" t="s">
        <v>162</v>
      </c>
      <c r="C2" s="5" t="s">
        <v>163</v>
      </c>
      <c r="D2" s="5" t="s">
        <v>29</v>
      </c>
      <c r="E2" s="5" t="s">
        <v>164</v>
      </c>
      <c r="F2" s="5" t="s">
        <v>567</v>
      </c>
      <c r="G2" s="5" t="s">
        <v>500</v>
      </c>
      <c r="H2" s="5" t="s">
        <v>1322</v>
      </c>
      <c r="I2" s="5" t="s">
        <v>500</v>
      </c>
      <c r="J2" s="5" t="s">
        <v>500</v>
      </c>
      <c r="K2" s="5" t="s">
        <v>1304</v>
      </c>
      <c r="L2" s="8" t="s">
        <v>166</v>
      </c>
      <c r="M2" s="8" t="s">
        <v>167</v>
      </c>
    </row>
    <row r="3" spans="1:13" ht="48" customHeight="1" x14ac:dyDescent="0.25">
      <c r="A3" s="5" t="s">
        <v>62</v>
      </c>
      <c r="B3" s="5" t="s">
        <v>111</v>
      </c>
      <c r="C3" s="5" t="s">
        <v>112</v>
      </c>
      <c r="D3" s="5" t="s">
        <v>113</v>
      </c>
      <c r="E3" s="5" t="s">
        <v>114</v>
      </c>
      <c r="F3" s="5" t="s">
        <v>497</v>
      </c>
      <c r="G3" s="5" t="s">
        <v>500</v>
      </c>
      <c r="H3" s="5" t="s">
        <v>1323</v>
      </c>
      <c r="I3" s="5" t="s">
        <v>500</v>
      </c>
      <c r="J3" s="5" t="s">
        <v>696</v>
      </c>
      <c r="K3" s="5" t="s">
        <v>1324</v>
      </c>
      <c r="L3" s="8" t="s">
        <v>116</v>
      </c>
      <c r="M3" s="8" t="s">
        <v>117</v>
      </c>
    </row>
    <row r="4" spans="1:13" ht="48" customHeight="1" x14ac:dyDescent="0.25">
      <c r="A4" s="5" t="s">
        <v>62</v>
      </c>
      <c r="B4" s="5" t="s">
        <v>1260</v>
      </c>
      <c r="C4" s="5" t="s">
        <v>250</v>
      </c>
      <c r="D4" s="5" t="s">
        <v>50</v>
      </c>
      <c r="E4" s="5" t="s">
        <v>281</v>
      </c>
      <c r="F4" s="5" t="s">
        <v>497</v>
      </c>
      <c r="G4" s="5" t="s">
        <v>500</v>
      </c>
      <c r="H4" s="5" t="s">
        <v>1325</v>
      </c>
      <c r="I4" s="5" t="s">
        <v>500</v>
      </c>
      <c r="J4" s="5" t="s">
        <v>1262</v>
      </c>
      <c r="K4" s="5" t="s">
        <v>1326</v>
      </c>
      <c r="L4" s="8" t="s">
        <v>1264</v>
      </c>
      <c r="M4" s="8" t="s">
        <v>1265</v>
      </c>
    </row>
    <row r="5" spans="1:13" ht="48" customHeight="1" x14ac:dyDescent="0.25">
      <c r="A5" s="5" t="s">
        <v>62</v>
      </c>
      <c r="B5" s="5" t="s">
        <v>105</v>
      </c>
      <c r="C5" s="5" t="s">
        <v>647</v>
      </c>
      <c r="D5" s="5" t="s">
        <v>29</v>
      </c>
      <c r="E5" s="5" t="s">
        <v>107</v>
      </c>
      <c r="F5" s="5" t="s">
        <v>567</v>
      </c>
      <c r="G5" s="5" t="s">
        <v>500</v>
      </c>
      <c r="H5" s="5" t="s">
        <v>1327</v>
      </c>
      <c r="I5" s="5" t="s">
        <v>500</v>
      </c>
      <c r="J5" s="5" t="s">
        <v>500</v>
      </c>
      <c r="K5" s="5" t="s">
        <v>1272</v>
      </c>
      <c r="L5" s="8" t="s">
        <v>109</v>
      </c>
      <c r="M5" s="8" t="s">
        <v>110</v>
      </c>
    </row>
    <row r="6" spans="1:13" ht="48" customHeight="1" x14ac:dyDescent="0.25">
      <c r="A6" s="5" t="s">
        <v>62</v>
      </c>
      <c r="B6" s="5" t="s">
        <v>1266</v>
      </c>
      <c r="C6" s="5" t="s">
        <v>1267</v>
      </c>
      <c r="D6" s="5" t="s">
        <v>79</v>
      </c>
      <c r="E6" s="5" t="s">
        <v>791</v>
      </c>
      <c r="F6" s="5" t="s">
        <v>497</v>
      </c>
      <c r="G6" s="5" t="s">
        <v>500</v>
      </c>
      <c r="H6" s="5" t="s">
        <v>1327</v>
      </c>
      <c r="I6" s="5" t="s">
        <v>500</v>
      </c>
      <c r="J6" s="5" t="s">
        <v>500</v>
      </c>
      <c r="K6" s="5" t="s">
        <v>1269</v>
      </c>
      <c r="L6" s="8" t="s">
        <v>1270</v>
      </c>
      <c r="M6" s="8" t="s">
        <v>1271</v>
      </c>
    </row>
    <row r="7" spans="1:13" ht="48" customHeight="1" x14ac:dyDescent="0.25">
      <c r="A7" s="5" t="s">
        <v>62</v>
      </c>
      <c r="B7" s="5" t="s">
        <v>1273</v>
      </c>
      <c r="C7" s="5" t="s">
        <v>1274</v>
      </c>
      <c r="D7" s="5" t="s">
        <v>50</v>
      </c>
      <c r="E7" s="5" t="s">
        <v>144</v>
      </c>
      <c r="F7" s="5" t="s">
        <v>497</v>
      </c>
      <c r="G7" s="5" t="s">
        <v>500</v>
      </c>
      <c r="H7" s="5" t="s">
        <v>1327</v>
      </c>
      <c r="I7" s="5" t="s">
        <v>1275</v>
      </c>
      <c r="J7" s="5" t="s">
        <v>500</v>
      </c>
      <c r="K7" s="5" t="s">
        <v>1276</v>
      </c>
      <c r="L7" s="8" t="s">
        <v>1277</v>
      </c>
      <c r="M7" s="8" t="s">
        <v>1278</v>
      </c>
    </row>
    <row r="8" spans="1:13" ht="48" customHeight="1" x14ac:dyDescent="0.25">
      <c r="A8" s="5" t="s">
        <v>62</v>
      </c>
      <c r="B8" s="5" t="s">
        <v>1252</v>
      </c>
      <c r="C8" s="5" t="s">
        <v>404</v>
      </c>
      <c r="D8" s="5" t="s">
        <v>113</v>
      </c>
      <c r="E8" s="5" t="s">
        <v>1110</v>
      </c>
      <c r="F8" s="5" t="s">
        <v>497</v>
      </c>
      <c r="G8" s="5" t="s">
        <v>500</v>
      </c>
      <c r="H8" s="5" t="s">
        <v>1327</v>
      </c>
      <c r="I8" s="5" t="s">
        <v>500</v>
      </c>
      <c r="J8" s="5" t="s">
        <v>500</v>
      </c>
      <c r="K8" s="5" t="s">
        <v>1320</v>
      </c>
      <c r="L8" s="8" t="s">
        <v>1112</v>
      </c>
      <c r="M8" s="8" t="s">
        <v>1113</v>
      </c>
    </row>
    <row r="9" spans="1:13" ht="48" customHeight="1" x14ac:dyDescent="0.25">
      <c r="A9" s="5" t="s">
        <v>62</v>
      </c>
      <c r="B9" s="5" t="s">
        <v>1316</v>
      </c>
      <c r="C9" s="5" t="s">
        <v>1267</v>
      </c>
      <c r="D9" s="5" t="s">
        <v>113</v>
      </c>
      <c r="E9" s="5" t="s">
        <v>251</v>
      </c>
      <c r="F9" s="5" t="s">
        <v>497</v>
      </c>
      <c r="G9" s="5" t="s">
        <v>500</v>
      </c>
      <c r="H9" s="5" t="s">
        <v>1327</v>
      </c>
      <c r="I9" s="5" t="s">
        <v>500</v>
      </c>
      <c r="J9" s="5" t="s">
        <v>500</v>
      </c>
      <c r="K9" s="5" t="s">
        <v>1317</v>
      </c>
      <c r="L9" s="8" t="s">
        <v>1318</v>
      </c>
      <c r="M9" s="8" t="s">
        <v>1271</v>
      </c>
    </row>
    <row r="10" spans="1:13" ht="48" customHeight="1" x14ac:dyDescent="0.25">
      <c r="A10" s="5" t="s">
        <v>62</v>
      </c>
      <c r="B10" s="5" t="s">
        <v>1284</v>
      </c>
      <c r="C10" s="5" t="s">
        <v>85</v>
      </c>
      <c r="D10" s="5" t="s">
        <v>50</v>
      </c>
      <c r="E10" s="5" t="s">
        <v>198</v>
      </c>
      <c r="F10" s="5" t="s">
        <v>497</v>
      </c>
      <c r="G10" s="5" t="s">
        <v>500</v>
      </c>
      <c r="H10" s="5" t="s">
        <v>1327</v>
      </c>
      <c r="I10" s="5" t="s">
        <v>500</v>
      </c>
      <c r="J10" s="5" t="s">
        <v>500</v>
      </c>
      <c r="K10" s="5" t="s">
        <v>1286</v>
      </c>
      <c r="L10" s="8" t="s">
        <v>208</v>
      </c>
      <c r="M10" s="8" t="s">
        <v>209</v>
      </c>
    </row>
    <row r="11" spans="1:13" ht="48" customHeight="1" x14ac:dyDescent="0.25">
      <c r="A11" s="5" t="s">
        <v>62</v>
      </c>
      <c r="B11" s="5" t="s">
        <v>1279</v>
      </c>
      <c r="C11" s="5" t="s">
        <v>1280</v>
      </c>
      <c r="D11" s="5" t="s">
        <v>50</v>
      </c>
      <c r="E11" s="5" t="s">
        <v>281</v>
      </c>
      <c r="F11" s="5" t="s">
        <v>497</v>
      </c>
      <c r="G11" s="5" t="s">
        <v>500</v>
      </c>
      <c r="H11" s="5" t="s">
        <v>1327</v>
      </c>
      <c r="I11" s="5" t="s">
        <v>500</v>
      </c>
      <c r="J11" s="5" t="s">
        <v>500</v>
      </c>
      <c r="K11" s="5" t="s">
        <v>1321</v>
      </c>
      <c r="L11" s="8" t="s">
        <v>1282</v>
      </c>
      <c r="M11" s="8" t="s">
        <v>1283</v>
      </c>
    </row>
    <row r="12" spans="1:13" ht="48" customHeight="1" x14ac:dyDescent="0.25">
      <c r="A12" s="5" t="s">
        <v>62</v>
      </c>
      <c r="B12" s="5" t="s">
        <v>1328</v>
      </c>
      <c r="C12" s="5" t="s">
        <v>36</v>
      </c>
      <c r="D12" s="5" t="s">
        <v>29</v>
      </c>
      <c r="E12" s="5" t="s">
        <v>172</v>
      </c>
      <c r="F12" s="5" t="s">
        <v>567</v>
      </c>
      <c r="G12" s="5" t="s">
        <v>500</v>
      </c>
      <c r="H12" s="5" t="s">
        <v>1327</v>
      </c>
      <c r="I12" s="5" t="s">
        <v>500</v>
      </c>
      <c r="J12" s="5" t="s">
        <v>500</v>
      </c>
      <c r="K12" s="5" t="s">
        <v>1329</v>
      </c>
      <c r="L12" s="8" t="s">
        <v>1170</v>
      </c>
      <c r="M12" s="8" t="s">
        <v>237</v>
      </c>
    </row>
  </sheetData>
  <autoFilter ref="A1:M12" xr:uid="{00000000-0009-0000-0000-000024000000}"/>
  <phoneticPr fontId="4" type="noConversion"/>
  <hyperlinks>
    <hyperlink ref="L2" r:id="rId1" xr:uid="{00000000-0004-0000-2400-000000000000}"/>
    <hyperlink ref="M2" r:id="rId2" xr:uid="{00000000-0004-0000-2400-000001000000}"/>
    <hyperlink ref="L3" r:id="rId3" xr:uid="{00000000-0004-0000-2400-000002000000}"/>
    <hyperlink ref="M3" r:id="rId4" xr:uid="{00000000-0004-0000-2400-000003000000}"/>
    <hyperlink ref="L4" r:id="rId5" xr:uid="{00000000-0004-0000-2400-000004000000}"/>
    <hyperlink ref="M4" r:id="rId6" xr:uid="{00000000-0004-0000-2400-000005000000}"/>
    <hyperlink ref="L5" r:id="rId7" xr:uid="{00000000-0004-0000-2400-000006000000}"/>
    <hyperlink ref="M5" r:id="rId8" xr:uid="{00000000-0004-0000-2400-000007000000}"/>
    <hyperlink ref="L6" r:id="rId9" xr:uid="{00000000-0004-0000-2400-000008000000}"/>
    <hyperlink ref="M6" r:id="rId10" xr:uid="{00000000-0004-0000-2400-000009000000}"/>
    <hyperlink ref="L7" r:id="rId11" xr:uid="{00000000-0004-0000-2400-00000A000000}"/>
    <hyperlink ref="M7" r:id="rId12" xr:uid="{00000000-0004-0000-2400-00000B000000}"/>
    <hyperlink ref="L8" r:id="rId13" xr:uid="{00000000-0004-0000-2400-00000C000000}"/>
    <hyperlink ref="M8" r:id="rId14" xr:uid="{00000000-0004-0000-2400-00000D000000}"/>
    <hyperlink ref="L9" r:id="rId15" xr:uid="{00000000-0004-0000-2400-00000E000000}"/>
    <hyperlink ref="M9" r:id="rId16" xr:uid="{00000000-0004-0000-2400-00000F000000}"/>
    <hyperlink ref="L10" r:id="rId17" xr:uid="{00000000-0004-0000-2400-000010000000}"/>
    <hyperlink ref="M10" r:id="rId18" xr:uid="{00000000-0004-0000-2400-000011000000}"/>
    <hyperlink ref="L11" r:id="rId19" xr:uid="{00000000-0004-0000-2400-000012000000}"/>
    <hyperlink ref="M11" r:id="rId20" xr:uid="{00000000-0004-0000-2400-000013000000}"/>
    <hyperlink ref="L12" r:id="rId21" xr:uid="{00000000-0004-0000-2400-000014000000}"/>
    <hyperlink ref="M12" r:id="rId22" xr:uid="{00000000-0004-0000-2400-000015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37</vt:i4>
      </vt:variant>
    </vt:vector>
  </HeadingPairs>
  <TitlesOfParts>
    <vt:vector size="37" baseType="lpstr">
      <vt:lpstr>OD all papers</vt:lpstr>
      <vt:lpstr>Index</vt:lpstr>
      <vt:lpstr>COCO test-dev</vt:lpstr>
      <vt:lpstr>COCO minival</vt:lpstr>
      <vt:lpstr>COCO 2017 val</vt:lpstr>
      <vt:lpstr>COCO 2017</vt:lpstr>
      <vt:lpstr>COCO-O</vt:lpstr>
      <vt:lpstr>PASCAL VOC 2007</vt:lpstr>
      <vt:lpstr>CrowdHuman</vt:lpstr>
      <vt:lpstr>GraZPEDWRI-DX</vt:lpstr>
      <vt:lpstr>CPPE-5</vt:lpstr>
      <vt:lpstr>Waymo 2D</vt:lpstr>
      <vt:lpstr>Argoverse-HD FS Val</vt:lpstr>
      <vt:lpstr>Argoverse-HD DO Val</vt:lpstr>
      <vt:lpstr>Argoverse-HD DO Test</vt:lpstr>
      <vt:lpstr>Argoverse-HD FS Test</vt:lpstr>
      <vt:lpstr>DUTS-TE</vt:lpstr>
      <vt:lpstr>DUT-OMRON</vt:lpstr>
      <vt:lpstr>ECSSD</vt:lpstr>
      <vt:lpstr>HKU-IS</vt:lpstr>
      <vt:lpstr>PASCAL-S</vt:lpstr>
      <vt:lpstr>HRSOD</vt:lpstr>
      <vt:lpstr>DAVIS-S</vt:lpstr>
      <vt:lpstr>UHRSD</vt:lpstr>
      <vt:lpstr>SBU-Refine</vt:lpstr>
      <vt:lpstr>ISTD</vt:lpstr>
      <vt:lpstr>CAMO-FS</vt:lpstr>
      <vt:lpstr>PASCAL VOC 2007 15+5</vt:lpstr>
      <vt:lpstr>MS-COCO 1-shot</vt:lpstr>
      <vt:lpstr>MS-COCO 5-shot</vt:lpstr>
      <vt:lpstr>MS-COCO 10-shot</vt:lpstr>
      <vt:lpstr>MS-COCO 30-shot</vt:lpstr>
      <vt:lpstr>COCO 2017 FSOD</vt:lpstr>
      <vt:lpstr>LVIS v1.0 val</vt:lpstr>
      <vt:lpstr>LVIS v1.0 test-dev</vt:lpstr>
      <vt:lpstr>ODinW-13</vt:lpstr>
      <vt:lpstr>ODinW-35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Bill Chuang</cp:lastModifiedBy>
  <dcterms:created xsi:type="dcterms:W3CDTF">2026-04-27T06:02:32Z</dcterms:created>
  <dcterms:modified xsi:type="dcterms:W3CDTF">2026-04-27T18:19:59Z</dcterms:modified>
</cp:coreProperties>
</file>