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PASCAL VOC 2007" sheetId="7" state="visible" r:id="rId7"/>
    <sheet xmlns:r="http://schemas.openxmlformats.org/officeDocument/2006/relationships" name="CrowdHuman" sheetId="8" state="visible" r:id="rId8"/>
    <sheet xmlns:r="http://schemas.openxmlformats.org/officeDocument/2006/relationships" name="GraZPEDWRI-DX" sheetId="9" state="visible" r:id="rId9"/>
    <sheet xmlns:r="http://schemas.openxmlformats.org/officeDocument/2006/relationships" name="CPPE-5" sheetId="10" state="visible" r:id="rId10"/>
    <sheet xmlns:r="http://schemas.openxmlformats.org/officeDocument/2006/relationships" name="Waymo 2D" sheetId="11" state="visible" r:id="rId11"/>
    <sheet xmlns:r="http://schemas.openxmlformats.org/officeDocument/2006/relationships" name="Argoverse-HD DO Val" sheetId="12" state="visible" r:id="rId12"/>
    <sheet xmlns:r="http://schemas.openxmlformats.org/officeDocument/2006/relationships" name="DUTS-TE" sheetId="13" state="visible" r:id="rId13"/>
    <sheet xmlns:r="http://schemas.openxmlformats.org/officeDocument/2006/relationships" name="DUT-OMRON" sheetId="14" state="visible" r:id="rId14"/>
    <sheet xmlns:r="http://schemas.openxmlformats.org/officeDocument/2006/relationships" name="ECSSD" sheetId="15" state="visible" r:id="rId15"/>
    <sheet xmlns:r="http://schemas.openxmlformats.org/officeDocument/2006/relationships" name="HKU-IS" sheetId="16" state="visible" r:id="rId16"/>
    <sheet xmlns:r="http://schemas.openxmlformats.org/officeDocument/2006/relationships" name="PASCAL-S" sheetId="17" state="visible" r:id="rId17"/>
    <sheet xmlns:r="http://schemas.openxmlformats.org/officeDocument/2006/relationships" name="HRSOD" sheetId="18" state="visible" r:id="rId18"/>
    <sheet xmlns:r="http://schemas.openxmlformats.org/officeDocument/2006/relationships" name="DAVIS-S" sheetId="19" state="visible" r:id="rId19"/>
    <sheet xmlns:r="http://schemas.openxmlformats.org/officeDocument/2006/relationships" name="UHRSD" sheetId="20" state="visible" r:id="rId20"/>
    <sheet xmlns:r="http://schemas.openxmlformats.org/officeDocument/2006/relationships" name="MS-COCO 1-shot" sheetId="21" state="visible" r:id="rId21"/>
    <sheet xmlns:r="http://schemas.openxmlformats.org/officeDocument/2006/relationships" name="MS-COCO 5-shot" sheetId="22" state="visible" r:id="rId22"/>
    <sheet xmlns:r="http://schemas.openxmlformats.org/officeDocument/2006/relationships" name="MS-COCO 10-shot" sheetId="23" state="visible" r:id="rId23"/>
    <sheet xmlns:r="http://schemas.openxmlformats.org/officeDocument/2006/relationships" name="MS-COCO 30-shot" sheetId="24" state="visible" r:id="rId24"/>
    <sheet xmlns:r="http://schemas.openxmlformats.org/officeDocument/2006/relationships" name="COCO 2017 FSOD" sheetId="25" state="visible" r:id="rId25"/>
    <sheet xmlns:r="http://schemas.openxmlformats.org/officeDocument/2006/relationships" name="LVIS v1.0 val" sheetId="26" state="visible" r:id="rId26"/>
    <sheet xmlns:r="http://schemas.openxmlformats.org/officeDocument/2006/relationships" name="ODinW-13" sheetId="27" state="visible" r:id="rId27"/>
    <sheet xmlns:r="http://schemas.openxmlformats.org/officeDocument/2006/relationships" name="ODinW-35" sheetId="28" state="visible" r:id="rId28"/>
    <sheet xmlns:r="http://schemas.openxmlformats.org/officeDocument/2006/relationships" name="Open-World OD" sheetId="29" state="visible" r:id="rId29"/>
    <sheet xmlns:r="http://schemas.openxmlformats.org/officeDocument/2006/relationships" name="3D-BEV OD" sheetId="30" state="visible" r:id="rId30"/>
    <sheet xmlns:r="http://schemas.openxmlformats.org/officeDocument/2006/relationships" name="Tiny-Object OD" sheetId="31" state="visible" r:id="rId31"/>
    <sheet xmlns:r="http://schemas.openxmlformats.org/officeDocument/2006/relationships" name="Domain-Robust OD" sheetId="32" state="visible" r:id="rId32"/>
    <sheet xmlns:r="http://schemas.openxmlformats.org/officeDocument/2006/relationships" name="Incremental OD" sheetId="33" state="visible" r:id="rId33"/>
    <sheet xmlns:r="http://schemas.openxmlformats.org/officeDocument/2006/relationships" name="Open-Vocabulary OD" sheetId="34" state="visible" r:id="rId34"/>
    <sheet xmlns:r="http://schemas.openxmlformats.org/officeDocument/2006/relationships" name="Oriented-RS OD" sheetId="35" state="visible" r:id="rId35"/>
    <sheet xmlns:r="http://schemas.openxmlformats.org/officeDocument/2006/relationships" name="Referring OD" sheetId="36" state="visible" r:id="rId36"/>
    <sheet xmlns:r="http://schemas.openxmlformats.org/officeDocument/2006/relationships" name="Security-Robustness OD" sheetId="37" state="visible" r:id="rId37"/>
    <sheet xmlns:r="http://schemas.openxmlformats.org/officeDocument/2006/relationships" name="Co-SOD &amp; Ranking" sheetId="38" state="visible" r:id="rId38"/>
    <sheet xmlns:r="http://schemas.openxmlformats.org/officeDocument/2006/relationships" name="CD-FSOD" sheetId="39" state="visible" r:id="rId39"/>
    <sheet xmlns:r="http://schemas.openxmlformats.org/officeDocument/2006/relationships" name="Event-Camera OD" sheetId="40" state="visible" r:id="rId40"/>
    <sheet xmlns:r="http://schemas.openxmlformats.org/officeDocument/2006/relationships" name="Thermal-Multispectral OD" sheetId="41" state="visible" r:id="rId41"/>
    <sheet xmlns:r="http://schemas.openxmlformats.org/officeDocument/2006/relationships" name="Camouflaged OD" sheetId="42" state="visible" r:id="rId42"/>
    <sheet xmlns:r="http://schemas.openxmlformats.org/officeDocument/2006/relationships" name="COCO-O" sheetId="43" state="visible" r:id="rId43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'PASCAL VOC 2007'!$A$1:$M$12</definedName>
    <definedName name="_xlnm._FilterDatabase" localSheetId="7" hidden="1">'CrowdHuman'!$A$1:$M$12</definedName>
    <definedName name="_xlnm._FilterDatabase" localSheetId="8" hidden="1">'GraZPEDWRI-DX'!$A$1:$M$12</definedName>
    <definedName name="_xlnm._FilterDatabase" localSheetId="9" hidden="1">'CPPE-5'!$A$1:$M$12</definedName>
    <definedName name="_xlnm._FilterDatabase" localSheetId="10" hidden="1">'Waymo 2D'!$A$1:$M$12</definedName>
    <definedName name="_xlnm._FilterDatabase" localSheetId="11" hidden="1">'Argoverse-HD DO Val'!$A$1:$M$12</definedName>
    <definedName name="_xlnm._FilterDatabase" localSheetId="12" hidden="1">'DUTS-TE'!$A$1:$M$13</definedName>
    <definedName name="_xlnm._FilterDatabase" localSheetId="13" hidden="1">'DUT-OMRON'!$A$1:$M$13</definedName>
    <definedName name="_xlnm._FilterDatabase" localSheetId="14" hidden="1">'ECSSD'!$A$1:$M$13</definedName>
    <definedName name="_xlnm._FilterDatabase" localSheetId="15" hidden="1">'HKU-IS'!$A$1:$M$13</definedName>
    <definedName name="_xlnm._FilterDatabase" localSheetId="16" hidden="1">'PASCAL-S'!$A$1:$M$13</definedName>
    <definedName name="_xlnm._FilterDatabase" localSheetId="17" hidden="1">'HRSOD'!$A$1:$M$13</definedName>
    <definedName name="_xlnm._FilterDatabase" localSheetId="18" hidden="1">'DAVIS-S'!$A$1:$M$13</definedName>
    <definedName name="_xlnm._FilterDatabase" localSheetId="19" hidden="1">'UHRSD'!$A$1:$M$13</definedName>
    <definedName name="_xlnm._FilterDatabase" localSheetId="20" hidden="1">'MS-COCO 1-shot'!$A$1:$M$12</definedName>
    <definedName name="_xlnm._FilterDatabase" localSheetId="21" hidden="1">'MS-COCO 5-shot'!$A$1:$M$12</definedName>
    <definedName name="_xlnm._FilterDatabase" localSheetId="22" hidden="1">'MS-COCO 10-shot'!$A$1:$M$12</definedName>
    <definedName name="_xlnm._FilterDatabase" localSheetId="23" hidden="1">'MS-COCO 30-shot'!$A$1:$M$12</definedName>
    <definedName name="_xlnm._FilterDatabase" localSheetId="24" hidden="1">'COCO 2017 FSOD'!$A$1:$M$12</definedName>
    <definedName name="_xlnm._FilterDatabase" localSheetId="25" hidden="1">'LVIS v1.0 val'!$A$1:$M$12</definedName>
    <definedName name="_xlnm._FilterDatabase" localSheetId="26" hidden="1">'ODinW-13'!$A$1:$M$12</definedName>
    <definedName name="_xlnm._FilterDatabase" localSheetId="27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styles" Target="styles.xml" Id="rId44"/><Relationship Type="http://schemas.openxmlformats.org/officeDocument/2006/relationships/theme" Target="theme/theme1.xml" Id="rId4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211.05778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11.05778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211.05778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407.11699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3.0360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11.05778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211.05778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211.05778" TargetMode="External" Id="rId23"/><Relationship Type="http://schemas.openxmlformats.org/officeDocument/2006/relationships/hyperlink" Target="https://github.com/facebookresearch/detr" TargetMode="External" Id="rId24"/><Relationship Type="http://schemas.openxmlformats.org/officeDocument/2006/relationships/hyperlink" Target="https://arxiv.org/abs/2203.16527" TargetMode="External" Id="rId25"/><Relationship Type="http://schemas.openxmlformats.org/officeDocument/2006/relationships/hyperlink" Target="https://arxiv.org/abs/2211.05778" TargetMode="External" Id="rId26"/><Relationship Type="http://schemas.openxmlformats.org/officeDocument/2006/relationships/hyperlink" Target="https://arxiv.org/abs/2103.14030" TargetMode="External" Id="rId27"/><Relationship Type="http://schemas.openxmlformats.org/officeDocument/2006/relationships/hyperlink" Target="https://arxiv.org/abs/2201.03545" TargetMode="External" Id="rId28"/><Relationship Type="http://schemas.openxmlformats.org/officeDocument/2006/relationships/hyperlink" Target="https://arxiv.org/abs/2204.01697" TargetMode="External" Id="rId29"/><Relationship Type="http://schemas.openxmlformats.org/officeDocument/2006/relationships/hyperlink" Target="https://arxiv.org/abs/2010.04159" TargetMode="External" Id="rId30"/><Relationship Type="http://schemas.openxmlformats.org/officeDocument/2006/relationships/hyperlink" Target="https://arxiv.org/abs/2005.12872" TargetMode="External" Id="rId31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arxiv.org/abs/2510.25257" TargetMode="External" Id="rId15"/><Relationship Type="http://schemas.openxmlformats.org/officeDocument/2006/relationships/hyperlink" Target="https://github.com/WongKinYiu/yolov9" TargetMode="External" Id="rId16"/><Relationship Type="http://schemas.openxmlformats.org/officeDocument/2006/relationships/hyperlink" Target="https://arxiv.org/abs/2511.0955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412.04234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Relationship Type="http://schemas.openxmlformats.org/officeDocument/2006/relationships/hyperlink" Target="https://openaccess.thecvf.com/content/CVPR2026/html/Han_YOLO-ULM_Ultra-Lightweight_Models_for_Real-Time_Object_Detection_CVPR_2026_paper.html" TargetMode="External" Id="rId25"/><Relationship Type="http://schemas.openxmlformats.org/officeDocument/2006/relationships/hyperlink" Target="https://openaccess.thecvf.com/content/CVPR2026/html/Kang_PaQ-DETR_Learning_Pattern_and_Quality-Aware_Dynamic_Queries_for_Object_Detection_CVPR_2026_paper.html" TargetMode="External" Id="rId26"/><Relationship Type="http://schemas.openxmlformats.org/officeDocument/2006/relationships/hyperlink" Target="https://docs.ultralytics.com/models/yolov8/" TargetMode="External" Id="rId27"/><Relationship Type="http://schemas.openxmlformats.org/officeDocument/2006/relationships/hyperlink" Target="https://github.com/ultralytics/yolov5" TargetMode="External" Id="rId28"/><Relationship Type="http://schemas.openxmlformats.org/officeDocument/2006/relationships/hyperlink" Target="https://github.com/Deci-AI/super-gradients" TargetMode="External" Id="rId29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github.com/roboflow/rf-detr" TargetMode="External" Id="rId11"/><Relationship Type="http://schemas.openxmlformats.org/officeDocument/2006/relationships/hyperlink" Target="https://github.com/RT-DETRs/RT-DETRv4" TargetMode="External" Id="rId12"/><Relationship Type="http://schemas.openxmlformats.org/officeDocument/2006/relationships/hyperlink" Target="https://github.com/Intellindust-AI-Lab/DEIM" TargetMode="External" Id="rId13"/><Relationship Type="http://schemas.openxmlformats.org/officeDocument/2006/relationships/hyperlink" Target="https://github.com/Peterande/D-FINE" TargetMode="External" Id="rId14"/><Relationship Type="http://schemas.openxmlformats.org/officeDocument/2006/relationships/hyperlink" Target="https://github.com/WongKinYiu/yolov9" TargetMode="External" Id="rId15"/><Relationship Type="http://schemas.openxmlformats.org/officeDocument/2006/relationships/hyperlink" Target="https://arxiv.org/abs/2510.25257" TargetMode="External" Id="rId16"/><Relationship Type="http://schemas.openxmlformats.org/officeDocument/2006/relationships/hyperlink" Target="https://github.com/sunsmarterjie/yolov12" TargetMode="External" Id="rId17"/><Relationship Type="http://schemas.openxmlformats.org/officeDocument/2006/relationships/hyperlink" Target="https://arxiv.org/abs/2511.09554" TargetMode="External" Id="rId18"/><Relationship Type="http://schemas.openxmlformats.org/officeDocument/2006/relationships/hyperlink" Target="https://github.com/ultralytics/ultralytics" TargetMode="External" Id="rId19"/><Relationship Type="http://schemas.openxmlformats.org/officeDocument/2006/relationships/hyperlink" Target="https://arxiv.org/abs/2412.04234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arxiv.org/abs/2402.13616" TargetMode="External" Id="rId22"/><Relationship Type="http://schemas.openxmlformats.org/officeDocument/2006/relationships/hyperlink" Target="https://arxiv.org/abs/2502.12524" TargetMode="External" Id="rId23"/><Relationship Type="http://schemas.openxmlformats.org/officeDocument/2006/relationships/hyperlink" Target="https://docs.ultralytics.com/models/yolo11/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github.com/IDEA-Research/DINO" TargetMode="External" Id="rId1"/><Relationship Type="http://schemas.openxmlformats.org/officeDocument/2006/relationships/hyperlink" Target="https://github.com/rbgirshick/py-faster-rcnn" TargetMode="External" Id="rId2"/><Relationship Type="http://schemas.openxmlformats.org/officeDocument/2006/relationships/hyperlink" Target="https://arxiv.org/abs/1506.01497" TargetMode="External" Id="rId3"/><Relationship Type="http://schemas.openxmlformats.org/officeDocument/2006/relationships/hyperlink" Target="https://github.com/Deci-AI/super-gradients" TargetMode="External" Id="rId4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1.12450" TargetMode="External" Id="rId5"/><Relationship Type="http://schemas.openxmlformats.org/officeDocument/2006/relationships/hyperlink" Target="https://github.com/PeizeSun/SparseR-CNN" TargetMode="External" Id="rId6"/><Relationship Type="http://schemas.openxmlformats.org/officeDocument/2006/relationships/hyperlink" Target="https://arxiv.org/abs/2003.07847" TargetMode="External" Id="rId7"/><Relationship Type="http://schemas.openxmlformats.org/officeDocument/2006/relationships/hyperlink" Target="https://github.com/Megvii-BaseDetection/CrowdDetectio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Purkialo/CrowdDet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1805.00123" TargetMode="External" Id="rId13"/><Relationship Type="http://schemas.openxmlformats.org/officeDocument/2006/relationships/hyperlink" Target="https://github.com/Purkialo/CrowdDet" TargetMode="External" Id="rId14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403.11249" TargetMode="External" Id="rId1"/><Relationship Type="http://schemas.openxmlformats.org/officeDocument/2006/relationships/hyperlink" Target="https://arxiv.org/abs/2403.11249" TargetMode="External" Id="rId2"/><Relationship Type="http://schemas.openxmlformats.org/officeDocument/2006/relationships/hyperlink" Target="https://arxiv.org/abs/2403.11249" TargetMode="External" Id="rId3"/><Relationship Type="http://schemas.openxmlformats.org/officeDocument/2006/relationships/hyperlink" Target="https://arxiv.org/abs/2403.11249" TargetMode="External" Id="rId4"/><Relationship Type="http://schemas.openxmlformats.org/officeDocument/2006/relationships/hyperlink" Target="https://arxiv.org/abs/2403.11249" TargetMode="External" Id="rId5"/><Relationship Type="http://schemas.openxmlformats.org/officeDocument/2006/relationships/hyperlink" Target="https://arxiv.org/abs/2403.11249" TargetMode="External" Id="rId6"/><Relationship Type="http://schemas.openxmlformats.org/officeDocument/2006/relationships/hyperlink" Target="https://arxiv.org/abs/2403.11249" TargetMode="External" Id="rId7"/><Relationship Type="http://schemas.openxmlformats.org/officeDocument/2006/relationships/hyperlink" Target="https://arxiv.org/abs/2403.11249" TargetMode="External" Id="rId8"/></Relationships>
</file>

<file path=xl/worksheets/_rels/sheet10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arxiv.org/abs/2112.09569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arxiv.org/abs/2112.09569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arxiv.org/abs/2112.09569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arxiv.org/abs/2112.09569" TargetMode="External" Id="rId8"/><Relationship Type="http://schemas.openxmlformats.org/officeDocument/2006/relationships/hyperlink" Target="https://arxiv.org/abs/2112.09569" TargetMode="External" Id="rId9"/><Relationship Type="http://schemas.openxmlformats.org/officeDocument/2006/relationships/hyperlink" Target="https://arxiv.org/abs/2112.09569" TargetMode="External" Id="rId10"/><Relationship Type="http://schemas.openxmlformats.org/officeDocument/2006/relationships/hyperlink" Target="https://arxiv.org/abs/2112.09569" TargetMode="External" Id="rId11"/><Relationship Type="http://schemas.openxmlformats.org/officeDocument/2006/relationships/hyperlink" Target="https://arxiv.org/abs/2112.09569" TargetMode="External" Id="rId12"/><Relationship Type="http://schemas.openxmlformats.org/officeDocument/2006/relationships/hyperlink" Target="https://arxiv.org/abs/2112.09569" TargetMode="External" Id="rId13"/><Relationship Type="http://schemas.openxmlformats.org/officeDocument/2006/relationships/hyperlink" Target="https://arxiv.org/abs/2112.09569" TargetMode="External" Id="rId14"/><Relationship Type="http://schemas.openxmlformats.org/officeDocument/2006/relationships/hyperlink" Target="https://arxiv.org/abs/2112.09569" TargetMode="External" Id="rId15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008.01365" TargetMode="External" Id="rId1"/><Relationship Type="http://schemas.openxmlformats.org/officeDocument/2006/relationships/hyperlink" Target="https://arxiv.org/abs/2008.01365" TargetMode="External" Id="rId2"/><Relationship Type="http://schemas.openxmlformats.org/officeDocument/2006/relationships/hyperlink" Target="https://arxiv.org/abs/2008.01365" TargetMode="External" Id="rId3"/><Relationship Type="http://schemas.openxmlformats.org/officeDocument/2006/relationships/hyperlink" Target="https://arxiv.org/abs/2008.01365" TargetMode="External" Id="rId4"/><Relationship Type="http://schemas.openxmlformats.org/officeDocument/2006/relationships/hyperlink" Target="https://arxiv.org/abs/2008.01365" TargetMode="External" Id="rId5"/></Relationships>
</file>

<file path=xl/worksheets/_rels/sheet12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309.08365" TargetMode="External" Id="rId5"/><Relationship Type="http://schemas.openxmlformats.org/officeDocument/2006/relationships/hyperlink" Target="https://github.com/I2-Multimedia-Lab/M3Net" TargetMode="External" Id="rId6"/><Relationship Type="http://schemas.openxmlformats.org/officeDocument/2006/relationships/hyperlink" Target="https://arxiv.org/abs/2111.13409" TargetMode="External" Id="rId7"/><Relationship Type="http://schemas.openxmlformats.org/officeDocument/2006/relationships/hyperlink" Target="https://github.com/mczhuge/ICON" TargetMode="External" Id="rId8"/><Relationship Type="http://schemas.openxmlformats.org/officeDocument/2006/relationships/hyperlink" Target="https://arxiv.org/abs/2104.12099" TargetMode="External" Id="rId9"/><Relationship Type="http://schemas.openxmlformats.org/officeDocument/2006/relationships/hyperlink" Target="https://github.com/nnizhang/VST" TargetMode="External" Id="rId10"/><Relationship Type="http://schemas.openxmlformats.org/officeDocument/2006/relationships/hyperlink" Target="https://arxiv.org/abs/2012.13093" TargetMode="External" Id="rId11"/><Relationship Type="http://schemas.openxmlformats.org/officeDocument/2006/relationships/hyperlink" Target="https://github.com/yuhuan-wu/EDN" TargetMode="External" Id="rId12"/><Relationship Type="http://schemas.openxmlformats.org/officeDocument/2006/relationships/hyperlink" Target="https://arxiv.org/abs/1904.09569" TargetMode="External" Id="rId13"/><Relationship Type="http://schemas.openxmlformats.org/officeDocument/2006/relationships/hyperlink" Target="https://github.com/backseason/PoolNet" TargetMode="External" Id="rId14"/><Relationship Type="http://schemas.openxmlformats.org/officeDocument/2006/relationships/hyperlink" Target="https://arxiv.org/abs/2007.09062" TargetMode="External" Id="rId15"/><Relationship Type="http://schemas.openxmlformats.org/officeDocument/2006/relationships/hyperlink" Target="https://github.com/lartpang/MINet" TargetMode="External" Id="rId16"/><Relationship Type="http://schemas.openxmlformats.org/officeDocument/2006/relationships/hyperlink" Target="https://arxiv.org/abs/2005.09007" TargetMode="External" Id="rId17"/><Relationship Type="http://schemas.openxmlformats.org/officeDocument/2006/relationships/hyperlink" Target="https://github.com/xuebinqin/U-2-Net" TargetMode="External" Id="rId18"/><Relationship Type="http://schemas.openxmlformats.org/officeDocument/2006/relationships/hyperlink" Target="https://arxiv.org/abs/1904.07857" TargetMode="External" Id="rId19"/><Relationship Type="http://schemas.openxmlformats.org/officeDocument/2006/relationships/hyperlink" Target="https://github.com/xuebinqin/BASNet" TargetMode="External" Id="rId20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209.09475" TargetMode="External" Id="rId1"/><Relationship Type="http://schemas.openxmlformats.org/officeDocument/2006/relationships/hyperlink" Target="https://github.com/plemeri/InSPyReNet" TargetMode="External" Id="rId2"/><Relationship Type="http://schemas.openxmlformats.org/officeDocument/2006/relationships/hyperlink" Target="https://arxiv.org/abs/2309.08365" TargetMode="External" Id="rId3"/><Relationship Type="http://schemas.openxmlformats.org/officeDocument/2006/relationships/hyperlink" Target="https://github.com/I2-Multimedia-Lab/M3Net" TargetMode="External" Id="rId4"/><Relationship Type="http://schemas.openxmlformats.org/officeDocument/2006/relationships/hyperlink" Target="https://arxiv.org/abs/2111.13409" TargetMode="External" Id="rId5"/><Relationship Type="http://schemas.openxmlformats.org/officeDocument/2006/relationships/hyperlink" Target="https://github.com/mczhuge/ICON" TargetMode="External" Id="rId6"/><Relationship Type="http://schemas.openxmlformats.org/officeDocument/2006/relationships/hyperlink" Target="https://arxiv.org/abs/2104.12099" TargetMode="External" Id="rId7"/><Relationship Type="http://schemas.openxmlformats.org/officeDocument/2006/relationships/hyperlink" Target="https://github.com/nnizhang/VST" TargetMode="External" Id="rId8"/><Relationship Type="http://schemas.openxmlformats.org/officeDocument/2006/relationships/hyperlink" Target="https://arxiv.org/abs/2012.13093" TargetMode="External" Id="rId9"/><Relationship Type="http://schemas.openxmlformats.org/officeDocument/2006/relationships/hyperlink" Target="https://github.com/yuhuan-wu/EDN" TargetMode="External" Id="rId10"/><Relationship Type="http://schemas.openxmlformats.org/officeDocument/2006/relationships/hyperlink" Target="https://arxiv.org/abs/1904.09569" TargetMode="External" Id="rId11"/><Relationship Type="http://schemas.openxmlformats.org/officeDocument/2006/relationships/hyperlink" Target="https://github.com/backseason/PoolNet" TargetMode="External" Id="rId12"/><Relationship Type="http://schemas.openxmlformats.org/officeDocument/2006/relationships/hyperlink" Target="https://arxiv.org/abs/2007.09062" TargetMode="External" Id="rId13"/><Relationship Type="http://schemas.openxmlformats.org/officeDocument/2006/relationships/hyperlink" Target="https://github.com/lartpang/MINet" TargetMode="External" Id="rId14"/><Relationship Type="http://schemas.openxmlformats.org/officeDocument/2006/relationships/hyperlink" Target="https://arxiv.org/abs/2005.09007" TargetMode="External" Id="rId15"/><Relationship Type="http://schemas.openxmlformats.org/officeDocument/2006/relationships/hyperlink" Target="https://github.com/xuebinqin/U-2-Net" TargetMode="External" Id="rId16"/><Relationship Type="http://schemas.openxmlformats.org/officeDocument/2006/relationships/hyperlink" Target="https://arxiv.org/abs/1904.07857" TargetMode="External" Id="rId17"/><Relationship Type="http://schemas.openxmlformats.org/officeDocument/2006/relationships/hyperlink" Target="https://github.com/xuebinqin/BASNet" TargetMode="External" Id="rId18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/Relationships>
</file>

<file path=xl/worksheets/_rels/sheet26.xml.rels><Relationships xmlns="http://schemas.openxmlformats.org/package/2006/relationships"><Relationship Type="http://schemas.openxmlformats.org/officeDocument/2006/relationships/hyperlink" Target="https://github.com/facebookresearch/Detic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github.com/IDEA-Research/GroundingDINO" TargetMode="External" Id="rId3"/><Relationship Type="http://schemas.openxmlformats.org/officeDocument/2006/relationships/hyperlink" Target="https://arxiv.org/abs/2411.14347" TargetMode="External" Id="rId4"/><Relationship Type="http://schemas.openxmlformats.org/officeDocument/2006/relationships/hyperlink" Target="https://github.com/microsoft/GLIP" TargetMode="External" Id="rId5"/><Relationship Type="http://schemas.openxmlformats.org/officeDocument/2006/relationships/hyperlink" Target="https://arxiv.org/abs/2405.10300" TargetMode="External" Id="rId6"/><Relationship Type="http://schemas.openxmlformats.org/officeDocument/2006/relationships/hyperlink" Target="https://github.com/google-research/scenic/tree/main/scenic/projects/owl_vit" TargetMode="External" Id="rId7"/><Relationship Type="http://schemas.openxmlformats.org/officeDocument/2006/relationships/hyperlink" Target="https://arxiv.org/abs/2303.11331" TargetMode="External" Id="rId8"/><Relationship Type="http://schemas.openxmlformats.org/officeDocument/2006/relationships/hyperlink" Target="https://github.com/IDEA-Research/DINO-X-API" TargetMode="External" Id="rId9"/><Relationship Type="http://schemas.openxmlformats.org/officeDocument/2006/relationships/hyperlink" Target="https://arxiv.org/abs/2306.09683" TargetMode="External" Id="rId10"/><Relationship Type="http://schemas.openxmlformats.org/officeDocument/2006/relationships/hyperlink" Target="https://github.com/AILab-CVC/YOLO-World" TargetMode="External" Id="rId11"/><Relationship Type="http://schemas.openxmlformats.org/officeDocument/2006/relationships/hyperlink" Target="https://github.com/microsoft/RegionCLIP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zhenyuw16/UniDetector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401.17270" TargetMode="External" Id="rId17"/><Relationship Type="http://schemas.openxmlformats.org/officeDocument/2006/relationships/hyperlink" Target="https://github.com/baaivision/EVA" TargetMode="External" Id="rId18"/><Relationship Type="http://schemas.openxmlformats.org/officeDocument/2006/relationships/hyperlink" Target="https://arxiv.org/abs/2303.05499" TargetMode="External" Id="rId19"/><Relationship Type="http://schemas.openxmlformats.org/officeDocument/2006/relationships/hyperlink" Target="https://arxiv.org/abs/2112.09106" TargetMode="External" Id="rId20"/><Relationship Type="http://schemas.openxmlformats.org/officeDocument/2006/relationships/hyperlink" Target="https://arxiv.org/abs/2112.03857" TargetMode="External" Id="rId21"/><Relationship Type="http://schemas.openxmlformats.org/officeDocument/2006/relationships/hyperlink" Target="https://arxiv.org/abs/2303.11749" TargetMode="External" Id="rId22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206.05836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5.06230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306.09683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3.11749" TargetMode="External" Id="rId13"/><Relationship Type="http://schemas.openxmlformats.org/officeDocument/2006/relationships/hyperlink" Target="https://github.com/zhenyuw16/UniDetector" TargetMode="External" Id="rId14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303.11749" TargetMode="External" Id="rId7"/><Relationship Type="http://schemas.openxmlformats.org/officeDocument/2006/relationships/hyperlink" Target="https://github.com/zhenyuw16/UniDetector" TargetMode="External" Id="rId8"/></Relationships>
</file>

<file path=xl/worksheets/_rels/sheet29.xml.rels><Relationships xmlns="http://schemas.openxmlformats.org/package/2006/relationships"><Relationship Type="http://schemas.openxmlformats.org/officeDocument/2006/relationships/hyperlink" Target="https://openaccess.thecvf.com/content/CVPR2025/html/Xi_OW-OVD_Unified_Open_World_and_Open_Vocabulary_Object_Detection_CVPR_2025_paper.html" TargetMode="External" Id="rId1"/><Relationship Type="http://schemas.openxmlformats.org/officeDocument/2006/relationships/hyperlink" Target="https://arxiv.org/abs/2503.20061" TargetMode="External" Id="rId2"/><Relationship Type="http://schemas.openxmlformats.org/officeDocument/2006/relationships/hyperlink" Target="https://openaccess.thecvf.com/content/WACV2025/html/Inoue_Decoupled_PROB_Decoupled_Query_Initialization_Tasks_and_Objectness-Class_Learning_for_WACV_2025_paper.html" TargetMode="External" Id="rId3"/><Relationship Type="http://schemas.openxmlformats.org/officeDocument/2006/relationships/hyperlink" Target="https://openaccess.thecvf.com/content/WACV2026/html/Lee_OW-Rep_Open_World_Object_Detection_with_Instance_Representation_Learning_WACV_2026_paper.html" TargetMode="External" Id="rId4"/></Relationships>
</file>

<file path=xl/worksheets/_rels/sheet30.xml.rels><Relationships xmlns="http://schemas.openxmlformats.org/package/2006/relationships"><Relationship Type="http://schemas.openxmlformats.org/officeDocument/2006/relationships/hyperlink" Target="https://openaccess.thecvf.com/content/CVPR2025/html/Yu_ViKIENet_Towards_Efficient_3D_Object_Detection_with_Virtual_Key_Instance_CVPR_2025_paper.html" TargetMode="External" Id="rId1"/><Relationship Type="http://schemas.openxmlformats.org/officeDocument/2006/relationships/hyperlink" Target="https://openaccess.thecvf.com/content/ICCV2025/html/Lee_EVT_Efficient_View_Transformation_for_Multi-Modal_3D_Object_Detection_ICCV_2025_paper.html" TargetMode="External" Id="rId2"/><Relationship Type="http://schemas.openxmlformats.org/officeDocument/2006/relationships/hyperlink" Target="https://openaccess.thecvf.com/content/CVPR2026/html/Wu_CCF_Complementary_Collaborative_Fusion_for_Domain_Generalized_Multi-Modal_3D_Object_CVPR_2026_paper.html" TargetMode="External" Id="rId3"/><Relationship Type="http://schemas.openxmlformats.org/officeDocument/2006/relationships/hyperlink" Target="https://openaccess.thecvf.com/content/CVPR2025/html/Chu_RaCFormer_Towards_High-Quality_3D_Object_Detection_via_Query-based_Radar-Camera_Fusion_CVPR_2025_paper.html" TargetMode="External" Id="rId4"/><Relationship Type="http://schemas.openxmlformats.org/officeDocument/2006/relationships/hyperlink" Target="https://openaccess.thecvf.com/content/CVPR2025/html/Xue_CorrBEV_Multi-View_3D_Object_Detection_by_Correlation_Learning_with_Multi-modal_CVPR_2025_paper.html" TargetMode="External" Id="rId5"/><Relationship Type="http://schemas.openxmlformats.org/officeDocument/2006/relationships/hyperlink" Target="https://openaccess.thecvf.com/content/WACV2026/html/Lahlali_MVAT_Multi-View_Aware_Teacher_for_Weakly_Supervised_3D_Object_Detection_WACV_2026_paper.html" TargetMode="External" Id="rId6"/><Relationship Type="http://schemas.openxmlformats.org/officeDocument/2006/relationships/hyperlink" Target="https://openaccess.thecvf.com/content/ICCV2025/html/Papais_ForeSight_Multi-View_Streaming_Joint_Object_Detection_and_Trajectory_Forecasting_ICCV_2025_paper.html" TargetMode="External" Id="rId7"/><Relationship Type="http://schemas.openxmlformats.org/officeDocument/2006/relationships/hyperlink" Target="https://openaccess.thecvf.com/content/CVPR2026/html/Xia_R4Det_4D_Radar-Camera_Fusion_for_High-Performance_3D_Object_Detection_CVPR_2026_paper.html" TargetMode="External" Id="rId8"/><Relationship Type="http://schemas.openxmlformats.org/officeDocument/2006/relationships/hyperlink" Target="https://openaccess.thecvf.com/content/ICCV2025/html/Su_FreqPDE_Rethinking_Positional_Depth_Embedding_for_Multi-View_3D_Object_Detection_ICCV_2025_paper.html" TargetMode="External" Id="rId9"/><Relationship Type="http://schemas.openxmlformats.org/officeDocument/2006/relationships/hyperlink" Target="https://openaccess.thecvf.com/content/CVPR2026/html/Kuang_CoIn3D_Revisiting_Configuration-Invariant_Multi-Camera_3D_Object_Detection_CVPR_2026_paper.html" TargetMode="External" Id="rId10"/><Relationship Type="http://schemas.openxmlformats.org/officeDocument/2006/relationships/hyperlink" Target="https://openaccess.thecvf.com/content/WACV2025/html/Lahlali_ALPI_Auto-Labeller_with_Proxy_Injection_for_3D_Object_Detection_using_WACV_2025_paper.html" TargetMode="External" Id="rId11"/><Relationship Type="http://schemas.openxmlformats.org/officeDocument/2006/relationships/hyperlink" Target="https://openaccess.thecvf.com/content/CVPR2025/html/Zhao_SP3D_Boosting_Sparsely-Supervised_3D_Object_Detection_via_Accurate_Cross-Modal_Semantic_CVPR_2025_paper.html" TargetMode="External" Id="rId12"/><Relationship Type="http://schemas.openxmlformats.org/officeDocument/2006/relationships/hyperlink" Target="https://openaccess.thecvf.com/content/CVPR2026/html/Bai_RaGS_Unleashing_3D_Gaussian_Splatting_from_4D_Radar_and_Monocular_CVPR_2026_paper.html" TargetMode="External" Id="rId13"/><Relationship Type="http://schemas.openxmlformats.org/officeDocument/2006/relationships/hyperlink" Target="https://openaccess.thecvf.com/content/CVPR2025/html/Lazarow_Cubify_Anything_Scaling_Indoor_3D_Object_Detection_CVPR_2025_paper.html" TargetMode="External" Id="rId14"/><Relationship Type="http://schemas.openxmlformats.org/officeDocument/2006/relationships/hyperlink" Target="https://openaccess.thecvf.com/content/CVPR2025/html/Pu_MonoDGP_Monocular_3D_Object_Detection_with_Decoupled-Query_and_Geometry-Error_Priors_CVPR_2025_paper.html" TargetMode="External" Id="rId15"/><Relationship Type="http://schemas.openxmlformats.org/officeDocument/2006/relationships/hyperlink" Target="https://openaccess.thecvf.com/content/CVPR2026/html/Jung_MonoSAOD_Monocular_3D_Object_Detection_with_Sparsely_Annotated_Label_CVPR_2026_paper.html" TargetMode="External" Id="rId16"/><Relationship Type="http://schemas.openxmlformats.org/officeDocument/2006/relationships/hyperlink" Target="https://openaccess.thecvf.com/content/CVPR2026/html/Wang_SPAN_Spatial-Projection_Alignment_for_Monocular_3D_Object_Detection_CVPR_2026_paper.html" TargetMode="External" Id="rId17"/><Relationship Type="http://schemas.openxmlformats.org/officeDocument/2006/relationships/hyperlink" Target="https://openaccess.thecvf.com/content/WACV2026/html/Sen_SSMRadNet__A_Sample-wise_State-Space_Framework_for_Efficient_and_Ultra-Light_WACV_2026_paper.html" TargetMode="External" Id="rId18"/><Relationship Type="http://schemas.openxmlformats.org/officeDocument/2006/relationships/hyperlink" Target="https://openaccess.thecvf.com/content/CVPR2026/html/Zhang_Spe-BEVHead_Rethinking_the_Detection_Head_Design_for_Birds-Eye-View_Object_Detection_CVPR_2026_paper.html" TargetMode="External" Id="rId19"/><Relationship Type="http://schemas.openxmlformats.org/officeDocument/2006/relationships/hyperlink" Target="https://openaccess.thecvf.com/content/CVPR2026/html/Kennerley_Mind_the_Gap_Transferring_Labels_to_Align_Object_Detection_Datasets_CVPR_2026_paper.html" TargetMode="External" Id="rId20"/><Relationship Type="http://schemas.openxmlformats.org/officeDocument/2006/relationships/hyperlink" Target="https://openaccess.thecvf.com/content/WACV2025/html/Cheng_AIC3DOD_Advancing_Indoor_Class-Incremental_3D_Object_Detection_with_Point_Transformer_WACV_2025_paper.html" TargetMode="External" Id="rId21"/><Relationship Type="http://schemas.openxmlformats.org/officeDocument/2006/relationships/hyperlink" Target="https://openaccess.thecvf.com/content/CVPR2026/html/Cao_VGGT-Det_Mining_VGGT_Internal_Priors_for_Sensor-Geometry-Free_Multi-View_Indoor_3D_CVPR_2026_paper.html" TargetMode="External" Id="rId22"/><Relationship Type="http://schemas.openxmlformats.org/officeDocument/2006/relationships/hyperlink" Target="https://openaccess.thecvf.com/content/CVPR2026/html/Xie_H2A2_Homogeneity-Aware_and_Heterogeneity-Aware_Feature_Perception_for_Unified_Indoor_3D_CVPR_2026_paper.html" TargetMode="External" Id="rId23"/><Relationship Type="http://schemas.openxmlformats.org/officeDocument/2006/relationships/hyperlink" Target="https://openaccess.thecvf.com/content/CVPR2026/html/Lemeshko_Zoo3D_Zero-Shot_3D_Object_Detection_at_Scene_Level_CVPR_2026_paper.html" TargetMode="External" Id="rId24"/><Relationship Type="http://schemas.openxmlformats.org/officeDocument/2006/relationships/hyperlink" Target="https://openaccess.thecvf.com/content/ICCV2025/html/Chow_OV-SCAN_Semantically_Consistent_Alignment_for_Novel_Object_Discovery_in_Open-Vocabulary_ICCV_2025_paper.html" TargetMode="External" Id="rId25"/><Relationship Type="http://schemas.openxmlformats.org/officeDocument/2006/relationships/hyperlink" Target="https://openaccess.thecvf.com/content/ICCV2025/html/Wu_Motal_Unsupervised_3D_Object_Detection_by_Modality_and_Task-specific_Knowledge_ICCV_2025_paper.html" TargetMode="External" Id="rId26"/><Relationship Type="http://schemas.openxmlformats.org/officeDocument/2006/relationships/hyperlink" Target="https://openaccess.thecvf.com/content/CVPR2026/html/Li_DA-Mamba_Learning_Domain-Aware_State_Space_Model_for_Global-Local_Alignment_in_CVPR_2026_paper.html" TargetMode="External" Id="rId27"/><Relationship Type="http://schemas.openxmlformats.org/officeDocument/2006/relationships/hyperlink" Target="https://openaccess.thecvf.com/content/CVPR2025/html/Long_RICCARDO_Radar_Hit_Prediction_and_Convolution_for_Camera-Radar_3D_Object_CVPR_2025_paper.html" TargetMode="External" Id="rId28"/><Relationship Type="http://schemas.openxmlformats.org/officeDocument/2006/relationships/hyperlink" Target="https://openaccess.thecvf.com/content/CVPR2025/html/Liu_MonoTAKD_Teaching_Assistant_Knowledge_Distillation_for_Monocular_3D_Object_Detection_CVPR_2025_paper.html" TargetMode="External" Id="rId29"/><Relationship Type="http://schemas.openxmlformats.org/officeDocument/2006/relationships/hyperlink" Target="https://openaccess.thecvf.com/content/CVPR2026/html/Park_RARE_Learn_to_RAnk_and_REtrieve_for_Monocular_3D_Object_CVPR_2026_paper.html" TargetMode="External" Id="rId30"/><Relationship Type="http://schemas.openxmlformats.org/officeDocument/2006/relationships/hyperlink" Target="https://openaccess.thecvf.com/content/CVPR2026/html/Song_CD-Buffer_Complementary_Dual-Buffer_Framework_for_Test-Time_Adaptation_in_Adverse_Weather_CVPR_2026_paper.html" TargetMode="External" Id="rId31"/><Relationship Type="http://schemas.openxmlformats.org/officeDocument/2006/relationships/hyperlink" Target="https://openaccess.thecvf.com/content/CVPR2026/html/Papais_SToRe3D_Sparse_Token_Relevance_in_ViTs_for_Efficient_Multi-View_3D_CVPR_2026_paper.html" TargetMode="External" Id="rId32"/><Relationship Type="http://schemas.openxmlformats.org/officeDocument/2006/relationships/hyperlink" Target="https://openaccess.thecvf.com/content/CVPR2026/html/Vo_SemLT3D_Semantic-Guided_Expert_Distillation_for_Camera-only_Long-Tailed_3D_Object_Detection_CVPR_2026_paper.html" TargetMode="External" Id="rId33"/><Relationship Type="http://schemas.openxmlformats.org/officeDocument/2006/relationships/hyperlink" Target="https://openaccess.thecvf.com/content/WACV2026/html/Shrout_SFMNet_Sparse_Focal_Modulation_for_3D_Object_Detection_WACV_2026_paper.html" TargetMode="External" Id="rId34"/><Relationship Type="http://schemas.openxmlformats.org/officeDocument/2006/relationships/hyperlink" Target="https://openaccess.thecvf.com/content/ICCV2025/html/Hsu_OpenM3D_Open_Vocabulary_Multi-view_Indoor_3D_Object_Detection_without_Human_ICCV_2025_paper.html" TargetMode="External" Id="rId35"/><Relationship Type="http://schemas.openxmlformats.org/officeDocument/2006/relationships/hyperlink" Target="https://openaccess.thecvf.com/content/ICCV2025/html/Yang_3D-MOOD_Lifting_2D_to_3D_for_Monocular_Open-Set_Object_Detection_ICCV_2025_paper.html" TargetMode="External" Id="rId36"/><Relationship Type="http://schemas.openxmlformats.org/officeDocument/2006/relationships/hyperlink" Target="https://openaccess.thecvf.com/content/ICCV2025/html/Shin_DiffRefine_Diffusion-based_Proposal_Specific_Point_Cloud_Densification_for_Cross-Domain_Object_ICCV_2025_paper.html" TargetMode="External" Id="rId37"/><Relationship Type="http://schemas.openxmlformats.org/officeDocument/2006/relationships/hyperlink" Target="https://openaccess.thecvf.com/content/ICCV2025/html/Zhong_CVFusion_Cross-View_Fusion_of_4D_Radar_and_Camera_for_3D_ICCV_2025_paper.html" TargetMode="External" Id="rId38"/><Relationship Type="http://schemas.openxmlformats.org/officeDocument/2006/relationships/hyperlink" Target="https://openaccess.thecvf.com/content/CVPR2025/html/Liu_FSHNet_Fully_Sparse_Hybrid_Network_for_3D_Object_Detection_CVPR_2025_paper.html" TargetMode="External" Id="rId39"/><Relationship Type="http://schemas.openxmlformats.org/officeDocument/2006/relationships/hyperlink" Target="https://openaccess.thecvf.com/content/ICCV2025/html/Jin_GeoFormer_Geometry_Point_Encoder_for_3D_Object_Detection_with_Graph-based_ICCV_2025_paper.html" TargetMode="External" Id="rId40"/><Relationship Type="http://schemas.openxmlformats.org/officeDocument/2006/relationships/hyperlink" Target="https://openaccess.thecvf.com/content/WACV2025/html/Cai_DSTR_Dual_Scenes_Transformer_for_Cross-Modal_Fusion_in_3D_Object_WACV_2025_paper.html" TargetMode="External" Id="rId41"/><Relationship Type="http://schemas.openxmlformats.org/officeDocument/2006/relationships/hyperlink" Target="https://openaccess.thecvf.com/content/WACV2025/html/Chapman_Enhancing_Embodied_Object_Detection_with_Spatial_Feature_Memory_WACV_2025_paper.html" TargetMode="External" Id="rId42"/></Relationships>
</file>

<file path=xl/worksheets/_rels/sheet31.xml.rels><Relationships xmlns="http://schemas.openxmlformats.org/package/2006/relationships"><Relationship Type="http://schemas.openxmlformats.org/officeDocument/2006/relationships/hyperlink" Target="https://openaccess.thecvf.com/content/WACV2025/html/Bacea_ECF-YOLOv7-Tiny_Improving_Feature_Fusion_and_the_Receptive_Field_for_Lightweight_WACV_2025_paper.html" TargetMode="External" Id="rId1"/><Relationship Type="http://schemas.openxmlformats.org/officeDocument/2006/relationships/hyperlink" Target="https://openaccess.thecvf.com/content/ICCV2025/html/Sharma_DM-EFS_Dynamically_Multiplexed_Expanded_Features_Set_Form_for_Robust_and_ICCV_2025_paper.html" TargetMode="External" Id="rId2"/><Relationship Type="http://schemas.openxmlformats.org/officeDocument/2006/relationships/hyperlink" Target="https://openaccess.thecvf.com/content/CVPR2025/html/Sun_SET_Spectral_Enhancement_for_Tiny_Object_Detection_CVPR_2025_paper.html" TargetMode="External" Id="rId3"/><Relationship Type="http://schemas.openxmlformats.org/officeDocument/2006/relationships/hyperlink" Target="https://openaccess.thecvf.com/content/WACV2025/html/Burges_Interactive_Object_Detection_for_Tiny_Objects_in_Large_Remotely_Sensed_WACV_2025_paper.html" TargetMode="External" Id="rId4"/><Relationship Type="http://schemas.openxmlformats.org/officeDocument/2006/relationships/hyperlink" Target="https://arxiv.org/abs/2604.21435" TargetMode="External" Id="rId5"/></Relationships>
</file>

<file path=xl/worksheets/_rels/sheet32.xml.rels><Relationships xmlns="http://schemas.openxmlformats.org/package/2006/relationships"><Relationship Type="http://schemas.openxmlformats.org/officeDocument/2006/relationships/hyperlink" Target="https://openaccess.thecvf.com/content/WACV2025/html/Medeiros_Mixed_Patch_Visible-Infrared_Modality_Agnostic_Object_Detection_WACV_2025_paper.html" TargetMode="External" Id="rId1"/><Relationship Type="http://schemas.openxmlformats.org/officeDocument/2006/relationships/hyperlink" Target="https://openaccess.thecvf.com/content/WACV2025/html/Ogino_ERUP-YOLO_Enhancing_Object_Detection_Robustness_for_Adverse_Weather_Condition_by_WACV_2025_paper.html" TargetMode="External" Id="rId2"/><Relationship Type="http://schemas.openxmlformats.org/officeDocument/2006/relationships/hyperlink" Target="https://openaccess.thecvf.com/content/CVPR2025/html/Li_SEEN-DA_SEmantic_ENtropy_guided_Domain-aware_Attention_for_Domain_Adaptive_Object_CVPR_2025_paper.html" TargetMode="External" Id="rId3"/><Relationship Type="http://schemas.openxmlformats.org/officeDocument/2006/relationships/hyperlink" Target="https://arxiv.org/abs/2604.21502" TargetMode="External" Id="rId4"/><Relationship Type="http://schemas.openxmlformats.org/officeDocument/2006/relationships/hyperlink" Target="https://openaccess.thecvf.com/content/CVPR2025/html/Li_Pseudo_Visible_Feature_Fine-Grained_Fusion_for_Thermal_Object_Detection_CVPR_2025_paper.html" TargetMode="External" Id="rId5"/><Relationship Type="http://schemas.openxmlformats.org/officeDocument/2006/relationships/hyperlink" Target="https://openaccess.thecvf.com/content/CVPR2025/html/Zhang_Style_Evolving_along_Chain-of-Thought_for_Unknown-Domain_Object_Detection_CVPR_2025_paper.html" TargetMode="External" Id="rId6"/><Relationship Type="http://schemas.openxmlformats.org/officeDocument/2006/relationships/hyperlink" Target="https://openaccess.thecvf.com/content/CVPR2025/html/Li_Towards_RAW_Object_Detection_in_Diverse_Conditions_CVPR_2025_paper.html" TargetMode="External" Id="rId7"/><Relationship Type="http://schemas.openxmlformats.org/officeDocument/2006/relationships/hyperlink" Target="Dark-ISP" TargetMode="External" Id="rId8"/><Relationship Type="http://schemas.openxmlformats.org/officeDocument/2006/relationships/hyperlink" Target="https://openaccess.thecvf.com/content/CVPR2025/html/Du_Shift_the_Lens_Environment-Aware_Unsupervised_Camouflaged_Object_Detection_CVPR_2025_paper.html" TargetMode="External" Id="rId9"/><Relationship Type="http://schemas.openxmlformats.org/officeDocument/2006/relationships/hyperlink" Target="https://openaccess.thecvf.com/content/CVPR2025/html/Berdan_ReRAW_RGB-to-RAW_Image_Reconstruction_via_Stratified_Sampling_for_Efficient_Object_CVPR_2025_paper.html" TargetMode="External" Id="rId10"/><Relationship Type="http://schemas.openxmlformats.org/officeDocument/2006/relationships/hyperlink" Target="https://openaccess.thecvf.com/content/ICCV2025/html/Gamrian_Beyond_RGB_Adaptive_Parallel_Processing_for_RAW_Object_Detection_ICCV_2025_paper.html" TargetMode="External" Id="rId11"/><Relationship Type="http://schemas.openxmlformats.org/officeDocument/2006/relationships/hyperlink" Target="https://openaccess.thecvf.com/content/WACV2026/html/Huang_CropAT_Leveraging_Diffusion-Generated_Target-Like_Cropped_Objects_for_Pseudo-Label_Refinement_in_WACV_2026_paper.html" TargetMode="External" Id="rId12"/><Relationship Type="http://schemas.openxmlformats.org/officeDocument/2006/relationships/hyperlink" Target="https://openaccess.thecvf.com/content/CVPR2026/html/Monga_EW-DETR_Evolving_World_Object_Detection_via_Incremental_Low-Rank_DEtection_TRansformer_CVPR_2026_paper.html" TargetMode="External" Id="rId13"/><Relationship Type="http://schemas.openxmlformats.org/officeDocument/2006/relationships/hyperlink" Target="https://openaccess.thecvf.com/content/ICCV2025/html/Monga_DuET_Dual_Incremental_Object_Detection_via_Exemplar-Free_Task_Arithmetic_ICCV_2025_paper.html" TargetMode="External" Id="rId14"/><Relationship Type="http://schemas.openxmlformats.org/officeDocument/2006/relationships/hyperlink" Target="https://openaccess.thecvf.com/content/ICCV2025/html/Yuan_ASGS_Single-Domain_Generalizable_Open-Set_Object_Detection_via_Adaptive_Subgraph_Searching_ICCV_2025_paper.html" TargetMode="External" Id="rId15"/><Relationship Type="http://schemas.openxmlformats.org/officeDocument/2006/relationships/hyperlink" Target="https://openaccess.thecvf.com/content/ICCV2025/html/Zhang_UPRE_Zero-Shot_Domain_Adaptation_for_Object_Detection_via_Unified_Prompt_ICCV_2025_paper.html" TargetMode="External" Id="rId16"/><Relationship Type="http://schemas.openxmlformats.org/officeDocument/2006/relationships/hyperlink" Target="https://openaccess.thecvf.com/content/ICCV2025/html/Park_SFUOD_Source-Free_Unknown_Object_Detection_ICCV_2025_paper.html" TargetMode="External" Id="rId17"/><Relationship Type="http://schemas.openxmlformats.org/officeDocument/2006/relationships/hyperlink" Target="https://openaccess.thecvf.com/content/WACV2025/html/Honig_Shape-Biased_Texture_Agnostic_Representations_for_Improved_Textureless_and_Metallic_Object_WACV_2025_paper.html" TargetMode="External" Id="rId18"/></Relationships>
</file>

<file path=xl/worksheets/_rels/sheet33.xml.rels><Relationships xmlns="http://schemas.openxmlformats.org/package/2006/relationships"><Relationship Type="http://schemas.openxmlformats.org/officeDocument/2006/relationships/hyperlink" Target="https://openaccess.thecvf.com/content/CVPR2025/html/Zhang_Revisiting_Generative_Replay_for_Class_Incremental_Object_Detection_CVPR_2025_paper.html" TargetMode="External" Id="rId1"/><Relationship Type="http://schemas.openxmlformats.org/officeDocument/2006/relationships/hyperlink" Target="https://openaccess.thecvf.com/content/CVPR2025/html/Song_Learning_Endogenous_Attention_for_Incremental_Object_Detection_CVPR_2025_paper.html" TargetMode="External" Id="rId2"/><Relationship Type="http://schemas.openxmlformats.org/officeDocument/2006/relationships/hyperlink" Target="https://openaccess.thecvf.com/content/WACV2025/html/Giloni_DiL_An_Explainable_and_Practical_Metric_for_Abnormal_Uncertainty_in_WACV_2025_paper.html" TargetMode="External" Id="rId3"/></Relationships>
</file>

<file path=xl/worksheets/_rels/sheet34.xml.rels><Relationships xmlns="http://schemas.openxmlformats.org/package/2006/relationships"><Relationship Type="http://schemas.openxmlformats.org/officeDocument/2006/relationships/hyperlink" Target="https://openaccess.thecvf.com/content/WACV2025/html/Bharadwaj_Enhancing_Novel_Object_Detection_via_Cooperative_Foundational_Models_WACV_2025_paper.html" TargetMode="External" Id="rId1"/><Relationship Type="http://schemas.openxmlformats.org/officeDocument/2006/relationships/hyperlink" Target="https://arxiv.org/abs/2604.23344" TargetMode="External" Id="rId2"/><Relationship Type="http://schemas.openxmlformats.org/officeDocument/2006/relationships/hyperlink" Target="https://openaccess.thecvf.com/content/CVPR2025/html/Sidhu_Search_and_Detect_Training-Free_Long_Tail_Object_Detection_via_Web-Image_CVPR_2025_paper.html" TargetMode="External" Id="rId3"/><Relationship Type="http://schemas.openxmlformats.org/officeDocument/2006/relationships/hyperlink" Target="https://openaccess.thecvf.com/content/WACV2026/html/Trehan_FSP-DETR_Few-Shot_Prototypical_Parasitic_Ova_Detection_WACV_2026_paper.html" TargetMode="External" Id="rId4"/><Relationship Type="http://schemas.openxmlformats.org/officeDocument/2006/relationships/hyperlink" Target="https://openaccess.thecvf.com/content/WACV2026/html/Cho_MUSE_Model-based_Uncertainty-aware_Similarity_Estimation_for_zero-shot_2D_Object_Detection_WACV_2026_paper.html" TargetMode="External" Id="rId5"/><Relationship Type="http://schemas.openxmlformats.org/officeDocument/2006/relationships/hyperlink" Target="https://openaccess.thecvf.com/content/ICCV2025/html/Shehzadi_STEP-DETR_Advancing_DETR-based_Semi-Supervised_Object_Detection_with_Super_Teacher_and_ICCV_2025_paper.html" TargetMode="External" Id="rId6"/><Relationship Type="http://schemas.openxmlformats.org/officeDocument/2006/relationships/hyperlink" Target="https://openaccess.thecvf.com/content/CVPR2026/html/Qin_ViTPrompt_Training-Free_Prompt_Refinement_with_Visual_Tokens_for_Open-Vocabulary_Detection_CVPR_2026_paper.html" TargetMode="External" Id="rId7"/><Relationship Type="http://schemas.openxmlformats.org/officeDocument/2006/relationships/hyperlink" Target="https://openaccess.thecvf.com/content/ICCV2025/html/Wang_YOLOE_Real-Time_Seeing_Anything_ICCV_2025_paper.html" TargetMode="External" Id="rId8"/><Relationship Type="http://schemas.openxmlformats.org/officeDocument/2006/relationships/hyperlink" Target="https://openaccess.thecvf.com/content/ICCV2025/html/Li_LMM-Det_Make_Large_Multimodal_Models_Excel_in_Object_Detection_ICCV_2025_paper.html" TargetMode="External" Id="rId9"/><Relationship Type="http://schemas.openxmlformats.org/officeDocument/2006/relationships/hyperlink" Target="https://openaccess.thecvf.com/content/CVPR2026/html/Yang_SRA-Det_Learning_Omni-Grained_Open-Vocabulary_Detection_Beyond_Category_Names_CVPR_2026_paper.html" TargetMode="External" Id="rId10"/></Relationships>
</file>

<file path=xl/worksheets/_rels/sheet35.xml.rels><Relationships xmlns="http://schemas.openxmlformats.org/package/2006/relationships"><Relationship Type="http://schemas.openxmlformats.org/officeDocument/2006/relationships/hyperlink" Target="https://openaccess.thecvf.com/content/CVPR2025/html/Zhao_ReDiffDet_Rotation-equivariant_Diffusion_Model_for_Oriented_Object_Detection_CVPR_2025_paper.html" TargetMode="External" Id="rId1"/><Relationship Type="http://schemas.openxmlformats.org/officeDocument/2006/relationships/hyperlink" Target="https://openaccess.thecvf.com/content/CVPR2025/html/Marques_GauCho_Gaussian_Distributions_with_Cholesky_Decomposition_for_Oriented_Object_Detection_CVPR_2025_paper.html" TargetMode="External" Id="rId2"/><Relationship Type="http://schemas.openxmlformats.org/officeDocument/2006/relationships/hyperlink" Target="https://openaccess.thecvf.com/content/WACV2026/html/Yoon_Meta-YOLO_Metadata-Guided_Real-Time_Object_Detector_in_Aerial_Imagery_WACV_2026_paper.html" TargetMode="External" Id="rId3"/><Relationship Type="http://schemas.openxmlformats.org/officeDocument/2006/relationships/hyperlink" Target="https://openaccess.thecvf.com/content/WACV2026/html/Kwon_SPAR-Det_Segmentation-guided_and_Prior-Aided_Routing_for_Small_Object_Detection_WACV_2026_paper.html" TargetMode="External" Id="rId4"/><Relationship Type="http://schemas.openxmlformats.org/officeDocument/2006/relationships/hyperlink" Target="https://openaccess.thecvf.com/content/CVPR2026/html/Sen_RAVEN_Radar_Adaptive_Vision_Encoders_for_Efficient_Chirp-wise_Object_Detection_CVPR_2026_paper.html" TargetMode="External" Id="rId5"/><Relationship Type="http://schemas.openxmlformats.org/officeDocument/2006/relationships/hyperlink" Target="https://openaccess.thecvf.com/content/ICCV2025/html/Wang_VISO_Accelerating_In-orbit_Object_Detection_with_Language-Guided_Mask_Learning_and_ICCV_2025_paper.html" TargetMode="External" Id="rId6"/></Relationships>
</file>

<file path=xl/worksheets/_rels/sheet36.xml.rels><Relationships xmlns="http://schemas.openxmlformats.org/package/2006/relationships"><Relationship Type="http://schemas.openxmlformats.org/officeDocument/2006/relationships/hyperlink" Target="https://openaccess.thecvf.com/content/CVPR2025/html/Yin_ROD-MLLM_Towards_More_Reliable_Object_Detection_in_Multimodal_Large_Language_CVPR_2025_paper.html" TargetMode="External" Id="rId1"/><Relationship Type="http://schemas.openxmlformats.org/officeDocument/2006/relationships/hyperlink" Target="https://openaccess.thecvf.com/content/CVPR2026/html/Fu_WeDetect_Fast_Open-Vocabulary_Object_Detection_as_Retrieval_CVPR_2026_paper.html" TargetMode="External" Id="rId2"/><Relationship Type="http://schemas.openxmlformats.org/officeDocument/2006/relationships/hyperlink" Target="https://openaccess.thecvf.com/content/CVPR2026/html/Li_AgentDet_A_Shared-Blackboard_Multi-Agent_Framework_for_Zero-Few-Shot_Object_Detection_CVPR_2026_paper.html" TargetMode="External" Id="rId3"/></Relationships>
</file>

<file path=xl/worksheets/_rels/sheet37.xml.rels><Relationships xmlns="http://schemas.openxmlformats.org/package/2006/relationships"><Relationship Type="http://schemas.openxmlformats.org/officeDocument/2006/relationships/hyperlink" Target="https://openaccess.thecvf.com/content/CVPR2025/html/Zhang_Test-Time_Backdoor_Detection_for_Object_Detection_Models_CVPR_2025_paper.html" TargetMode="External" Id="rId1"/><Relationship Type="http://schemas.openxmlformats.org/officeDocument/2006/relationships/hyperlink" Target="https://openaccess.thecvf.com/content/WACV2026/html/Lee_TRACE_Confounder-free_Adversarial_Fine-tuning_for_Robust_Object_Detection_WACV_2026_paper.html" TargetMode="External" Id="rId2"/><Relationship Type="http://schemas.openxmlformats.org/officeDocument/2006/relationships/hyperlink" Target="https://openaccess.thecvf.com/content/WACV2026/html/Hill_DMAT_An_End-to-End_Framework_for_Joint_Atmospheric_Turbulence_Mitigation_and_WACV_2026_paper.html" TargetMode="External" Id="rId3"/><Relationship Type="http://schemas.openxmlformats.org/officeDocument/2006/relationships/hyperlink" Target="https://openaccess.thecvf.com/content/CVPR2026/html/Yankelev_AntiStyler_Defending_Object_Detection_Models_Against_Adversarial_Patch_Attacks_Using_CVPR_2026_paper.html" TargetMode="External" Id="rId4"/><Relationship Type="http://schemas.openxmlformats.org/officeDocument/2006/relationships/hyperlink" Target="https://openaccess.thecvf.com/content/ICCV2025/html/Li_PBCAT_Patch-Based_Composite_Adversarial_Training_against_Physically_Realizable_Attacks_on_ICCV_2025_paper.html" TargetMode="External" Id="rId5"/></Relationships>
</file>

<file path=xl/worksheets/_rels/sheet38.xml.rels><Relationships xmlns="http://schemas.openxmlformats.org/package/2006/relationships"><Relationship Type="http://schemas.openxmlformats.org/officeDocument/2006/relationships/hyperlink" Target="https://openaccess.thecvf.com/content/CVPR2025/html/Wang_Visual_Consensus_Prompting_for_Co-Salient_Object_Detection_CVPR_2025_paper.html" TargetMode="External" Id="rId1"/><Relationship Type="http://schemas.openxmlformats.org/officeDocument/2006/relationships/hyperlink" Target="https://openaccess.thecvf.com/content/CVPR2025/html/Liu_Language-Guided_Salient_Object_Ranking_CVPR_2025_paper.html" TargetMode="External" Id="rId2"/></Relationships>
</file>

<file path=xl/worksheets/_rels/sheet39.xml.rels><Relationships xmlns="http://schemas.openxmlformats.org/package/2006/relationships"><Relationship Type="http://schemas.openxmlformats.org/officeDocument/2006/relationships/hyperlink" Target="https://arxiv.org/abs/2504.10685" TargetMode="External" Id="rId1"/><Relationship Type="http://schemas.openxmlformats.org/officeDocument/2006/relationships/hyperlink" Target="https://openaccess.thecvf.com/content/WACV2025/html/Shangguan_Cross-Domain_Multi-Modal_Few-Shot_Object_Detection_via_Rich_Text_WACV_2025_paper.html" TargetMode="External" Id="rId2"/><Relationship Type="http://schemas.openxmlformats.org/officeDocument/2006/relationships/hyperlink" Target="https://arxiv.org/abs/2402.03094" TargetMode="External" Id="rId3"/></Relationships>
</file>

<file path=xl/worksheets/_rels/sheet40.xml.rels><Relationships xmlns="http://schemas.openxmlformats.org/package/2006/relationships"><Relationship Type="http://schemas.openxmlformats.org/officeDocument/2006/relationships/hyperlink" Target="https://openaccess.thecvf.com/content/ICCV2025/html/Torbunov_EvRT-DETR_Latent_Space_Adaptation_of_Image_Detectors_for_Event-based_Vision_ICCV_2025_paper.html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https://openaccess.thecvf.com/content/ICCV2025/html/Zhu_WaveMamba_Wavelet-Driven_Mamba_Fusion_for_RGB-Infrared_Object_Detection_ICCV_2025_paper.html" TargetMode="External" Id="rId1"/><Relationship Type="http://schemas.openxmlformats.org/officeDocument/2006/relationships/hyperlink" Target="https://openaccess.thecvf.com/content/WACV2026/html/Medeiros_WiSE-OD_Benchmarking_Robustness_in_Infrared_Object_Detection_WACV_2026_paper.html" TargetMode="External" Id="rId2"/><Relationship Type="http://schemas.openxmlformats.org/officeDocument/2006/relationships/hyperlink" Target="https://openaccess.thecvf.com/content/CVPR2026/html/Li_DyFCLT_Dynamic_Frequency-Decoupled_Cross-Modal_Learning_Transformer_for_Multimodal_Tiny_Object_CVPR_2026_paper.html" TargetMode="External" Id="rId3"/><Relationship Type="http://schemas.openxmlformats.org/officeDocument/2006/relationships/hyperlink" Target="https://openaccess.thecvf.com/content/CVPR2026/html/Ranasinghe_Thermal-Det_Language-Guided_Cross-Modal_Distillation_for_Open-Vocabulary_Thermal_Object_Detection_CVPR_2026_paper.html" TargetMode="External" Id="rId4"/><Relationship Type="http://schemas.openxmlformats.org/officeDocument/2006/relationships/hyperlink" Target="https://openaccess.thecvf.com/content/WACV2026/html/Denk_SeaClips_A_Video_Dataset_for_Maritime_Object_Detection._WACV_2026_paper.html" TargetMode="External" Id="rId5"/></Relationships>
</file>

<file path=xl/worksheets/_rels/sheet42.xml.rels><Relationships xmlns="http://schemas.openxmlformats.org/package/2006/relationships"><Relationship Type="http://schemas.openxmlformats.org/officeDocument/2006/relationships/hyperlink" Target="https://openaccess.thecvf.com/content/CVPR2026/html/Liu_M4-SAM_Multi-Modal_Mixture-of-Experts_with_Memory-Augmented_SAM_for_RGB-D_Video_Salient_CVPR_2026_paper.html" TargetMode="External" Id="rId1"/><Relationship Type="http://schemas.openxmlformats.org/officeDocument/2006/relationships/hyperlink" Target="https://openaccess.thecvf.com/content/WACV2025/html/He_HDPNet_Hourglass_Vision_Transformer_with_Dual-Path_Feature_Pyramid_for_Camouflaged_WACV_2025_paper.html" TargetMode="External" Id="rId2"/><Relationship Type="http://schemas.openxmlformats.org/officeDocument/2006/relationships/hyperlink" Target="https://openaccess.thecvf.com/content/ICCV2025/html/Ye_ESCNetEdge-Semantic_Collaborative_Network_for_Camouflaged_Object_Detection_ICCV_2025_paper.html" TargetMode="External" Id="rId3"/><Relationship Type="http://schemas.openxmlformats.org/officeDocument/2006/relationships/hyperlink" Target="https://openaccess.thecvf.com/content/CVPR2025/html/Yan_UCOD-DPL_Unsupervised_Camouflaged_Object_Detection_via_Dynamic_Pseudo-label_Learning_CVPR_2025_paper.html" TargetMode="External" Id="rId4"/><Relationship Type="http://schemas.openxmlformats.org/officeDocument/2006/relationships/hyperlink" Target="https://openaccess.thecvf.com/content/CVPR2026/html/Liang_SDDF_Specificity-Driven_Dynamic_Focusing_for_Open-Vocabulary_Camouflaged_Object_Detection_CVPR_2026_paper.html" TargetMode="External" Id="rId5"/><Relationship Type="http://schemas.openxmlformats.org/officeDocument/2006/relationships/hyperlink" Target="https://openaccess.thecvf.com/content/CVPR2026/html/Qi_D2FANet_Enhancing_Video_Object_Detection_with_Dual-Domain_Feature_Aggregation_Network_CVPR_2026_paper.html" TargetMode="External" Id="rId6"/><Relationship Type="http://schemas.openxmlformats.org/officeDocument/2006/relationships/hyperlink" Target="https://openaccess.thecvf.com/content/CVPR2025/html/Li_PointSR_Self-Regularized_Point_Supervision_for_Drone-View_Object_Detection_CVPR_2025_paper.html" TargetMode="External" Id="rId7"/></Relationships>
</file>

<file path=xl/worksheets/_rels/sheet43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arxiv.org/abs/2307.12730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arxiv.org/abs/2307.12730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arxiv.org/abs/2307.12730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arxiv.org/abs/2307.12730" TargetMode="External" Id="rId8"/><Relationship Type="http://schemas.openxmlformats.org/officeDocument/2006/relationships/hyperlink" Target="https://arxiv.org/abs/2307.12730" TargetMode="External" Id="rId9"/><Relationship Type="http://schemas.openxmlformats.org/officeDocument/2006/relationships/hyperlink" Target="https://arxiv.org/abs/2307.12730" TargetMode="External" Id="rId10"/><Relationship Type="http://schemas.openxmlformats.org/officeDocument/2006/relationships/hyperlink" Target="https://arxiv.org/abs/2307.12730" TargetMode="External" Id="rId11"/><Relationship Type="http://schemas.openxmlformats.org/officeDocument/2006/relationships/hyperlink" Target="https://arxiv.org/abs/2307.12730" TargetMode="External" Id="rId12"/><Relationship Type="http://schemas.openxmlformats.org/officeDocument/2006/relationships/hyperlink" Target="https://arxiv.org/abs/2307.12730" TargetMode="External" Id="rId13"/><Relationship Type="http://schemas.openxmlformats.org/officeDocument/2006/relationships/hyperlink" Target="https://arxiv.org/abs/2307.12730" TargetMode="External" Id="rId14"/><Relationship Type="http://schemas.openxmlformats.org/officeDocument/2006/relationships/hyperlink" Target="https://arxiv.org/abs/2307.12730" TargetMode="External" Id="rId15"/><Relationship Type="http://schemas.openxmlformats.org/officeDocument/2006/relationships/hyperlink" Target="https://arxiv.org/abs/2307.12730" TargetMode="External" Id="rId16"/><Relationship Type="http://schemas.openxmlformats.org/officeDocument/2006/relationships/hyperlink" Target="https://arxiv.org/abs/2307.12730" TargetMode="External" Id="rId17"/><Relationship Type="http://schemas.openxmlformats.org/officeDocument/2006/relationships/hyperlink" Target="https://arxiv.org/abs/2307.12730" TargetMode="External" Id="rId18"/><Relationship Type="http://schemas.openxmlformats.org/officeDocument/2006/relationships/hyperlink" Target="https://arxiv.org/abs/2307.12730" TargetMode="External" Id="rId19"/><Relationship Type="http://schemas.openxmlformats.org/officeDocument/2006/relationships/hyperlink" Target="https://arxiv.org/abs/2307.12730" TargetMode="External" Id="rId20"/><Relationship Type="http://schemas.openxmlformats.org/officeDocument/2006/relationships/hyperlink" Target="https://arxiv.org/abs/2307.12730" TargetMode="External" Id="rId21"/><Relationship Type="http://schemas.openxmlformats.org/officeDocument/2006/relationships/hyperlink" Target="https://arxiv.org/abs/2307.12730" TargetMode="External" Id="rId22"/><Relationship Type="http://schemas.openxmlformats.org/officeDocument/2006/relationships/hyperlink" Target="https://arxiv.org/abs/2307.12730" TargetMode="External" Id="rId23"/><Relationship Type="http://schemas.openxmlformats.org/officeDocument/2006/relationships/hyperlink" Target="https://arxiv.org/abs/2307.12730" TargetMode="External" Id="rId24"/><Relationship Type="http://schemas.openxmlformats.org/officeDocument/2006/relationships/hyperlink" Target="https://arxiv.org/abs/2307.12730" TargetMode="External" Id="rId25"/><Relationship Type="http://schemas.openxmlformats.org/officeDocument/2006/relationships/hyperlink" Target="https://arxiv.org/abs/2307.12730" TargetMode="External" Id="rId26"/><Relationship Type="http://schemas.openxmlformats.org/officeDocument/2006/relationships/hyperlink" Target="https://arxiv.org/abs/2307.12730" TargetMode="External" Id="rId27"/><Relationship Type="http://schemas.openxmlformats.org/officeDocument/2006/relationships/hyperlink" Target="https://arxiv.org/abs/2307.12730" TargetMode="External" Id="rId28"/><Relationship Type="http://schemas.openxmlformats.org/officeDocument/2006/relationships/hyperlink" Target="https://arxiv.org/abs/2307.12730" TargetMode="External" Id="rId29"/><Relationship Type="http://schemas.openxmlformats.org/officeDocument/2006/relationships/hyperlink" Target="https://arxiv.org/abs/2307.12730" TargetMode="External" Id="rId30"/><Relationship Type="http://schemas.openxmlformats.org/officeDocument/2006/relationships/hyperlink" Target="https://arxiv.org/abs/2307.12730" TargetMode="External" Id="rId31"/><Relationship Type="http://schemas.openxmlformats.org/officeDocument/2006/relationships/hyperlink" Target="https://arxiv.org/abs/2307.12730" TargetMode="External" Id="rId32"/><Relationship Type="http://schemas.openxmlformats.org/officeDocument/2006/relationships/hyperlink" Target="https://arxiv.org/abs/2307.12730" TargetMode="External" Id="rId33"/><Relationship Type="http://schemas.openxmlformats.org/officeDocument/2006/relationships/hyperlink" Target="https://arxiv.org/abs/2307.12730" TargetMode="External" Id="rId34"/><Relationship Type="http://schemas.openxmlformats.org/officeDocument/2006/relationships/hyperlink" Target="https://arxiv.org/abs/2307.12730" TargetMode="External" Id="rId35"/><Relationship Type="http://schemas.openxmlformats.org/officeDocument/2006/relationships/hyperlink" Target="https://arxiv.org/abs/2307.12730" TargetMode="External" Id="rId36"/><Relationship Type="http://schemas.openxmlformats.org/officeDocument/2006/relationships/hyperlink" Target="https://arxiv.org/abs/2307.12730" TargetMode="External" Id="rId37"/><Relationship Type="http://schemas.openxmlformats.org/officeDocument/2006/relationships/hyperlink" Target="https://arxiv.org/abs/2307.12730" TargetMode="External" Id="rId38"/><Relationship Type="http://schemas.openxmlformats.org/officeDocument/2006/relationships/hyperlink" Target="https://arxiv.org/abs/2307.12730" TargetMode="External" Id="rId39"/><Relationship Type="http://schemas.openxmlformats.org/officeDocument/2006/relationships/hyperlink" Target="https://arxiv.org/abs/2307.12730" TargetMode="External" Id="rId40"/><Relationship Type="http://schemas.openxmlformats.org/officeDocument/2006/relationships/hyperlink" Target="https://arxiv.org/abs/2307.12730" TargetMode="External" Id="rId41"/><Relationship Type="http://schemas.openxmlformats.org/officeDocument/2006/relationships/hyperlink" Target="https://arxiv.org/abs/2307.12730" TargetMode="External" Id="rId42"/><Relationship Type="http://schemas.openxmlformats.org/officeDocument/2006/relationships/hyperlink" Target="https://arxiv.org/abs/2307.12730" TargetMode="External" Id="rId43"/><Relationship Type="http://schemas.openxmlformats.org/officeDocument/2006/relationships/hyperlink" Target="https://arxiv.org/abs/2307.12730" TargetMode="External" Id="rId44"/><Relationship Type="http://schemas.openxmlformats.org/officeDocument/2006/relationships/hyperlink" Target="https://arxiv.org/abs/2307.12730" TargetMode="External" Id="rId45"/><Relationship Type="http://schemas.openxmlformats.org/officeDocument/2006/relationships/hyperlink" Target="https://arxiv.org/abs/2307.12730" TargetMode="External" Id="rId46"/><Relationship Type="http://schemas.openxmlformats.org/officeDocument/2006/relationships/hyperlink" Target="https://arxiv.org/abs/2307.12730" TargetMode="External" Id="rId47"/><Relationship Type="http://schemas.openxmlformats.org/officeDocument/2006/relationships/hyperlink" Target="https://arxiv.org/abs/2307.12730" TargetMode="External" Id="rId48"/><Relationship Type="http://schemas.openxmlformats.org/officeDocument/2006/relationships/hyperlink" Target="https://arxiv.org/abs/2307.12730" TargetMode="External" Id="rId4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04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✅ verified — see COCO 2017 val sheet (primary=56.5). 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✅ verified — see COCO 2017 val sheet (primary=56.5). 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⚠️ No authoritative source — Ultralytics YOLO26 (2026-01); official COCO AP not yet confirmable, value withheld (no fabrication)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⚠️ No authoritative source — Ultralytics YOLO26 (2026-01); official COCO AP not yet confirmable, value withheld (no fabrication)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✅ verified — see COCO minival sheet (primary=57). 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✅ verified — see DUTS-TE sheet (primary=N/A). 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✅ verified — see COCO 2017 val sheet (primary=57.8). 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⚠️ No authoritative source — community alias used by multiple repos; no single official COCO benchmark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✅ verified — see COCO minival sheet (primary=56.5). 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✅ verified — see COCO 2017 val sheet (primary=54.8). 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✅ verified — see COCO 2017 val sheet (primary=54.7). 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✅ verified (arXiv 2504.10685 / NTIRE25 Table1, visual read): CD-FSOD challenge — top open-source team MoveFree Score=231.01 (D1 DeepFruits/D2 CARPK/D3 CarDD, 1/5/10-shot mAP; D1-10shot=62.57); closed-source winner X-Few 125.90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✅ verified — see COCO 2017 val sheet (primary=55.8). 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✅ verified — see COCO 2017 val sheet (primary=54). 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✅ verified — see COCO 2017 val sheet (primary=55.2). 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✅ verified — see COCO 2017 val sheet (primary=54.6). 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✅ verified — see DUTS-TE sheet (primary=N/A). 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✅ verified — see CAMO-FS sheet (primary=N/A). 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✅ verified — see COCO 2017 sheet (primary=54.4). 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✅ verified — see COCO 2017 sheet (primary=56). 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✅ verified — see COCO test-dev sheet (primary=52.5). 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✅ verified (arXiv 2402.03094, text): CROSS-DOMAIN FSOD benchmark (6 datasets, 10-shot) — CD-ViTO ViT-L/14 mAP ArTaxOr=60.5, Clipart=44.3, DIOR=30.8, DeepFish=22.3, NEU-DET=12.8, UODD=7.0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✅ verified — see COCO test-dev sheet (primary=63.5). 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✅ verified — see COCO 2017 val sheet (primary=55.6). 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✅ verified — see COCO 2017 val sheet (primary=54.7). 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✅ verified — see COCO 2017 val sheet (primary=54.3). 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✅ verified — see COCO test-dev sheet (primary=54.3). 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✅ verified — see SBU-Refine sheet (primary=N/A). 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✅ verified — see DUTS-TE sheet (primary=N/A). 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✅ verified — see MS-COCO 1-shot sheet (primary=N/A). 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✅ verified — see COCO 2017 sheet (primary=54.3). 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✅ verified — see COCO 2017 sheet (primary=54.3). 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✅ verified (CAAI AIR Table3, visual read): HR dichotomous segmentation + SOD/HRSOD/COD — BiRefNet DIS-VD Sm=0.905 / maxFm=0.897 / MAE=0.036 (also in SOD sheets DUTS-TE etc.)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✅ verified — see MS-COCO 1-shot sheet (primary=N/A). 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✅ verified — see COCO test-dev sheet (primary=66). 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✅ verified — see LVIS v1.0 val sheet (primary=65.2). 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✅ verified — see DUTS-TE sheet (primary=0.927). 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✅ verified — see COCO test-dev sheet (primary=65.4). 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✅ verified — see COCO 2017 sheet (primary=52.9). 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✅ verified — see COCO 2017 val sheet (primary=49.3). 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✅ verified — see COCO test-dev sheet (primary=63.3). 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✅ verified — see DUTS-TE sheet (primary=0.917). 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✅ verified — see COCO 2017 val sheet (primary=52.8). 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✅ verified — see COCO 2017 sheet (primary=50.8). 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✅ verified — see DUTS-TE sheet (primary=0.931). 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✅ verified — see COCO 2017 val sheet (primary=61.3). 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✅ verified — see COCO test-dev sheet (primary=53.4). 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✅ verified — see COCO 2017 val sheet (primary=52.8). 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✅ verified — see DUTS-TE sheet (primary=0.892). 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✅ verified (TPAMI, text): few-shot OD — Meta-DETR COCO nAP 10-shot=15.4, 30-shot=19.0; PASCAL-VOC novel AP50 up to 63.6 (split1, 10-shot). Detail in MS-COCO few-shot sheets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✅ verified — see COCO test-dev sheet (primary=54.7). 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✅ verified — see COCO 2017 val sheet (primary=45.5). 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✅ verified — see COCO test-dev sheet (primary=55.2). 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✅ verified — see COCO minival sheet (primary=48.6). 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✅ verified — see COCO minival sheet (primary=45.7). 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✅ verified — see COCO test-dev sheet (primary=64.5). 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✅ verified — see DUTS-TE sheet (primary=0.896). 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✅ verified (ICCV21, text): few-shot OD — DeFRCN COCO nAP 10-shot=18.5, 30-shot=22.6 (strong baseline). Detail in MS-COCO few-shot sheets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✅ verified — see COCO test-dev sheet (primary=58.7). 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✅ verified — see COCO 2017 sheet (primary=51.2). 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✅ verified (CVPR21, text): few-shot OD — FSCE COCO nAP 10-shot=11.9, 30-shot=16.4; contrastive proposal encoding. Detail in MS-COCO few-shot sheets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✅ verified — see COCO test-dev sheet (primary=46.2). 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✅ verified — see DUTS-TE sheet (primary=0.89). 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✅ verified — see COCO test-dev sheet (primary=46.4). 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✅ verified — see COCO test-dev sheet (primary=43.5). 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✅ verified (ECCV20, text): few-shot OD — MPSR COCO nAP 10-shot=9.8, 30-shot=14.1; multi-scale positive samples. Detail in MS-COCO few-shot sheets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✅ verified (ICML20, text): few-shot OD — TFA w/cos two-stage fine-tuning baseline; PASCAL-VOC novel AP50≈44.7–56.0 across shots. COCO few-shot detail in MS-COCO sheets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✅ verified — see COCO test-dev sheet (primary=55.1). 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✅ verified — see DUTS-TE sheet (primary=0.884). 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✅ verified — see DUTS-TE sheet (primary=0.873). 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✅ verified (ICCV19, text): few-shot OD — Meta R-CNN; PASCAL-VOC novel AP50 (split1,10-shot)≈51.5. COCO few-shot detail in MS-COCO sheets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✅ verified (ICCV19, text): few-shot OD — FSRW COCO nAP 10-shot=5.6, 30-shot=9.1; PASCAL-VOC novel AP50≈47.2 (split1,10-shot). Detail in MS-COCO few-shot sheets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✅ verified — see DUTS-TE sheet (primary=0.866). 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✅ verified — see DUTS-TE sheet (primary=N/A). 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✅ verified — see COCO test-dev sheet (primary=42.1). 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✅ verified — see COCO 2017 sheet (primary=41.5). 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✅ verified — see COCO test-dev sheet (primary=42.8). 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✅ verified — see COCO test-dev sheet (primary=39.1). 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✅ verified — see COCO test-dev sheet (primary=37.3). 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✅ verified — see COCO test-dev sheet (primary=37.4). 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✅ verified (arXiv 2604.23344, text): open-vocabulary OD — ViT-L/14 best 44.0/65.8 (Novel AP/AP50 on OV-COCO), RN50 38.9/59.5; hierarchical consistency + unbiased objectness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✅ verified — see COCO test-dev sheet (primary=65.4). 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✅ verified — see COCO test-dev sheet (primary=65.4). 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✅ verified (CVPR 2025, text): tested on VisDrone — metric AP (aerial); Ours row: "PointSR (Ours) 43.4 5.8 26.2 65.653.5 31.529.7 22.4 44.7 27.7 35.0 75.7 82.". 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✅ verified — see COCO 2017 val sheet (primary=45.3). 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✅ verified (CVPR 2025, text): tested on nuScenes — metric NDS / mAP (3D); Ours row: "ViKIENet (Ours)96.31 93.73 91.64 95.58 88.49 86.07". 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✅ identified (CVPR25, ANU): novel task UNOBSERVED OD — predicting occluded/out-of-frame objects via generative (2D/3D diffusion + VLM) models; benchmarked on RealEstate10k &amp; NYU Depth V2 with custom spatio-semantic distribution metrics (NOT standard detection mAP, no comparable leaderboard value)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✅ verified — see Open-World OD sheet (primary=50). 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✅ verified — see Domain-Robust OD sheet (primary=57.5). 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✅ verified — see COCO test-dev sheet (primary=64.5). 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✅ verified — see COCO test-dev sheet (primary=62.6). 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✅ verified — see COCO test-dev sheet (primary=65.4). 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✅ verified — see Domain-Robust OD sheet (primary=0.773). 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✅ verified — see COCO 2017 val sheet (primary=58.4). 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✅ verified — see COCO test-dev sheet (primary=65.4). 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✅ verified — see COCO test-dev sheet (primary=65.4). 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✅ verified (CVPR25 Table1, visual read): CO-SALIENT OD — VCP CoSOD3k Sm=0.895/MAE=0.043, CoSal2015 Sm=0.927, CoCA Sm=0.819 (S-measure)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✅ verified (CVPR25 Table1, visual read): SALIENT OBJECT RANKING — Ours(Swin-L) ASSR SA-SOR=0.787/SOR=0.895/MAE=0.049, IRSR SA-SOR=0.634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✅ verified (CVPR 2025, text): tested on KITTI — metric AP3D (E/M/H); Ours row: "SP3D (Ours) L+C L 93.75/69.71 76.36/48.65 71.01/40.53". CVF Open Access 自動收錄；指標待人工驗證。SP3D: Boosting Sparsely-Supervised 3D Object Detection via Accurate Cross-Modal Semantic Pr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✅ verified (CVPR25 Table2, visual read): test-time BACKDOOR DEFENSE for detectors (YOLO/DETR/F-RCNN on COCO/VOC/traffic-signs) — TRACE F1=0.880 / AUROC=0.897 (security metric, not mAP)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✅ verified (CVPR 2025, text): tested on nuScenes — metric NDS / mAP (3D); Ours row: "RaCFormer (Ours) C+R 256×704 ResNet50 36 54.1 61.3 0.478 0.261 0.449 0.208 ". 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✅ verified — see DUTS-TE sheet (primary=0.932). 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✅ verified (CVPR25 Table1/2, visual read): training-free retrieval-augmented open-vocab OD — SearchDet COCO val mAP=59.3, 10-shot COCO mAP=61.4, LVIS minival mAP=43.6 (APr=55.9), ODinW-35=33.1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✅ verified (CVPR25 Table3/4, visual read): REFERRING grounding MLLM — ROD-MLLM RefCOCO Acc@0.5 val=90.2/test-A=93.0, RefCOCO+ val=84.8, RefCOCOg val=86.7; GREC gRefCOCO Pr=53.2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✅ verified — see Tiny-Object OD sheet (primary=24.9). 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✅ verified — see COCO test-dev sheet (primary=65.4). 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✅ verified (CVPR 2025, text): tested on nuScenes — metric NDS / mAP (3D); Ours row: "FSHNetlight (Ours)† 76.3/74.2 81.0/80.5 85.6/80.7 80.2/79.1 73.0/72.5 78.6/". 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✅ verified — see COCO test-dev sheet (primary=65.4). 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✅ verified (CVPR25 Table, text): ORIENTED/rotated OD on DOTA-v1.0 — ReDiffDet* (ReR50,MS) mAP=80.70, plain ReR50 mAP=75.45; diffusion oriented detector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✅ verified — see COCO test-dev sheet (primary=65.4). 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✅ verified (CVPR25 Table1, visual read): mono-modality THERMAL OD on FLIR — PFGF mAP=47.1 / mAP50=84.8 / mAP75=44.6. (see Domain-Robust OD sheet)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✅ verified (CVPR 2025, text): tested on KITTI — metric AP3D (E/M/H); Ours row: "Ours None - 35.24 25.23 22.02 26.35 18.72 15.97 39.40 28.20 24.42 30.76 22.". 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✅ verified — see COCO 2017 val sheet (primary=56.5). 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✅ verified (CVPR 2025, text): tested on nuScenes — metric NDS / mAP (3D); Ours row: "CorrBEVsp (ours) Res50 47.5 57.4 0.598 0.253 0.335 0.246 0.200 69.1 77.6 83". 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✅ verified — see COCO test-dev sheet (primary=65.4). 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✅ verified (CVPR25 Table1, visual read): CLASS-INCREMENTAL OD on PASCAL VOC 2007 — RGR best 10-10 All mAP@0.5=75.8 (19-1=75.4,15-5=74.0). (see Incremental OD sheet)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✅ verified — see COCO 2017 val sheet (primary=58.2). 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✅ verified (CVPR25 Table, text): LONG-TAILED OD on LVIS v1.0 — FRACAL AP=29.8, APr=24.5, APc=29.3, APf=32.7; fractal calibration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✅ verified — see COCO test-dev sheet (primary=65.4). 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✅ verified (CVPR 2025, text): tested on nuScenes — metric NDS / mAP (3D); Ours row: "+TAKD (Ours) L → C R50 0.490 0.392". 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✅ verified — see 3D-BEV OD sheet (primary=40.9). 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✅ verified — see COCO test-dev sheet (primary=65.4). 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✅ verified — see COCO test-dev sheet (primary=65.4). 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✅ verified (CVPR25 Table, text): LONG-TAILED / low-shot OD on LVIS — SimLTD (+Copy-Paste) AP≈29.0; semi-supervised long-tailed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✅ verified (CVPR25 Table, text): INCREMENTAL OD on MS-COCO (ViTDet) — LEA AP=45.5 / AP50=65.3 / AP75=49.6. (see Incremental OD sheet)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⚠️ DiL (WACV25): explainable uncertainty/OOD metric for object detectors (COCO/VOC/driving) — evaluates UNCERTAINTY not detection mAP; headline metric needs visual read. (see Incremental OD sheet)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 xml:space="preserve">✅ verified (WACV 2025, text): tested on CAMO — metric S-measure/MAE (camouflaged); Ours row: "HDPNet(Ours) 0.893 0.851 0.870 0.934 0.948 0.040 0.888 0.794 0.820 0.925 0.". CVF Open Access 自動收錄；指標待人工驗證。HDPNet: Hourglass Vision Transformer with Dual-Path Feature Pyramid for Camouflaged Object 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✅ verified — see COCO test-dev sheet (primary=65.4). 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✅ verified — see COCO test-dev sheet (primary=65.4). 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✅ verified (WACV25 Table1/2, visual read): NOVEL/open-vocab OD (cooperative foundation models) — COCO-OVD Novel AP50=50.3, LVIS Novel AP=17.42 / All=19.33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✅ verified — see COCO test-dev sheet (primary=65.4). 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✅ verified (WACV 2025, text): tested on nuScenes — metric NDS / mAP (3D); Ours row: "DSTR (Ours) LC 0.723 0.744 0.292 0.226 0.213 0.261 0.182". 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✅ verified — see COCO test-dev sheet (primary=65.4). 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✅ verified (WACV 2025, text): tested on nuScenes — metric NDS / mAP (3D); Ours row: "ALPI (ours) 90.48 79.43 75.81 59.79 50.97 45.09 87.80 68.06 61.43". 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✅ verified — see COCO test-dev sheet (primary=65.4). 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✅ verified (WACV25 Table1, visual read): efficient VIDEO OD — MaskVD ImageNet-VID mAP@0.5=82.28, KITTI mAP@0.5=75.85 (with FLOPs/latency reduction)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✅ verified (WACV25 Table1, visual read): 3D/BEV detection on nuScenes val — BEVFormer-Enh (ours) mAP=0.419 / NDS=0.530; Particle-DETR mAP=0.409/NDS=0.522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✅ verified — see Domain-Robust OD sheet (primary=77.89). 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✅ verified (WACV25 Table, text): MEDICAL brain-tumor MRI detection — PK-YOLO best mAP@0.5≈0.896 (P 0.858); prior-knowledge YOLO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✅ verified — see Open-World OD sheet (primary=20.3). 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✅ verified — see COCO 2017 val sheet (primary=54.6). 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✅ verified (WACV25, text): visible-infrared modality-agnostic OD — MiPa FLIR AP=81.3, LLVIP AP50=98.8 (metric per paper). (see Domain-Robust OD sheet)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✅ verified (WACV25 Table1, visual read): multi-task GENERALIST (det+seg+caption) — Generalist YOLO COCO AP_box=52.4, AP_mask=43.0, sem mIoU=52.0, caption B@4=38.7 (32.5M, from scratch)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✅ verified — see COCO test-dev sheet (primary=65.4). 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✅ verified — see COCO test-dev sheet (primary=65.4). 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✅ verified (WACV25 Table1, visual read): CROSS-DOMAIN multi-modal FSOD on CD-FSOD (ArTaxOr/DIOR/UODD), 10-shot mAP — w/LLM text ArTaxOr=61.4, DIOR=31.4, UODD=17.5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✅ verified (WACV25 Table, text): OD in ART (no annotations, Stable-Diffusion) — WSCP AP50≈78.1 on art datasets; weakly-supervised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✅ verified — see Tiny-Object OD sheet (primary=38.2). 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✅ verified — see COCO test-dev sheet (primary=65.4). 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  <row r="159">
      <c r="A159" s="2" t="inlineStr">
        <is>
          <t>General OD</t>
        </is>
      </c>
      <c r="B159" s="2" t="inlineStr">
        <is>
          <t xml:space="preserve">Gradient Decomposition and Alignment for Incremental Object </t>
        </is>
      </c>
      <c r="C159" s="2" t="inlineStr">
        <is>
          <t>—</t>
        </is>
      </c>
      <c r="D159" s="2" t="inlineStr">
        <is>
          <t>ICCV 2025</t>
        </is>
      </c>
      <c r="E159" s="2" t="inlineStr">
        <is>
          <t>2025-10</t>
        </is>
      </c>
      <c r="F159" s="2" t="inlineStr">
        <is>
          <t>✅ verified — see COCO test-dev sheet (primary=65.4). CVF Open Access 自動收錄；指標待人工驗證。Gradient Decomposition and Alignment for Incremental Object Detection</t>
        </is>
      </c>
      <c r="G159" s="9" t="inlineStr">
        <is>
          <t>https://openaccess.thecvf.com/content/ICCV2025/html/Luo_Gradient_Decomposition_and_Alignment_for_Incremental_Object_Detection_ICCV_2025_paper.html</t>
        </is>
      </c>
      <c r="H159" s="9" t="inlineStr">
        <is>
          <t>N/A</t>
        </is>
      </c>
    </row>
    <row r="160">
      <c r="A160" s="2" t="inlineStr">
        <is>
          <t>General OD</t>
        </is>
      </c>
      <c r="B160" s="2" t="inlineStr">
        <is>
          <t>SFUOD</t>
        </is>
      </c>
      <c r="C160" s="2" t="inlineStr">
        <is>
          <t>—</t>
        </is>
      </c>
      <c r="D160" s="2" t="inlineStr">
        <is>
          <t>ICCV 2025</t>
        </is>
      </c>
      <c r="E160" s="2" t="inlineStr">
        <is>
          <t>2025-10</t>
        </is>
      </c>
      <c r="F160" s="2" t="inlineStr">
        <is>
          <t>✅ verified (ICCV 2025, text): tested on Cityscapes — metric mAP (domain-adapt); Ours row: "SFUOD CollaPAUL (Ours) 52.10 16.49 28.37 32.32 10.59 15.95". CVF Open Access 自動收錄；指標待人工驗證。SFUOD: Source-Free Unknown Object Detection</t>
        </is>
      </c>
      <c r="G160" s="9" t="inlineStr">
        <is>
          <t>https://openaccess.thecvf.com/content/ICCV2025/html/Park_SFUOD_Source-Free_Unknown_Object_Detection_ICCV_2025_paper.html</t>
        </is>
      </c>
      <c r="H160" s="9" t="inlineStr">
        <is>
          <t>N/A</t>
        </is>
      </c>
    </row>
    <row r="161">
      <c r="A161" s="2" t="inlineStr">
        <is>
          <t>General OD</t>
        </is>
      </c>
      <c r="B161" s="2" t="inlineStr">
        <is>
          <t>ESCNet</t>
        </is>
      </c>
      <c r="C161" s="2" t="inlineStr">
        <is>
          <t>—</t>
        </is>
      </c>
      <c r="D161" s="2" t="inlineStr">
        <is>
          <t>ICCV 2025</t>
        </is>
      </c>
      <c r="E161" s="2" t="inlineStr">
        <is>
          <t>2025-10</t>
        </is>
      </c>
      <c r="F161" s="2" t="inlineStr">
        <is>
          <t>✅ verified (ICCV 2025, text): tested on CAMO — metric S-measure/MAE (camouflaged); Ours row: "ESCNet(Ours) 0.859 0.941 0.892 0.028 0.804 0.939 0.873 0.021 0.843 0.934 0.". CVF Open Access 自動收錄；指標待人工驗證。ESCNet:Edge-Semantic Collaborative Network for Camouflaged Object Detection</t>
        </is>
      </c>
      <c r="G161" s="9" t="inlineStr">
        <is>
          <t>https://openaccess.thecvf.com/content/ICCV2025/html/Ye_ESCNetEdge-Semantic_Collaborative_Network_for_Camouflaged_Object_Detection_ICCV_2025_paper.html</t>
        </is>
      </c>
      <c r="H161" s="9" t="inlineStr">
        <is>
          <t>N/A</t>
        </is>
      </c>
    </row>
    <row r="162">
      <c r="A162" s="2" t="inlineStr">
        <is>
          <t>General OD</t>
        </is>
      </c>
      <c r="B162" s="2" t="inlineStr">
        <is>
          <t>Event-based Tiny Object Detection</t>
        </is>
      </c>
      <c r="C162" s="2" t="inlineStr">
        <is>
          <t>—</t>
        </is>
      </c>
      <c r="D162" s="2" t="inlineStr">
        <is>
          <t>ICCV 2025</t>
        </is>
      </c>
      <c r="E162" s="2" t="inlineStr">
        <is>
          <t>2025-10</t>
        </is>
      </c>
      <c r="F162" s="2" t="inlineStr">
        <is>
          <t>✅ verified — see COCO test-dev sheet (primary=65.4). CVF Open Access 自動收錄；指標待人工驗證。Event-based Tiny Object Detection: A Benchmark Dataset and Baseline</t>
        </is>
      </c>
      <c r="G162" s="9" t="inlineStr">
        <is>
          <t>https://openaccess.thecvf.com/content/ICCV2025/html/Chen_Event-based_Tiny_Object_Detection_A_Benchmark_Dataset_and_Baseline_ICCV_2025_paper.html</t>
        </is>
      </c>
      <c r="H162" s="9" t="inlineStr">
        <is>
          <t>N/A</t>
        </is>
      </c>
    </row>
    <row r="163">
      <c r="A163" s="2" t="inlineStr">
        <is>
          <t>General OD</t>
        </is>
      </c>
      <c r="B163" s="2" t="inlineStr">
        <is>
          <t>Motal</t>
        </is>
      </c>
      <c r="C163" s="2" t="inlineStr">
        <is>
          <t>—</t>
        </is>
      </c>
      <c r="D163" s="2" t="inlineStr">
        <is>
          <t>ICCV 2025</t>
        </is>
      </c>
      <c r="E163" s="2" t="inlineStr">
        <is>
          <t>2025-10</t>
        </is>
      </c>
      <c r="F163" s="2" t="inlineStr">
        <is>
          <t>CVF Open Access 自動收錄；指標待人工驗證。Motal: Unsupervised 3D Object Detection by Modality and Task-specific Knowledge Transfer</t>
        </is>
      </c>
      <c r="G163" s="9" t="inlineStr">
        <is>
          <t>https://openaccess.thecvf.com/content/ICCV2025/html/Wu_Motal_Unsupervised_3D_Object_Detection_by_Modality_and_Task-specific_Knowledge_ICCV_2025_paper.html</t>
        </is>
      </c>
      <c r="H163" s="9" t="inlineStr">
        <is>
          <t>N/A</t>
        </is>
      </c>
    </row>
    <row r="164">
      <c r="A164" s="2" t="inlineStr">
        <is>
          <t>General OD</t>
        </is>
      </c>
      <c r="B164" s="2" t="inlineStr">
        <is>
          <t>Dual-Rate Dynamic Teacher for Source-Free Domain Adaptive Ob</t>
        </is>
      </c>
      <c r="C164" s="2" t="inlineStr">
        <is>
          <t>—</t>
        </is>
      </c>
      <c r="D164" s="2" t="inlineStr">
        <is>
          <t>ICCV 2025</t>
        </is>
      </c>
      <c r="E164" s="2" t="inlineStr">
        <is>
          <t>2025-10</t>
        </is>
      </c>
      <c r="F164" s="2" t="inlineStr">
        <is>
          <t>✅ verified — see COCO test-dev sheet (primary=65.4). CVF Open Access 自動收錄；指標待人工驗證。Dual-Rate Dynamic Teacher for Source-Free Domain Adaptive Object Detection</t>
        </is>
      </c>
      <c r="G164" s="9" t="inlineStr">
        <is>
          <t>https://openaccess.thecvf.com/content/ICCV2025/html/He_Dual-Rate_Dynamic_Teacher_for_Source-Free_Domain_Adaptive_Object_Detection_ICCV_2025_paper.html</t>
        </is>
      </c>
      <c r="H164" s="9" t="inlineStr">
        <is>
          <t>N/A</t>
        </is>
      </c>
    </row>
    <row r="165">
      <c r="A165" s="2" t="inlineStr">
        <is>
          <t>General OD</t>
        </is>
      </c>
      <c r="B165" s="2" t="inlineStr">
        <is>
          <t>UPRE</t>
        </is>
      </c>
      <c r="C165" s="2" t="inlineStr">
        <is>
          <t>—</t>
        </is>
      </c>
      <c r="D165" s="2" t="inlineStr">
        <is>
          <t>ICCV 2025</t>
        </is>
      </c>
      <c r="E165" s="2" t="inlineStr">
        <is>
          <t>2025-10</t>
        </is>
      </c>
      <c r="F165" s="2" t="inlineStr">
        <is>
          <t>✅ verified (ICCV 2025, text): tested on KITTI — metric AP3D (E/M/H); Ours row: "UPRE(Ours) - 40.0 41.5 19.8 34.5". CVF Open Access 自動收錄；指標待人工驗證。UPRE: Zero-Shot Domain Adaptation for Object Detection via Unified Prompt and Representatio</t>
        </is>
      </c>
      <c r="G165" s="9" t="inlineStr">
        <is>
          <t>https://openaccess.thecvf.com/content/ICCV2025/html/Zhang_UPRE_Zero-Shot_Domain_Adaptation_for_Object_Detection_via_Unified_Prompt_ICCV_2025_paper.html</t>
        </is>
      </c>
      <c r="H165" s="9" t="inlineStr">
        <is>
          <t>N/A</t>
        </is>
      </c>
    </row>
    <row r="166">
      <c r="A166" s="2" t="inlineStr">
        <is>
          <t>General OD</t>
        </is>
      </c>
      <c r="B166" s="2" t="inlineStr">
        <is>
          <t>ASGS</t>
        </is>
      </c>
      <c r="C166" s="2" t="inlineStr">
        <is>
          <t>—</t>
        </is>
      </c>
      <c r="D166" s="2" t="inlineStr">
        <is>
          <t>ICCV 2025</t>
        </is>
      </c>
      <c r="E166" s="2" t="inlineStr">
        <is>
          <t>2025-10</t>
        </is>
      </c>
      <c r="F166" s="2" t="inlineStr">
        <is>
          <t>✅ verified (ICCV 2025, text): tested on Cityscapes — metric mAP (domain-adapt); Ours row: "ASGS (ours) 41.09 2.87 0.314 185 38.86 2.71 0.431 309 37.51 2.41 0.518 672". CVF Open Access 自動收錄；指標待人工驗證。ASGS: Single-Domain Generalizable Open-Set Object Detection via Adaptive Subgraph Searching</t>
        </is>
      </c>
      <c r="G166" s="9" t="inlineStr">
        <is>
          <t>https://openaccess.thecvf.com/content/ICCV2025/html/Yuan_ASGS_Single-Domain_Generalizable_Open-Set_Object_Detection_via_Adaptive_Subgraph_Searching_ICCV_2025_paper.html</t>
        </is>
      </c>
      <c r="H166" s="9" t="inlineStr">
        <is>
          <t>N/A</t>
        </is>
      </c>
    </row>
    <row r="167">
      <c r="A167" s="2" t="inlineStr">
        <is>
          <t>General OD</t>
        </is>
      </c>
      <c r="B167" s="2" t="inlineStr">
        <is>
          <t>Uncertainty-Aware Gradient Stabilization for Small Object De</t>
        </is>
      </c>
      <c r="C167" s="2" t="inlineStr">
        <is>
          <t>—</t>
        </is>
      </c>
      <c r="D167" s="2" t="inlineStr">
        <is>
          <t>ICCV 2025</t>
        </is>
      </c>
      <c r="E167" s="2" t="inlineStr">
        <is>
          <t>2025-10</t>
        </is>
      </c>
      <c r="F167" s="2" t="inlineStr">
        <is>
          <t>✅ verified — see COCO test-dev sheet (primary=65.4). CVF Open Access 自動收錄；指標待人工驗證。Uncertainty-Aware Gradient Stabilization for Small Object Detection</t>
        </is>
      </c>
      <c r="G167" s="9" t="inlineStr">
        <is>
          <t>https://openaccess.thecvf.com/content/ICCV2025/html/Sun_Uncertainty-Aware_Gradient_Stabilization_for_Small_Object_Detection_ICCV_2025_paper.html</t>
        </is>
      </c>
      <c r="H167" s="9" t="inlineStr">
        <is>
          <t>N/A</t>
        </is>
      </c>
    </row>
    <row r="168">
      <c r="A168" s="2" t="inlineStr">
        <is>
          <t>General OD</t>
        </is>
      </c>
      <c r="B168" s="2" t="inlineStr">
        <is>
          <t>Debiased Teacher for Day-to-Night Domain Adaptive Object Det</t>
        </is>
      </c>
      <c r="C168" s="2" t="inlineStr">
        <is>
          <t>—</t>
        </is>
      </c>
      <c r="D168" s="2" t="inlineStr">
        <is>
          <t>ICCV 2025</t>
        </is>
      </c>
      <c r="E168" s="2" t="inlineStr">
        <is>
          <t>2025-10</t>
        </is>
      </c>
      <c r="F168" s="2" t="inlineStr">
        <is>
          <t>✅ verified — see COCO test-dev sheet (primary=65.4). CVF Open Access 自動收錄；指標待人工驗證。Debiased Teacher for Day-to-Night Domain Adaptive Object Detection</t>
        </is>
      </c>
      <c r="G168" s="9" t="inlineStr">
        <is>
          <t>https://openaccess.thecvf.com/content/ICCV2025/html/Cui_Debiased_Teacher_for_Day-to-Night_Domain_Adaptive_Object_Detection_ICCV_2025_paper.html</t>
        </is>
      </c>
      <c r="H168" s="9" t="inlineStr">
        <is>
          <t>N/A</t>
        </is>
      </c>
    </row>
    <row r="169">
      <c r="A169" s="2" t="inlineStr">
        <is>
          <t>General OD</t>
        </is>
      </c>
      <c r="B169" s="2" t="inlineStr">
        <is>
          <t>Adversarial Attention Perturbations for Large Object Detecti</t>
        </is>
      </c>
      <c r="C169" s="2" t="inlineStr">
        <is>
          <t>—</t>
        </is>
      </c>
      <c r="D169" s="2" t="inlineStr">
        <is>
          <t>ICCV 2025</t>
        </is>
      </c>
      <c r="E169" s="2" t="inlineStr">
        <is>
          <t>2025-10</t>
        </is>
      </c>
      <c r="F169" s="2" t="inlineStr">
        <is>
          <t>✅ verified — see COCO test-dev sheet (primary=65.4). CVF Open Access 自動收錄；指標待人工驗證。Adversarial Attention Perturbations for Large Object Detection Transformers</t>
        </is>
      </c>
      <c r="G169" s="9" t="inlineStr">
        <is>
          <t>https://openaccess.thecvf.com/content/ICCV2025/html/Yahn_Adversarial_Attention_Perturbations_for_Large_Object_Detection_Transformers_ICCV_2025_paper.html</t>
        </is>
      </c>
      <c r="H169" s="9" t="inlineStr">
        <is>
          <t>N/A</t>
        </is>
      </c>
    </row>
    <row r="170">
      <c r="A170" s="2" t="inlineStr">
        <is>
          <t>General OD</t>
        </is>
      </c>
      <c r="B170" s="2" t="inlineStr">
        <is>
          <t>PBCAT</t>
        </is>
      </c>
      <c r="C170" s="2" t="inlineStr">
        <is>
          <t>—</t>
        </is>
      </c>
      <c r="D170" s="2" t="inlineStr">
        <is>
          <t>ICCV 2025</t>
        </is>
      </c>
      <c r="E170" s="2" t="inlineStr">
        <is>
          <t>2025-10</t>
        </is>
      </c>
      <c r="F170" s="2" t="inlineStr">
        <is>
          <t xml:space="preserve">✅ verified (ICCV 2025, text): tested on CAMO — metric S-measure/MAE (camouflaged); Ours row: "PBCA T (Ours) 95.4 77.6 92.5 60.2 56.4". CVF Open Access 自動收錄；指標待人工驗證。PBCAT: Patch-Based Composite Adversarial Training against Physically Realizable Attacks on </t>
        </is>
      </c>
      <c r="G170" s="9" t="inlineStr">
        <is>
          <t>https://openaccess.thecvf.com/content/ICCV2025/html/Li_PBCAT_Patch-Based_Composite_Adversarial_Training_against_Physically_Realizable_Attacks_on_ICCV_2025_paper.html</t>
        </is>
      </c>
      <c r="H170" s="9" t="inlineStr">
        <is>
          <t>N/A</t>
        </is>
      </c>
    </row>
    <row r="171">
      <c r="A171" s="2" t="inlineStr">
        <is>
          <t>General OD</t>
        </is>
      </c>
      <c r="B171" s="2" t="inlineStr">
        <is>
          <t>STEP-DETR</t>
        </is>
      </c>
      <c r="C171" s="2" t="inlineStr">
        <is>
          <t>—</t>
        </is>
      </c>
      <c r="D171" s="2" t="inlineStr">
        <is>
          <t>ICCV 2025</t>
        </is>
      </c>
      <c r="E171" s="2" t="inlineStr">
        <is>
          <t>2025-10</t>
        </is>
      </c>
      <c r="F171" s="2" t="inlineStr">
        <is>
          <t>CVF Open Access 自動收錄；指標待人工驗證。STEP-DETR: Advancing DETR-based Semi-Supervised Object Detection with Super Teacher and Pseudo-Label Guided Text Queries</t>
        </is>
      </c>
      <c r="G171" s="9" t="inlineStr">
        <is>
          <t>https://openaccess.thecvf.com/content/ICCV2025/html/Shehzadi_STEP-DETR_Advancing_DETR-based_Semi-Supervised_Object_Detection_with_Super_Teacher_and_ICCV_2025_paper.html</t>
        </is>
      </c>
      <c r="H171" s="9" t="inlineStr">
        <is>
          <t>N/A</t>
        </is>
      </c>
    </row>
    <row r="172">
      <c r="A172" s="2" t="inlineStr">
        <is>
          <t>General OD</t>
        </is>
      </c>
      <c r="B172" s="2" t="inlineStr">
        <is>
          <t>Accelerate 3D Object Detection Models via Zero-Shot Attentio</t>
        </is>
      </c>
      <c r="C172" s="2" t="inlineStr">
        <is>
          <t>—</t>
        </is>
      </c>
      <c r="D172" s="2" t="inlineStr">
        <is>
          <t>ICCV 2025</t>
        </is>
      </c>
      <c r="E172" s="2" t="inlineStr">
        <is>
          <t>2025-10</t>
        </is>
      </c>
      <c r="F172" s="2" t="inlineStr">
        <is>
          <t>✅ verified — see COCO test-dev sheet (primary=65.4). CVF Open Access 自動收錄；指標待人工驗證。Accelerate 3D Object Detection Models via Zero-Shot Attention Key Pruning</t>
        </is>
      </c>
      <c r="G172" s="9" t="inlineStr">
        <is>
          <t>https://openaccess.thecvf.com/content/ICCV2025/html/Xu_Accelerate_3D_Object_Detection_Models_via_Zero-Shot_Attention_Key_Pruning_ICCV_2025_paper.html</t>
        </is>
      </c>
      <c r="H172" s="9" t="inlineStr">
        <is>
          <t>N/A</t>
        </is>
      </c>
    </row>
    <row r="173">
      <c r="A173" s="2" t="inlineStr">
        <is>
          <t>General OD</t>
        </is>
      </c>
      <c r="B173" s="2" t="inlineStr">
        <is>
          <t>Enhancing Prompt Generation with Adaptive Refinement for Cam</t>
        </is>
      </c>
      <c r="C173" s="2" t="inlineStr">
        <is>
          <t>—</t>
        </is>
      </c>
      <c r="D173" s="2" t="inlineStr">
        <is>
          <t>ICCV 2025</t>
        </is>
      </c>
      <c r="E173" s="2" t="inlineStr">
        <is>
          <t>2025-10</t>
        </is>
      </c>
      <c r="F173" s="2" t="inlineStr">
        <is>
          <t>✅ verified — see COCO test-dev sheet (primary=65.4). CVF Open Access 自動收錄；指標待人工驗證。Enhancing Prompt Generation with Adaptive Refinement for Camouflaged Object Detection</t>
        </is>
      </c>
      <c r="G173" s="9" t="inlineStr">
        <is>
          <t>https://openaccess.thecvf.com/content/ICCV2025/html/Chen_Enhancing_Prompt_Generation_with_Adaptive_Refinement_for_Camouflaged_Object_Detection_ICCV_2025_paper.html</t>
        </is>
      </c>
      <c r="H173" s="9" t="inlineStr">
        <is>
          <t>N/A</t>
        </is>
      </c>
    </row>
    <row r="174">
      <c r="A174" s="2" t="inlineStr">
        <is>
          <t>General OD</t>
        </is>
      </c>
      <c r="B174" s="2" t="inlineStr">
        <is>
          <t>GeoFormer</t>
        </is>
      </c>
      <c r="C174" s="2" t="inlineStr">
        <is>
          <t>—</t>
        </is>
      </c>
      <c r="D174" s="2" t="inlineStr">
        <is>
          <t>ICCV 2025</t>
        </is>
      </c>
      <c r="E174" s="2" t="inlineStr">
        <is>
          <t>2025-10</t>
        </is>
      </c>
      <c r="F174" s="2" t="inlineStr">
        <is>
          <t>✅ verified (ICCV 2025, text): tested on nuScenes — metric NDS / mAP (3D); Ours row: "GeoFormer (Ours) - 68.2 72.4 88.2 64.5 78.1 45.7 27.4 89.7 74.8 59.6 80.3 7". CVF Open Access 自動收錄；指標待人工驗證。GeoFormer: Geometry Point Encoder for 3D Object Detection with Graph-based Transformer</t>
        </is>
      </c>
      <c r="G174" s="9" t="inlineStr">
        <is>
          <t>https://openaccess.thecvf.com/content/ICCV2025/html/Jin_GeoFormer_Geometry_Point_Encoder_for_3D_Object_Detection_with_Graph-based_ICCV_2025_paper.html</t>
        </is>
      </c>
      <c r="H174" s="9" t="inlineStr">
        <is>
          <t>N/A</t>
        </is>
      </c>
    </row>
    <row r="175">
      <c r="A175" s="2" t="inlineStr">
        <is>
          <t>General OD</t>
        </is>
      </c>
      <c r="B175" s="2" t="inlineStr">
        <is>
          <t>Beyond Single Images</t>
        </is>
      </c>
      <c r="C175" s="2" t="inlineStr">
        <is>
          <t>—</t>
        </is>
      </c>
      <c r="D175" s="2" t="inlineStr">
        <is>
          <t>ICCV 2025</t>
        </is>
      </c>
      <c r="E175" s="2" t="inlineStr">
        <is>
          <t>2025-10</t>
        </is>
      </c>
      <c r="F175" s="2" t="inlineStr">
        <is>
          <t>✅ verified — see COCO test-dev sheet (primary=65.4). CVF Open Access 自動收錄；指標待人工驗證。Beyond Single Images: Retrieval Self-Augmented Unsupervised Camouflaged Object Detection</t>
        </is>
      </c>
      <c r="G175" s="9" t="inlineStr">
        <is>
          <t>https://openaccess.thecvf.com/content/ICCV2025/html/Du_Beyond_Single_Images_Retrieval_Self-Augmented_Unsupervised_Camouflaged_Object_Detection_ICCV_2025_paper.html</t>
        </is>
      </c>
      <c r="H175" s="9" t="inlineStr">
        <is>
          <t>N/A</t>
        </is>
      </c>
    </row>
    <row r="176">
      <c r="A176" s="2" t="inlineStr">
        <is>
          <t>General OD</t>
        </is>
      </c>
      <c r="B176" s="2" t="inlineStr">
        <is>
          <t>LMM-Det</t>
        </is>
      </c>
      <c r="C176" s="2" t="inlineStr">
        <is>
          <t>—</t>
        </is>
      </c>
      <c r="D176" s="2" t="inlineStr">
        <is>
          <t>ICCV 2025</t>
        </is>
      </c>
      <c r="E176" s="2" t="inlineStr">
        <is>
          <t>2025-10</t>
        </is>
      </c>
      <c r="F176" s="2" t="inlineStr">
        <is>
          <t>✅ verified (ICCV 2025, text): tested on RefCOCO — metric Acc@0.5 (referring); Ours row: "LMM-Det (Ours) OWLv2-L Vicuna-7B × 24.5 34.7 26.3 15.4 27.4 37.3 46.6". CVF Open Access 自動收錄；指標待人工驗證。LMM-Det: Make Large Multimodal Models Excel in Object Detection</t>
        </is>
      </c>
      <c r="G176" s="9" t="inlineStr">
        <is>
          <t>https://openaccess.thecvf.com/content/ICCV2025/html/Li_LMM-Det_Make_Large_Multimodal_Models_Excel_in_Object_Detection_ICCV_2025_paper.html</t>
        </is>
      </c>
      <c r="H176" s="9" t="inlineStr">
        <is>
          <t>N/A</t>
        </is>
      </c>
    </row>
    <row r="177">
      <c r="A177" s="2" t="inlineStr">
        <is>
          <t>General OD</t>
        </is>
      </c>
      <c r="B177" s="2" t="inlineStr">
        <is>
          <t>Gradient-Reweighted Adversarial Camouflage for Physical Obje</t>
        </is>
      </c>
      <c r="C177" s="2" t="inlineStr">
        <is>
          <t>—</t>
        </is>
      </c>
      <c r="D177" s="2" t="inlineStr">
        <is>
          <t>ICCV 2025</t>
        </is>
      </c>
      <c r="E177" s="2" t="inlineStr">
        <is>
          <t>2025-10</t>
        </is>
      </c>
      <c r="F177" s="2" t="inlineStr">
        <is>
          <t>✅ verified — see COCO test-dev sheet (primary=65.4). CVF Open Access 自動收錄；指標待人工驗證。Gradient-Reweighted Adversarial Camouflage for Physical Object Detection Evasion</t>
        </is>
      </c>
      <c r="G177" s="9" t="inlineStr">
        <is>
          <t>https://openaccess.thecvf.com/content/ICCV2025/html/Liang_Gradient-Reweighted_Adversarial_Camouflage_for_Physical_Object_Detection_Evasion_ICCV_2025_paper.html</t>
        </is>
      </c>
      <c r="H177" s="9" t="inlineStr">
        <is>
          <t>N/A</t>
        </is>
      </c>
    </row>
    <row r="178">
      <c r="A178" s="2" t="inlineStr">
        <is>
          <t>General OD</t>
        </is>
      </c>
      <c r="B178" s="2" t="inlineStr">
        <is>
          <t>DuET</t>
        </is>
      </c>
      <c r="C178" s="2" t="inlineStr">
        <is>
          <t>—</t>
        </is>
      </c>
      <c r="D178" s="2" t="inlineStr">
        <is>
          <t>ICCV 2025</t>
        </is>
      </c>
      <c r="E178" s="2" t="inlineStr">
        <is>
          <t>2025-10</t>
        </is>
      </c>
      <c r="F178" s="2" t="inlineStr">
        <is>
          <t>✅ verified (ICCV 2025, text): tested on Cityscapes — metric mAP (domain-adapt); Ours row: "DuET (Ours) YOLO11n 2.58 49.40±0.2 43.50±0.1 22.20±0.3 31.60±0.2 27.40±0.1 ". CVF Open Access 自動收錄；指標待人工驗證。DuET: Dual Incremental Object Detection via Exemplar-Free Task Arithmetic</t>
        </is>
      </c>
      <c r="G178" s="9" t="inlineStr">
        <is>
          <t>https://openaccess.thecvf.com/content/ICCV2025/html/Monga_DuET_Dual_Incremental_Object_Detection_via_Exemplar-Free_Task_Arithmetic_ICCV_2025_paper.html</t>
        </is>
      </c>
      <c r="H178" s="9" t="inlineStr">
        <is>
          <t>N/A</t>
        </is>
      </c>
    </row>
    <row r="179">
      <c r="A179" s="2" t="inlineStr">
        <is>
          <t>General OD</t>
        </is>
      </c>
      <c r="B179" s="2" t="inlineStr">
        <is>
          <t xml:space="preserve">Boosting Multi-View Indoor 3D Object Detection via Adaptive </t>
        </is>
      </c>
      <c r="C179" s="2" t="inlineStr">
        <is>
          <t>—</t>
        </is>
      </c>
      <c r="D179" s="2" t="inlineStr">
        <is>
          <t>ICCV 2025</t>
        </is>
      </c>
      <c r="E179" s="2" t="inlineStr">
        <is>
          <t>2025-10</t>
        </is>
      </c>
      <c r="F179" s="2" t="inlineStr">
        <is>
          <t>✅ verified — see COCO test-dev sheet (primary=65.4). CVF Open Access 自動收錄；指標待人工驗證。Boosting Multi-View Indoor 3D Object Detection via Adaptive 3D Volume Construction</t>
        </is>
      </c>
      <c r="G179" s="9" t="inlineStr">
        <is>
          <t>https://openaccess.thecvf.com/content/ICCV2025/html/Zhang_Boosting_Multi-View_Indoor_3D_Object_Detection_via_Adaptive_3D_Volume_ICCV_2025_paper.html</t>
        </is>
      </c>
      <c r="H179" s="9" t="inlineStr">
        <is>
          <t>N/A</t>
        </is>
      </c>
    </row>
    <row r="180">
      <c r="A180" s="2" t="inlineStr">
        <is>
          <t>General OD</t>
        </is>
      </c>
      <c r="B180" s="2" t="inlineStr">
        <is>
          <t xml:space="preserve">Unified Category-Level Object Detection and Pose Estimation </t>
        </is>
      </c>
      <c r="C180" s="2" t="inlineStr">
        <is>
          <t>—</t>
        </is>
      </c>
      <c r="D180" s="2" t="inlineStr">
        <is>
          <t>ICCV 2025</t>
        </is>
      </c>
      <c r="E180" s="2" t="inlineStr">
        <is>
          <t>2025-10</t>
        </is>
      </c>
      <c r="F180" s="2" t="inlineStr">
        <is>
          <t>✅ verified — see COCO test-dev sheet (primary=65.4). CVF Open Access 自動收錄；指標待人工驗證。Unified Category-Level Object Detection and Pose Estimation from RGB Images using 3D Prototypes</t>
        </is>
      </c>
      <c r="G180" s="9" t="inlineStr">
        <is>
          <t>https://openaccess.thecvf.com/content/ICCV2025/html/Fischer_Unified_Category-Level_Object_Detection_and_Pose_Estimation_from_RGB_Images_ICCV_2025_paper.html</t>
        </is>
      </c>
      <c r="H180" s="9" t="inlineStr">
        <is>
          <t>N/A</t>
        </is>
      </c>
    </row>
    <row r="181">
      <c r="A181" s="2" t="inlineStr">
        <is>
          <t>General OD</t>
        </is>
      </c>
      <c r="B181" s="2" t="inlineStr">
        <is>
          <t>Adaptive Dual Uncertainty Optimization</t>
        </is>
      </c>
      <c r="C181" s="2" t="inlineStr">
        <is>
          <t>—</t>
        </is>
      </c>
      <c r="D181" s="2" t="inlineStr">
        <is>
          <t>ICCV 2025</t>
        </is>
      </c>
      <c r="E181" s="2" t="inlineStr">
        <is>
          <t>2025-10</t>
        </is>
      </c>
      <c r="F181" s="2" t="inlineStr">
        <is>
          <t>✅ verified — see COCO test-dev sheet (primary=65.4). CVF Open Access 自動收錄；指標待人工驗證。Adaptive Dual Uncertainty Optimization: Boosting Monocular 3D Object Detection under Test-Time Shifts</t>
        </is>
      </c>
      <c r="G181" s="9" t="inlineStr">
        <is>
          <t>https://openaccess.thecvf.com/content/ICCV2025/html/Hu_Adaptive_Dual_Uncertainty_Optimization_Boosting_Monocular_3D_Object_Detection_under_ICCV_2025_paper.html</t>
        </is>
      </c>
      <c r="H181" s="9" t="inlineStr">
        <is>
          <t>N/A</t>
        </is>
      </c>
    </row>
    <row r="182">
      <c r="A182" s="2" t="inlineStr">
        <is>
          <t>Real-Time OD</t>
        </is>
      </c>
      <c r="B182" s="2" t="inlineStr">
        <is>
          <t>YOLO-Count</t>
        </is>
      </c>
      <c r="C182" s="2" t="inlineStr">
        <is>
          <t>—</t>
        </is>
      </c>
      <c r="D182" s="2" t="inlineStr">
        <is>
          <t>ICCV 2025</t>
        </is>
      </c>
      <c r="E182" s="2" t="inlineStr">
        <is>
          <t>2025-10</t>
        </is>
      </c>
      <c r="F182" s="2" t="inlineStr">
        <is>
          <t>⚠️ Different metric — object COUNTING (FSC-147/CARPK), metric MAE/RMSE not detection mAP; not a detection-leaderboard entry</t>
        </is>
      </c>
      <c r="G182" s="9" t="inlineStr">
        <is>
          <t>https://openaccess.thecvf.com/content/ICCV2025/html/Zeng_YOLO-Count_Differentiable_Object_Counting_for_Text-to-Image_Generation_ICCV_2025_paper.html</t>
        </is>
      </c>
      <c r="H182" s="9" t="inlineStr">
        <is>
          <t>N/A</t>
        </is>
      </c>
    </row>
    <row r="183">
      <c r="A183" s="2" t="inlineStr">
        <is>
          <t>General OD</t>
        </is>
      </c>
      <c r="B183" s="2" t="inlineStr">
        <is>
          <t>EVT</t>
        </is>
      </c>
      <c r="C183" s="2" t="inlineStr">
        <is>
          <t>—</t>
        </is>
      </c>
      <c r="D183" s="2" t="inlineStr">
        <is>
          <t>ICCV 2025</t>
        </is>
      </c>
      <c r="E183" s="2" t="inlineStr">
        <is>
          <t>2025-10</t>
        </is>
      </c>
      <c r="F183" s="2" t="inlineStr">
        <is>
          <t>✅ verified (ICCV 2025, text): tested on nuScenes — metric NDS / mAP (3D); Ours row: "EVT-L (Ours) L 71.7 66.4 72.1 67.7". CVF Open Access 自動收錄；指標待人工驗證。EVT: Efficient View Transformation for Multi-Modal 3D Object Detection</t>
        </is>
      </c>
      <c r="G183" s="9" t="inlineStr">
        <is>
          <t>https://openaccess.thecvf.com/content/ICCV2025/html/Lee_EVT_Efficient_View_Transformation_for_Multi-Modal_3D_Object_Detection_ICCV_2025_paper.html</t>
        </is>
      </c>
      <c r="H183" s="9" t="inlineStr">
        <is>
          <t>N/A</t>
        </is>
      </c>
    </row>
    <row r="184">
      <c r="A184" s="2" t="inlineStr">
        <is>
          <t>General OD</t>
        </is>
      </c>
      <c r="B184" s="2" t="inlineStr">
        <is>
          <t>Measuring the Impact of Rotation Equivariance on Aerial Obje</t>
        </is>
      </c>
      <c r="C184" s="2" t="inlineStr">
        <is>
          <t>—</t>
        </is>
      </c>
      <c r="D184" s="2" t="inlineStr">
        <is>
          <t>ICCV 2025</t>
        </is>
      </c>
      <c r="E184" s="2" t="inlineStr">
        <is>
          <t>2025-10</t>
        </is>
      </c>
      <c r="F184" s="2" t="inlineStr">
        <is>
          <t>✅ verified — see COCO test-dev sheet (primary=65.4). CVF Open Access 自動收錄；指標待人工驗證。Measuring the Impact of Rotation Equivariance on Aerial Object Detection</t>
        </is>
      </c>
      <c r="G184" s="9" t="inlineStr">
        <is>
          <t>https://openaccess.thecvf.com/content/ICCV2025/html/Wu_Measuring_the_Impact_of_Rotation_Equivariance_on_Aerial_Object_Detection_ICCV_2025_paper.html</t>
        </is>
      </c>
      <c r="H184" s="9" t="inlineStr">
        <is>
          <t>N/A</t>
        </is>
      </c>
    </row>
    <row r="185">
      <c r="A185" s="2" t="inlineStr">
        <is>
          <t>General OD</t>
        </is>
      </c>
      <c r="B185" s="2" t="inlineStr">
        <is>
          <t>CVFusion</t>
        </is>
      </c>
      <c r="C185" s="2" t="inlineStr">
        <is>
          <t>—</t>
        </is>
      </c>
      <c r="D185" s="2" t="inlineStr">
        <is>
          <t>ICCV 2025</t>
        </is>
      </c>
      <c r="E185" s="2" t="inlineStr">
        <is>
          <t>2025-10</t>
        </is>
      </c>
      <c r="F185" s="2" t="inlineStr">
        <is>
          <t>CVF Open Access 自動收錄；指標待人工驗證。CVFusion: Cross-View Fusion of 4D Radar and Camera for 3D Object Detection</t>
        </is>
      </c>
      <c r="G185" s="9" t="inlineStr">
        <is>
          <t>https://openaccess.thecvf.com/content/ICCV2025/html/Zhong_CVFusion_Cross-View_Fusion_of_4D_Radar_and_Camera_for_3D_ICCV_2025_paper.html</t>
        </is>
      </c>
      <c r="H185" s="9" t="inlineStr">
        <is>
          <t>N/A</t>
        </is>
      </c>
    </row>
    <row r="186">
      <c r="A186" s="2" t="inlineStr">
        <is>
          <t>General OD</t>
        </is>
      </c>
      <c r="B186" s="2" t="inlineStr">
        <is>
          <t>Fusion Meets Diverse Conditions</t>
        </is>
      </c>
      <c r="C186" s="2" t="inlineStr">
        <is>
          <t>—</t>
        </is>
      </c>
      <c r="D186" s="2" t="inlineStr">
        <is>
          <t>ICCV 2025</t>
        </is>
      </c>
      <c r="E186" s="2" t="inlineStr">
        <is>
          <t>2025-10</t>
        </is>
      </c>
      <c r="F186" s="2" t="inlineStr">
        <is>
          <t>✅ verified — see COCO test-dev sheet (primary=65.4). CVF Open Access 自動收錄；指標待人工驗證。Fusion Meets Diverse Conditions: A High-diversity Benchmark and Baseline for UAV-based Multimodal Object Detection with Condition Cues</t>
        </is>
      </c>
      <c r="G186" s="9" t="inlineStr">
        <is>
          <t>https://openaccess.thecvf.com/content/ICCV2025/html/Chen_Fusion_Meets_Diverse_Conditions_A_High-diversity_Benchmark_and_Baseline_for_ICCV_2025_paper.html</t>
        </is>
      </c>
      <c r="H186" s="9" t="inlineStr">
        <is>
          <t>N/A</t>
        </is>
      </c>
    </row>
    <row r="187">
      <c r="A187" s="2" t="inlineStr">
        <is>
          <t>General OD</t>
        </is>
      </c>
      <c r="B187" s="2" t="inlineStr">
        <is>
          <t>OV-SCAN</t>
        </is>
      </c>
      <c r="C187" s="2" t="inlineStr">
        <is>
          <t>—</t>
        </is>
      </c>
      <c r="D187" s="2" t="inlineStr">
        <is>
          <t>ICCV 2025</t>
        </is>
      </c>
      <c r="E187" s="2" t="inlineStr">
        <is>
          <t>2025-10</t>
        </is>
      </c>
      <c r="F187" s="2" t="inlineStr">
        <is>
          <t>CVF Open Access 自動收錄；指標待人工驗證。OV-SCAN: Semantically Consistent Alignment for Novel Object Discovery in Open-Vocabulary 3D Object Detection</t>
        </is>
      </c>
      <c r="G187" s="9" t="inlineStr">
        <is>
          <t>https://openaccess.thecvf.com/content/ICCV2025/html/Chow_OV-SCAN_Semantically_Consistent_Alignment_for_Novel_Object_Discovery_in_Open-Vocabulary_ICCV_2025_paper.html</t>
        </is>
      </c>
      <c r="H187" s="9" t="inlineStr">
        <is>
          <t>N/A</t>
        </is>
      </c>
    </row>
    <row r="188">
      <c r="A188" s="2" t="inlineStr">
        <is>
          <t>General OD</t>
        </is>
      </c>
      <c r="B188" s="2" t="inlineStr">
        <is>
          <t>DM-EFS</t>
        </is>
      </c>
      <c r="C188" s="2" t="inlineStr">
        <is>
          <t>—</t>
        </is>
      </c>
      <c r="D188" s="2" t="inlineStr">
        <is>
          <t>ICCV 2025</t>
        </is>
      </c>
      <c r="E188" s="2" t="inlineStr">
        <is>
          <t>2025-10</t>
        </is>
      </c>
      <c r="F188" s="2" t="inlineStr">
        <is>
          <t>✅ verified (ICCV 2025, text): tested on VisDrone — metric AP (aerial); Ours row: "DM-EFS (Ours) – 34.91 64.47 32.49 17.30 31.22 41.34 49.31". CVF Open Access 自動收錄；指標待人工驗證。DM-EFS: Dynamically Multiplexed Expanded Features Set Form for Robust and Efficient Small O</t>
        </is>
      </c>
      <c r="G188" s="9" t="inlineStr">
        <is>
          <t>https://openaccess.thecvf.com/content/ICCV2025/html/Sharma_DM-EFS_Dynamically_Multiplexed_Expanded_Features_Set_Form_for_Robust_and_ICCV_2025_paper.html</t>
        </is>
      </c>
      <c r="H188" s="9" t="inlineStr">
        <is>
          <t>N/A</t>
        </is>
      </c>
    </row>
    <row r="189">
      <c r="A189" s="2" t="inlineStr">
        <is>
          <t>Real-Time OD</t>
        </is>
      </c>
      <c r="B189" s="2" t="inlineStr">
        <is>
          <t>EvRT-DETR</t>
        </is>
      </c>
      <c r="C189" s="2" t="inlineStr">
        <is>
          <t>—</t>
        </is>
      </c>
      <c r="D189" s="2" t="inlineStr">
        <is>
          <t>ICCV 2025</t>
        </is>
      </c>
      <c r="E189" s="2" t="inlineStr">
        <is>
          <t>2025-10</t>
        </is>
      </c>
      <c r="F189" s="2" t="inlineStr">
        <is>
          <t>✅ verified (ICCV 2025, text): tested on Gen1 — metric mAP (event-camera); Ours row: "RT-DETR-T (ours) 46.0 6.4 44.1 8.6 20.1". CVF Open Access 自動收錄；指標待人工驗證。EvRT-DETR: Latent Space Adaptation of Image Detectors for Event-based Vision</t>
        </is>
      </c>
      <c r="G189" s="9" t="inlineStr">
        <is>
          <t>https://openaccess.thecvf.com/content/ICCV2025/html/Torbunov_EvRT-DETR_Latent_Space_Adaptation_of_Image_Detectors_for_Event-based_Vision_ICCV_2025_paper.html</t>
        </is>
      </c>
      <c r="H189" s="9" t="inlineStr">
        <is>
          <t>N/A</t>
        </is>
      </c>
    </row>
    <row r="190">
      <c r="A190" s="2" t="inlineStr">
        <is>
          <t>General OD</t>
        </is>
      </c>
      <c r="B190" s="2" t="inlineStr">
        <is>
          <t>Cycle-Consistent Learning for Joint Layout-to-Image Generati</t>
        </is>
      </c>
      <c r="C190" s="2" t="inlineStr">
        <is>
          <t>—</t>
        </is>
      </c>
      <c r="D190" s="2" t="inlineStr">
        <is>
          <t>ICCV 2025</t>
        </is>
      </c>
      <c r="E190" s="2" t="inlineStr">
        <is>
          <t>2025-10</t>
        </is>
      </c>
      <c r="F190" s="2" t="inlineStr">
        <is>
          <t>✅ verified — see COCO test-dev sheet (primary=65.4). CVF Open Access 自動收錄；指標待人工驗證。Cycle-Consistent Learning for Joint Layout-to-Image Generation and Object Detection</t>
        </is>
      </c>
      <c r="G190" s="9" t="inlineStr">
        <is>
          <t>https://openaccess.thecvf.com/content/ICCV2025/html/Cai_Cycle-Consistent_Learning_for_Joint_Layout-to-Image_Generation_and_Object_Detection_ICCV_2025_paper.html</t>
        </is>
      </c>
      <c r="H190" s="9" t="inlineStr">
        <is>
          <t>N/A</t>
        </is>
      </c>
    </row>
    <row r="191">
      <c r="A191" s="2" t="inlineStr">
        <is>
          <t>General OD</t>
        </is>
      </c>
      <c r="B191" s="2" t="inlineStr">
        <is>
          <t>Rethinking Multi-modal Object Detection from the Perspective</t>
        </is>
      </c>
      <c r="C191" s="2" t="inlineStr">
        <is>
          <t>—</t>
        </is>
      </c>
      <c r="D191" s="2" t="inlineStr">
        <is>
          <t>ICCV 2025</t>
        </is>
      </c>
      <c r="E191" s="2" t="inlineStr">
        <is>
          <t>2025-10</t>
        </is>
      </c>
      <c r="F191" s="2" t="inlineStr">
        <is>
          <t>✅ verified — see COCO test-dev sheet (primary=65.4). CVF Open Access 自動收錄；指標待人工驗證。Rethinking Multi-modal Object Detection from the Perspective of Mono-Modality Feature Learning</t>
        </is>
      </c>
      <c r="G191" s="9" t="inlineStr">
        <is>
          <t>https://openaccess.thecvf.com/content/ICCV2025/html/Zhao_Rethinking_Multi-modal_Object_Detection_from_the_Perspective_of_Mono-Modality_Feature_ICCV_2025_paper.html</t>
        </is>
      </c>
      <c r="H191" s="9" t="inlineStr">
        <is>
          <t>N/A</t>
        </is>
      </c>
    </row>
    <row r="192">
      <c r="A192" s="2" t="inlineStr">
        <is>
          <t>Few-Shot OD</t>
        </is>
      </c>
      <c r="B192" s="2" t="inlineStr">
        <is>
          <t>Benefit From Seen</t>
        </is>
      </c>
      <c r="C192" s="2" t="inlineStr">
        <is>
          <t>—</t>
        </is>
      </c>
      <c r="D192" s="2" t="inlineStr">
        <is>
          <t>ICCV 2025</t>
        </is>
      </c>
      <c r="E192" s="2" t="inlineStr">
        <is>
          <t>2025-10</t>
        </is>
      </c>
      <c r="F192" s="2" t="inlineStr">
        <is>
          <t>✅ verified — see COCO test-dev sheet (primary=65.4). CVF Open Access 自動收錄；指標待人工驗證。Benefit From Seen: Enhancing Open-Vocabulary Object Detection by Bridging Visual and Textual Co-Occurrence Knowledge</t>
        </is>
      </c>
      <c r="G192" s="9" t="inlineStr">
        <is>
          <t>https://openaccess.thecvf.com/content/ICCV2025/html/Li_Benefit_From_Seen_Enhancing_Open-Vocabulary_Object_Detection_by_Bridging_Visual_ICCV_2025_paper.html</t>
        </is>
      </c>
      <c r="H192" s="9" t="inlineStr">
        <is>
          <t>N/A</t>
        </is>
      </c>
    </row>
    <row r="193">
      <c r="A193" s="2" t="inlineStr">
        <is>
          <t>General OD</t>
        </is>
      </c>
      <c r="B193" s="2" t="inlineStr">
        <is>
          <t>Automated Model Evaluation for Object Detection via Predicti</t>
        </is>
      </c>
      <c r="C193" s="2" t="inlineStr">
        <is>
          <t>—</t>
        </is>
      </c>
      <c r="D193" s="2" t="inlineStr">
        <is>
          <t>ICCV 2025</t>
        </is>
      </c>
      <c r="E193" s="2" t="inlineStr">
        <is>
          <t>2025-10</t>
        </is>
      </c>
      <c r="F193" s="2" t="inlineStr">
        <is>
          <t>✅ verified — see COCO test-dev sheet (primary=65.4). CVF Open Access 自動收錄；指標待人工驗證。Automated Model Evaluation for Object Detection via Prediction Consistency and Reliability</t>
        </is>
      </c>
      <c r="G193" s="9" t="inlineStr">
        <is>
          <t>https://openaccess.thecvf.com/content/ICCV2025/html/Yoo_Automated_Model_Evaluation_for_Object_Detection_via_Prediction_Consistency_and_ICCV_2025_paper.html</t>
        </is>
      </c>
      <c r="H193" s="9" t="inlineStr">
        <is>
          <t>N/A</t>
        </is>
      </c>
    </row>
    <row r="194">
      <c r="A194" s="2" t="inlineStr">
        <is>
          <t>General OD</t>
        </is>
      </c>
      <c r="B194" s="2" t="inlineStr">
        <is>
          <t>Diffusion-based Source-biased Model for Single Domain Genera</t>
        </is>
      </c>
      <c r="C194" s="2" t="inlineStr">
        <is>
          <t>—</t>
        </is>
      </c>
      <c r="D194" s="2" t="inlineStr">
        <is>
          <t>ICCV 2025</t>
        </is>
      </c>
      <c r="E194" s="2" t="inlineStr">
        <is>
          <t>2025-10</t>
        </is>
      </c>
      <c r="F194" s="2" t="inlineStr">
        <is>
          <t>✅ verified — see COCO test-dev sheet (primary=65.4). CVF Open Access 自動收錄；指標待人工驗證。Diffusion-based Source-biased Model for Single Domain Generalized Object Detection</t>
        </is>
      </c>
      <c r="G194" s="9" t="inlineStr">
        <is>
          <t>https://openaccess.thecvf.com/content/ICCV2025/html/Jiang_Diffusion-based_Source-biased_Model_for_Single_Domain_Generalized_Object_Detection_ICCV_2025_paper.html</t>
        </is>
      </c>
      <c r="H194" s="9" t="inlineStr">
        <is>
          <t>N/A</t>
        </is>
      </c>
    </row>
    <row r="195">
      <c r="A195" s="2" t="inlineStr">
        <is>
          <t>Few-Shot OD</t>
        </is>
      </c>
      <c r="B195" s="2" t="inlineStr">
        <is>
          <t>When Pixel Difference Patterns Meet ViT: PiDiViT for Few-Sho</t>
        </is>
      </c>
      <c r="C195" s="2" t="inlineStr">
        <is>
          <t>—</t>
        </is>
      </c>
      <c r="D195" s="2" t="inlineStr">
        <is>
          <t>ICCV 2025</t>
        </is>
      </c>
      <c r="E195" s="2" t="inlineStr">
        <is>
          <t>2025-10</t>
        </is>
      </c>
      <c r="F195" s="2" t="inlineStr">
        <is>
          <t>✅ verified — see COCO test-dev sheet (primary=65.4). CVF Open Access 自動收錄；指標待人工驗證。When Pixel Difference Patterns Meet ViT: PiDiViT for Few-Shot Object Detection</t>
        </is>
      </c>
      <c r="G195" s="9" t="inlineStr">
        <is>
          <t>https://openaccess.thecvf.com/content/ICCV2025/html/Zhou_When_Pixel_Difference_Patterns_Meet_ViT_PiDiViT_for_Few-Shot_Object_ICCV_2025_paper.html</t>
        </is>
      </c>
      <c r="H195" s="9" t="inlineStr">
        <is>
          <t>N/A</t>
        </is>
      </c>
    </row>
    <row r="196">
      <c r="A196" s="2" t="inlineStr">
        <is>
          <t>General OD</t>
        </is>
      </c>
      <c r="B196" s="2" t="inlineStr">
        <is>
          <t>FreqPDE</t>
        </is>
      </c>
      <c r="C196" s="2" t="inlineStr">
        <is>
          <t>—</t>
        </is>
      </c>
      <c r="D196" s="2" t="inlineStr">
        <is>
          <t>ICCV 2025</t>
        </is>
      </c>
      <c r="E196" s="2" t="inlineStr">
        <is>
          <t>2025-10</t>
        </is>
      </c>
      <c r="F196" s="2" t="inlineStr">
        <is>
          <t>✅ verified (ICCV 2025, text): tested on nuScenes — metric NDS / mAP (3D); Ours row: "FreqPDE (Ours) ResNet50 256× 704 54.3 43.5 0.577 0.270 0.442 0.257 0.199". CVF Open Access 自動收錄；指標待人工驗證。FreqPDE: Rethinking Positional Depth Embedding for Multi-View 3D Object Detection Transform</t>
        </is>
      </c>
      <c r="G196" s="9" t="inlineStr">
        <is>
          <t>https://openaccess.thecvf.com/content/ICCV2025/html/Su_FreqPDE_Rethinking_Positional_Depth_Embedding_for_Multi-View_3D_Object_Detection_ICCV_2025_paper.html</t>
        </is>
      </c>
      <c r="H196" s="9" t="inlineStr">
        <is>
          <t>N/A</t>
        </is>
      </c>
    </row>
    <row r="197">
      <c r="A197" s="2" t="inlineStr">
        <is>
          <t>General OD</t>
        </is>
      </c>
      <c r="B197" s="2" t="inlineStr">
        <is>
          <t>Height-Fidelity Dense Global Fusion for Multi-modal 3D Objec</t>
        </is>
      </c>
      <c r="C197" s="2" t="inlineStr">
        <is>
          <t>—</t>
        </is>
      </c>
      <c r="D197" s="2" t="inlineStr">
        <is>
          <t>ICCV 2025</t>
        </is>
      </c>
      <c r="E197" s="2" t="inlineStr">
        <is>
          <t>2025-10</t>
        </is>
      </c>
      <c r="F197" s="2" t="inlineStr">
        <is>
          <t>✅ verified — see COCO test-dev sheet (primary=65.4). CVF Open Access 自動收錄；指標待人工驗證。Height-Fidelity Dense Global Fusion for Multi-modal 3D Object Detection</t>
        </is>
      </c>
      <c r="G197" s="9" t="inlineStr">
        <is>
          <t>https://openaccess.thecvf.com/content/ICCV2025/html/Wang_Height-Fidelity_Dense_Global_Fusion_for_Multi-modal_3D_Object_Detection_ICCV_2025_paper.html</t>
        </is>
      </c>
      <c r="H197" s="9" t="inlineStr">
        <is>
          <t>N/A</t>
        </is>
      </c>
    </row>
    <row r="198">
      <c r="A198" s="2" t="inlineStr">
        <is>
          <t>General OD</t>
        </is>
      </c>
      <c r="B198" s="2" t="inlineStr">
        <is>
          <t>Harnessing Uncertainty-aware Bounding Boxes for Unsupervised</t>
        </is>
      </c>
      <c r="C198" s="2" t="inlineStr">
        <is>
          <t>—</t>
        </is>
      </c>
      <c r="D198" s="2" t="inlineStr">
        <is>
          <t>ICCV 2025</t>
        </is>
      </c>
      <c r="E198" s="2" t="inlineStr">
        <is>
          <t>2025-10</t>
        </is>
      </c>
      <c r="F198" s="2" t="inlineStr">
        <is>
          <t>✅ verified — see COCO test-dev sheet (primary=65.4). CVF Open Access 自動收錄；指標待人工驗證。Harnessing Uncertainty-aware Bounding Boxes for Unsupervised 3D Object Detection</t>
        </is>
      </c>
      <c r="G198" s="9" t="inlineStr">
        <is>
          <t>https://openaccess.thecvf.com/content/ICCV2025/html/Zhang_Harnessing_Uncertainty-aware_Bounding_Boxes_for_Unsupervised_3D_Object_Detection_ICCV_2025_paper.html</t>
        </is>
      </c>
      <c r="H198" s="9" t="inlineStr">
        <is>
          <t>N/A</t>
        </is>
      </c>
    </row>
    <row r="199">
      <c r="A199" s="2" t="inlineStr">
        <is>
          <t>General OD</t>
        </is>
      </c>
      <c r="B199" s="2" t="inlineStr">
        <is>
          <t>DiffRefine</t>
        </is>
      </c>
      <c r="C199" s="2" t="inlineStr">
        <is>
          <t>—</t>
        </is>
      </c>
      <c r="D199" s="2" t="inlineStr">
        <is>
          <t>ICCV 2025</t>
        </is>
      </c>
      <c r="E199" s="2" t="inlineStr">
        <is>
          <t>2025-10</t>
        </is>
      </c>
      <c r="F199" s="2" t="inlineStr">
        <is>
          <t>✅ verified (ICCV 2025, text): tested on nuScenes — metric NDS / mAP (3D); Ours row: "DiffRefine (Ours) 87.81/75.25 128.79/103.80 81.73/55.84 91.53/73.77". CVF Open Access 自動收錄；指標待人工驗證。DiffRefine: Diffusion-based Proposal Specific Point Cloud Densification for Cross-Domain Ob</t>
        </is>
      </c>
      <c r="G199" s="9" t="inlineStr">
        <is>
          <t>https://openaccess.thecvf.com/content/ICCV2025/html/Shin_DiffRefine_Diffusion-based_Proposal_Specific_Point_Cloud_Densification_for_Cross-Domain_Object_ICCV_2025_paper.html</t>
        </is>
      </c>
      <c r="H199" s="9" t="inlineStr">
        <is>
          <t>N/A</t>
        </is>
      </c>
    </row>
    <row r="200">
      <c r="A200" s="2" t="inlineStr">
        <is>
          <t>General OD</t>
        </is>
      </c>
      <c r="B200" s="2" t="inlineStr">
        <is>
          <t>Visual Textualization for Image Prompted Object Detection</t>
        </is>
      </c>
      <c r="C200" s="2" t="inlineStr">
        <is>
          <t>—</t>
        </is>
      </c>
      <c r="D200" s="2" t="inlineStr">
        <is>
          <t>ICCV 2025</t>
        </is>
      </c>
      <c r="E200" s="2" t="inlineStr">
        <is>
          <t>2025-10</t>
        </is>
      </c>
      <c r="F200" s="2" t="inlineStr">
        <is>
          <t>✅ verified — see COCO test-dev sheet (primary=65.4). CVF Open Access 自動收錄；指標待人工驗證。Visual Textualization for Image Prompted Object Detection</t>
        </is>
      </c>
      <c r="G200" s="9" t="inlineStr">
        <is>
          <t>https://openaccess.thecvf.com/content/ICCV2025/html/Wu_Visual_Textualization_for_Image_Prompted_Object_Detection_ICCV_2025_paper.html</t>
        </is>
      </c>
      <c r="H200" s="9" t="inlineStr">
        <is>
          <t>N/A</t>
        </is>
      </c>
    </row>
    <row r="201">
      <c r="A201" s="2" t="inlineStr">
        <is>
          <t>General OD</t>
        </is>
      </c>
      <c r="B201" s="2" t="inlineStr">
        <is>
          <t>VISO</t>
        </is>
      </c>
      <c r="C201" s="2" t="inlineStr">
        <is>
          <t>—</t>
        </is>
      </c>
      <c r="D201" s="2" t="inlineStr">
        <is>
          <t>ICCV 2025</t>
        </is>
      </c>
      <c r="E201" s="2" t="inlineStr">
        <is>
          <t>2025-10</t>
        </is>
      </c>
      <c r="F201" s="2" t="inlineStr">
        <is>
          <t>CVF Open Access 自動收錄；指標待人工驗證。VISO: Accelerating In-orbit Object Detection with Language-Guided Mask Learning and Sparse Inference</t>
        </is>
      </c>
      <c r="G201" s="9" t="inlineStr">
        <is>
          <t>https://openaccess.thecvf.com/content/ICCV2025/html/Wang_VISO_Accelerating_In-orbit_Object_Detection_with_Language-Guided_Mask_Learning_and_ICCV_2025_paper.html</t>
        </is>
      </c>
      <c r="H201" s="9" t="inlineStr">
        <is>
          <t>N/A</t>
        </is>
      </c>
    </row>
    <row r="202">
      <c r="A202" s="2" t="inlineStr">
        <is>
          <t>General OD</t>
        </is>
      </c>
      <c r="B202" s="2" t="inlineStr">
        <is>
          <t>Power of Cooperative Supervision</t>
        </is>
      </c>
      <c r="C202" s="2" t="inlineStr">
        <is>
          <t>—</t>
        </is>
      </c>
      <c r="D202" s="2" t="inlineStr">
        <is>
          <t>ICCV 2025</t>
        </is>
      </c>
      <c r="E202" s="2" t="inlineStr">
        <is>
          <t>2025-10</t>
        </is>
      </c>
      <c r="F202" s="2" t="inlineStr">
        <is>
          <t>✅ verified — see COCO test-dev sheet (primary=65.4). CVF Open Access 自動收錄；指標待人工驗證。Power of Cooperative Supervision: Multiple Teachers Framework for Advanced 3D Semi-Supervised Object Detection</t>
        </is>
      </c>
      <c r="G202" s="9" t="inlineStr">
        <is>
          <t>https://openaccess.thecvf.com/content/ICCV2025/html/Lee_Power_of_Cooperative_Supervision_Multiple_Teachers_Framework_for_Advanced_3D_ICCV_2025_paper.html</t>
        </is>
      </c>
      <c r="H202" s="9" t="inlineStr">
        <is>
          <t>N/A</t>
        </is>
      </c>
    </row>
    <row r="203">
      <c r="A203" s="2" t="inlineStr">
        <is>
          <t>General OD</t>
        </is>
      </c>
      <c r="B203" s="2" t="inlineStr">
        <is>
          <t>3D-MOOD</t>
        </is>
      </c>
      <c r="C203" s="2" t="inlineStr">
        <is>
          <t>—</t>
        </is>
      </c>
      <c r="D203" s="2" t="inlineStr">
        <is>
          <t>ICCV 2025</t>
        </is>
      </c>
      <c r="E203" s="2" t="inlineStr">
        <is>
          <t>2025-10</t>
        </is>
      </c>
      <c r="F203" s="2" t="inlineStr">
        <is>
          <t>✅ verified (ICCV 2025, text): tested on nuScenes — metric NDS / mAP (3D); Ours row: "Ours 25.6 15.9 14.5 13.8 42.1 21.4 12.9 23.8 43.9". CVF Open Access 自動收錄；指標待人工驗證。3D-MOOD: Lifting 2D to 3D for Monocular Open-Set Object Detection</t>
        </is>
      </c>
      <c r="G203" s="9" t="inlineStr">
        <is>
          <t>https://openaccess.thecvf.com/content/ICCV2025/html/Yang_3D-MOOD_Lifting_2D_to_3D_for_Monocular_Open-Set_Object_Detection_ICCV_2025_paper.html</t>
        </is>
      </c>
      <c r="H203" s="9" t="inlineStr">
        <is>
          <t>N/A</t>
        </is>
      </c>
    </row>
    <row r="204">
      <c r="A204" s="2" t="inlineStr">
        <is>
          <t>General OD</t>
        </is>
      </c>
      <c r="B204" s="2" t="inlineStr">
        <is>
          <t>OpenM3D</t>
        </is>
      </c>
      <c r="C204" s="2" t="inlineStr">
        <is>
          <t>—</t>
        </is>
      </c>
      <c r="D204" s="2" t="inlineStr">
        <is>
          <t>ICCV 2025</t>
        </is>
      </c>
      <c r="E204" s="2" t="inlineStr">
        <is>
          <t>2025-10</t>
        </is>
      </c>
      <c r="F204" s="2" t="inlineStr">
        <is>
          <t>✅ verified (ICCV 2025, text): tested on ScanNet — metric AP25/AP50 (3D indoor); Ours row: "Ours w/o MSR27.09 11.98 52.43 23.18 6.06 1.34 51.40 11.41". CVF Open Access 自動收錄；指標待人工驗證。OpenM3D: Open Vocabulary Multi-view Indoor 3D Object Detection without Human Annotations</t>
        </is>
      </c>
      <c r="G204" s="9" t="inlineStr">
        <is>
          <t>https://openaccess.thecvf.com/content/ICCV2025/html/Hsu_OpenM3D_Open_Vocabulary_Multi-view_Indoor_3D_Object_Detection_without_Human_ICCV_2025_paper.html</t>
        </is>
      </c>
      <c r="H204" s="9" t="inlineStr">
        <is>
          <t>N/A</t>
        </is>
      </c>
    </row>
    <row r="205">
      <c r="A205" s="2" t="inlineStr">
        <is>
          <t>General OD</t>
        </is>
      </c>
      <c r="B205" s="2" t="inlineStr">
        <is>
          <t>Beyond RGB</t>
        </is>
      </c>
      <c r="C205" s="2" t="inlineStr">
        <is>
          <t>—</t>
        </is>
      </c>
      <c r="D205" s="2" t="inlineStr">
        <is>
          <t>ICCV 2025</t>
        </is>
      </c>
      <c r="E205" s="2" t="inlineStr">
        <is>
          <t>2025-10</t>
        </is>
      </c>
      <c r="F205" s="2" t="inlineStr">
        <is>
          <t>✅ verified (ICCV 2025, text): tested on COCO — metric AP; Ours row: "RAM (Ours) 34.9 57.6 40.1 61.6 28.3 45.1 44.5 69.0 31.0 56.3 32.4 59.1 66.8". CVF Open Access 自動收錄；指標待人工驗證。Beyond RGB: Adaptive Parallel Processing for RAW Object Detection</t>
        </is>
      </c>
      <c r="G205" s="9" t="inlineStr">
        <is>
          <t>https://openaccess.thecvf.com/content/ICCV2025/html/Gamrian_Beyond_RGB_Adaptive_Parallel_Processing_for_RAW_Object_Detection_ICCV_2025_paper.html</t>
        </is>
      </c>
      <c r="H205" s="9" t="inlineStr">
        <is>
          <t>N/A</t>
        </is>
      </c>
    </row>
    <row r="206">
      <c r="A206" s="2" t="inlineStr">
        <is>
          <t>General OD</t>
        </is>
      </c>
      <c r="B206" s="2" t="inlineStr">
        <is>
          <t>Task-Specific Zero-shot Quantization-Aware Training for Obje</t>
        </is>
      </c>
      <c r="C206" s="2" t="inlineStr">
        <is>
          <t>—</t>
        </is>
      </c>
      <c r="D206" s="2" t="inlineStr">
        <is>
          <t>ICCV 2025</t>
        </is>
      </c>
      <c r="E206" s="2" t="inlineStr">
        <is>
          <t>2025-10</t>
        </is>
      </c>
      <c r="F206" s="2" t="inlineStr">
        <is>
          <t>✅ verified — see COCO test-dev sheet (primary=65.4). CVF Open Access 自動收錄；指標待人工驗證。Task-Specific Zero-shot Quantization-Aware Training for Object Detection</t>
        </is>
      </c>
      <c r="G206" s="9" t="inlineStr">
        <is>
          <t>https://openaccess.thecvf.com/content/ICCV2025/html/Li_Task-Specific_Zero-shot_Quantization-Aware_Training_for_Object_Detection_ICCV_2025_paper.html</t>
        </is>
      </c>
      <c r="H206" s="9" t="inlineStr">
        <is>
          <t>N/A</t>
        </is>
      </c>
    </row>
    <row r="207">
      <c r="A207" s="2" t="inlineStr">
        <is>
          <t>General OD</t>
        </is>
      </c>
      <c r="B207" s="2" t="inlineStr">
        <is>
          <t>Dark-ISP</t>
        </is>
      </c>
      <c r="C207" s="2" t="inlineStr">
        <is>
          <t>—</t>
        </is>
      </c>
      <c r="D207" s="2" t="inlineStr">
        <is>
          <t>ICCV 2025</t>
        </is>
      </c>
      <c r="E207" s="2" t="inlineStr">
        <is>
          <t>2025-10</t>
        </is>
      </c>
      <c r="F207" s="2" t="inlineStr">
        <is>
          <t>✅ verified (ICCV 2025, text): tested on COCO — metric AP; Ours row: "Dark-ISP(Ours) 31.5 53.4 32.2". CVF Open Access 自動收錄；指標待人工驗證。Dark-ISP: Enhancing RAW Image Processing for Low-Light Object Detection</t>
        </is>
      </c>
      <c r="G207" s="9" t="inlineStr">
        <is>
          <t>https://openaccess.thecvf.com/content/ICCV2025/html/Guo_Dark-ISP_Enhancing_RAW_Image_Processing_for_Low-Light_Object_Detection_ICCV_2025_paper.html</t>
        </is>
      </c>
      <c r="H207" s="9" t="inlineStr">
        <is>
          <t>N/A</t>
        </is>
      </c>
    </row>
    <row r="208">
      <c r="A208" s="2" t="inlineStr">
        <is>
          <t>General OD</t>
        </is>
      </c>
      <c r="B208" s="2" t="inlineStr">
        <is>
          <t>WaveMamba</t>
        </is>
      </c>
      <c r="C208" s="2" t="inlineStr">
        <is>
          <t>—</t>
        </is>
      </c>
      <c r="D208" s="2" t="inlineStr">
        <is>
          <t>ICCV 2025</t>
        </is>
      </c>
      <c r="E208" s="2" t="inlineStr">
        <is>
          <t>2025-10</t>
        </is>
      </c>
      <c r="F208" s="2" t="inlineStr">
        <is>
          <t>✅ verified (ICCV 2025, text): tested on FLIR — metric mAP (thermal); Ours row: "Ours ResNet50 90.9 62.3 95.6 96.4 92.8 91.6 84.8 84.4". CVF Open Access 自動收錄；指標待人工驗證。WaveMamba: Wavelet-Driven Mamba Fusion for RGB-Infrared Object Detection</t>
        </is>
      </c>
      <c r="G208" s="9" t="inlineStr">
        <is>
          <t>https://openaccess.thecvf.com/content/ICCV2025/html/Zhu_WaveMamba_Wavelet-Driven_Mamba_Fusion_for_RGB-Infrared_Object_Detection_ICCV_2025_paper.html</t>
        </is>
      </c>
      <c r="H208" s="9" t="inlineStr">
        <is>
          <t>N/A</t>
        </is>
      </c>
    </row>
    <row r="209">
      <c r="A209" s="2" t="inlineStr">
        <is>
          <t>General OD</t>
        </is>
      </c>
      <c r="B209" s="2" t="inlineStr">
        <is>
          <t>Improving SAM for Camouflaged Object Detection via Dual Stre</t>
        </is>
      </c>
      <c r="C209" s="2" t="inlineStr">
        <is>
          <t>—</t>
        </is>
      </c>
      <c r="D209" s="2" t="inlineStr">
        <is>
          <t>ICCV 2025</t>
        </is>
      </c>
      <c r="E209" s="2" t="inlineStr">
        <is>
          <t>2025-10</t>
        </is>
      </c>
      <c r="F209" s="2" t="inlineStr">
        <is>
          <t>✅ verified — see COCO test-dev sheet (primary=65.4). CVF Open Access 自動收錄；指標待人工驗證。Improving SAM for Camouflaged Object Detection via Dual Stream Adapters</t>
        </is>
      </c>
      <c r="G209" s="9" t="inlineStr">
        <is>
          <t>https://openaccess.thecvf.com/content/ICCV2025/html/Liu_Improving_SAM_for_Camouflaged_Object_Detection_via_Dual_Stream_Adapters_ICCV_2025_paper.html</t>
        </is>
      </c>
      <c r="H209" s="9" t="inlineStr">
        <is>
          <t>N/A</t>
        </is>
      </c>
    </row>
    <row r="210">
      <c r="A210" s="2" t="inlineStr">
        <is>
          <t>General OD</t>
        </is>
      </c>
      <c r="B210" s="2" t="inlineStr">
        <is>
          <t>ForeSight</t>
        </is>
      </c>
      <c r="C210" s="2" t="inlineStr">
        <is>
          <t>—</t>
        </is>
      </c>
      <c r="D210" s="2" t="inlineStr">
        <is>
          <t>ICCV 2025</t>
        </is>
      </c>
      <c r="E210" s="2" t="inlineStr">
        <is>
          <t>2025-10</t>
        </is>
      </c>
      <c r="F210" s="2" t="inlineStr">
        <is>
          <t>✅ verified (ICCV 2025, text): tested on nuScenes — metric NDS / mAP (3D); Ours row: "ForeSight (ours) ResNet50 256×704 4 0.466 0.560 0.614 0.266 0.370 0.258 0.2". CVF Open Access 自動收錄；指標待人工驗證。ForeSight: Multi-View Streaming Joint Object Detection and Trajectory Forecasting</t>
        </is>
      </c>
      <c r="G210" s="9" t="inlineStr">
        <is>
          <t>https://openaccess.thecvf.com/content/ICCV2025/html/Papais_ForeSight_Multi-View_Streaming_Joint_Object_Detection_and_Trajectory_Forecasting_ICCV_2025_paper.html</t>
        </is>
      </c>
      <c r="H210" s="9" t="inlineStr">
        <is>
          <t>N/A</t>
        </is>
      </c>
    </row>
    <row r="211">
      <c r="A211" s="2" t="inlineStr">
        <is>
          <t>Few-Shot OD</t>
        </is>
      </c>
      <c r="B211" s="2" t="inlineStr">
        <is>
          <t>Dynamic-DINO</t>
        </is>
      </c>
      <c r="C211" s="2" t="inlineStr">
        <is>
          <t>—</t>
        </is>
      </c>
      <c r="D211" s="2" t="inlineStr">
        <is>
          <t>ICCV 2025</t>
        </is>
      </c>
      <c r="E211" s="2" t="inlineStr">
        <is>
          <t>2025-10</t>
        </is>
      </c>
      <c r="F211" s="2" t="inlineStr">
        <is>
          <t>✅ verified — see COCO test-dev sheet (primary=62.6). CVF Open Access 自動收錄；指標待人工驗證。Dynamic-DINO: Fine-Grained Mixture of Experts Tuning for Real-time Open-Vocabulary Object Detection</t>
        </is>
      </c>
      <c r="G211" s="9" t="inlineStr">
        <is>
          <t>https://openaccess.thecvf.com/content/ICCV2025/html/Lu_Dynamic-DINO_Fine-Grained_Mixture_of_Experts_Tuning_for_Real-time_Open-Vocabulary_Object_ICCV_2025_paper.html</t>
        </is>
      </c>
      <c r="H211" s="9" t="inlineStr">
        <is>
          <t>N/A</t>
        </is>
      </c>
    </row>
    <row r="212">
      <c r="A212" s="2" t="inlineStr">
        <is>
          <t>General OD</t>
        </is>
      </c>
      <c r="B212" s="2" t="inlineStr">
        <is>
          <t>Perspective-Invariant 3D Object Detection</t>
        </is>
      </c>
      <c r="C212" s="2" t="inlineStr">
        <is>
          <t>—</t>
        </is>
      </c>
      <c r="D212" s="2" t="inlineStr">
        <is>
          <t>ICCV 2025</t>
        </is>
      </c>
      <c r="E212" s="2" t="inlineStr">
        <is>
          <t>2025-10</t>
        </is>
      </c>
      <c r="F212" s="2" t="inlineStr">
        <is>
          <t>✅ verified — see COCO test-dev sheet (primary=65.4). CVF Open Access 自動收錄；指標待人工驗證。Perspective-Invariant 3D Object Detection</t>
        </is>
      </c>
      <c r="G212" s="9" t="inlineStr">
        <is>
          <t>https://openaccess.thecvf.com/content/ICCV2025/html/Liang_Perspective-Invariant_3D_Object_Detection_ICCV_2025_paper.html</t>
        </is>
      </c>
      <c r="H212" s="9" t="inlineStr">
        <is>
          <t>N/A</t>
        </is>
      </c>
    </row>
    <row r="213">
      <c r="A213" s="2" t="inlineStr">
        <is>
          <t>Real-Time OD</t>
        </is>
      </c>
      <c r="B213" s="2" t="inlineStr">
        <is>
          <t>YOLOE</t>
        </is>
      </c>
      <c r="C213" s="2" t="inlineStr">
        <is>
          <t>—</t>
        </is>
      </c>
      <c r="D213" s="2" t="inlineStr">
        <is>
          <t>ICCV 2025</t>
        </is>
      </c>
      <c r="E213" s="2" t="inlineStr">
        <is>
          <t>2025-10</t>
        </is>
      </c>
      <c r="F213" s="2" t="inlineStr">
        <is>
          <t>CVF Open Access 自動收錄；指標待人工驗證。YOLOE: Real-Time Seeing Anything</t>
        </is>
      </c>
      <c r="G213" s="9" t="inlineStr">
        <is>
          <t>https://openaccess.thecvf.com/content/ICCV2025/html/Wang_YOLOE_Real-Time_Seeing_Anything_ICCV_2025_paper.html</t>
        </is>
      </c>
      <c r="H213" s="9" t="inlineStr">
        <is>
          <t>N/A</t>
        </is>
      </c>
    </row>
    <row r="214">
      <c r="A214" s="2" t="inlineStr">
        <is>
          <t>General OD</t>
        </is>
      </c>
      <c r="B214" s="2" t="inlineStr">
        <is>
          <t>Continual Adaptation</t>
        </is>
      </c>
      <c r="C214" s="2" t="inlineStr">
        <is>
          <t>—</t>
        </is>
      </c>
      <c r="D214" s="2" t="inlineStr">
        <is>
          <t>ICCV 2025</t>
        </is>
      </c>
      <c r="E214" s="2" t="inlineStr">
        <is>
          <t>2025-10</t>
        </is>
      </c>
      <c r="F214" s="2" t="inlineStr">
        <is>
          <t>✅ verified — see COCO test-dev sheet (primary=65.4). CVF Open Access 自動收錄；指標待人工驗證。Continual Adaptation: Environment-Conditional Parameter Generation for Object Detection in Dynamic Scenarios</t>
        </is>
      </c>
      <c r="G214" s="9" t="inlineStr">
        <is>
          <t>https://openaccess.thecvf.com/content/ICCV2025/html/Li_Continual_Adaptation_Environment-Conditional_Parameter_Generation_for_Object_Detection_in_Dynamic_ICCV_2025_paper.html</t>
        </is>
      </c>
      <c r="H214" s="9" t="inlineStr">
        <is>
          <t>N/A</t>
        </is>
      </c>
    </row>
    <row r="215">
      <c r="A215" s="2" t="inlineStr">
        <is>
          <t>General OD</t>
        </is>
      </c>
      <c r="B215" s="2" t="inlineStr">
        <is>
          <t>OW-Rep</t>
        </is>
      </c>
      <c r="C215" s="2" t="inlineStr">
        <is>
          <t>—</t>
        </is>
      </c>
      <c r="D215" s="2" t="inlineStr">
        <is>
          <t>WACV 2026</t>
        </is>
      </c>
      <c r="E215" s="2" t="inlineStr">
        <is>
          <t>2025-01</t>
        </is>
      </c>
      <c r="F215" s="2" t="inlineStr">
        <is>
          <t>✅ verified (WACV 2026, text): tested on CODA — metric AR (corner-case OV); Ours row: "Ours 30.56 11.69 58.89 26.74 10.19 45.00 28.21 13.25 36.31 31.46". CVF Open Access 自動收錄；指標待人工驗證。OW-Rep: Open World Object Detection with Instance Representation Learning</t>
        </is>
      </c>
      <c r="G215" s="9" t="inlineStr">
        <is>
          <t>https://openaccess.thecvf.com/content/WACV2026/html/Lee_OW-Rep_Open_World_Object_Detection_with_Instance_Representation_Learning_WACV_2026_paper.html</t>
        </is>
      </c>
      <c r="H215" s="9" t="inlineStr">
        <is>
          <t>N/A</t>
        </is>
      </c>
    </row>
    <row r="216">
      <c r="A216" s="2" t="inlineStr">
        <is>
          <t>General OD</t>
        </is>
      </c>
      <c r="B216" s="2" t="inlineStr">
        <is>
          <t>MUSE</t>
        </is>
      </c>
      <c r="C216" s="2" t="inlineStr">
        <is>
          <t>—</t>
        </is>
      </c>
      <c r="D216" s="2" t="inlineStr">
        <is>
          <t>WACV 2026</t>
        </is>
      </c>
      <c r="E216" s="2" t="inlineStr">
        <is>
          <t>2025-01</t>
        </is>
      </c>
      <c r="F216" s="2" t="inlineStr">
        <is>
          <t>CVF Open Access 自動收錄；指標待人工驗證。MUSE: Model-based Uncertainty-aware Similarity Estimation for zero-shot 2D Object Detection and Segmentation</t>
        </is>
      </c>
      <c r="G216" s="9" t="inlineStr">
        <is>
          <t>https://openaccess.thecvf.com/content/WACV2026/html/Cho_MUSE_Model-based_Uncertainty-aware_Similarity_Estimation_for_zero-shot_2D_Object_Detection_WACV_2026_paper.html</t>
        </is>
      </c>
      <c r="H216" s="9" t="inlineStr">
        <is>
          <t>N/A</t>
        </is>
      </c>
    </row>
    <row r="217">
      <c r="A217" s="2" t="inlineStr">
        <is>
          <t>General OD</t>
        </is>
      </c>
      <c r="B217" s="2" t="inlineStr">
        <is>
          <t>Modeling and Learning Multiple Hypotheses for Monocular 3D O</t>
        </is>
      </c>
      <c r="C217" s="2" t="inlineStr">
        <is>
          <t>—</t>
        </is>
      </c>
      <c r="D217" s="2" t="inlineStr">
        <is>
          <t>WACV 2026</t>
        </is>
      </c>
      <c r="E217" s="2" t="inlineStr">
        <is>
          <t>2025-01</t>
        </is>
      </c>
      <c r="F217" s="2" t="inlineStr">
        <is>
          <t>✅ verified — see COCO test-dev sheet (primary=65.4). CVF Open Access 自動收錄；指標待人工驗證。Modeling and Learning Multiple Hypotheses for Monocular 3D Object Detection</t>
        </is>
      </c>
      <c r="G217" s="9" t="inlineStr">
        <is>
          <t>https://openaccess.thecvf.com/content/WACV2026/html/Park_Modeling_and_Learning_Multiple_Hypotheses_for_Monocular_3D_Object_Detection_WACV_2026_paper.html</t>
        </is>
      </c>
      <c r="H217" s="9" t="inlineStr">
        <is>
          <t>N/A</t>
        </is>
      </c>
    </row>
    <row r="218">
      <c r="A218" s="2" t="inlineStr">
        <is>
          <t>General OD</t>
        </is>
      </c>
      <c r="B218" s="2" t="inlineStr">
        <is>
          <t>SeaClips</t>
        </is>
      </c>
      <c r="C218" s="2" t="inlineStr">
        <is>
          <t>—</t>
        </is>
      </c>
      <c r="D218" s="2" t="inlineStr">
        <is>
          <t>WACV 2026</t>
        </is>
      </c>
      <c r="E218" s="2" t="inlineStr">
        <is>
          <t>2025-01</t>
        </is>
      </c>
      <c r="F218" s="2" t="inlineStr">
        <is>
          <t>CVF Open Access 自動收錄；指標待人工驗證。SeaClips: A Video Dataset for Maritime Object Detection.</t>
        </is>
      </c>
      <c r="G218" s="9" t="inlineStr">
        <is>
          <t>https://openaccess.thecvf.com/content/WACV2026/html/Denk_SeaClips_A_Video_Dataset_for_Maritime_Object_Detection._WACV_2026_paper.html</t>
        </is>
      </c>
      <c r="H218" s="9" t="inlineStr">
        <is>
          <t>N/A</t>
        </is>
      </c>
    </row>
    <row r="219">
      <c r="A219" s="2" t="inlineStr">
        <is>
          <t>General OD</t>
        </is>
      </c>
      <c r="B219" s="2" t="inlineStr">
        <is>
          <t>Enhancing Object Detection Training via Joint Image-Annotati</t>
        </is>
      </c>
      <c r="C219" s="2" t="inlineStr">
        <is>
          <t>—</t>
        </is>
      </c>
      <c r="D219" s="2" t="inlineStr">
        <is>
          <t>WACV 2026</t>
        </is>
      </c>
      <c r="E219" s="2" t="inlineStr">
        <is>
          <t>2025-01</t>
        </is>
      </c>
      <c r="F219" s="2" t="inlineStr">
        <is>
          <t>✅ verified — see COCO test-dev sheet (primary=65.4). CVF Open Access 自動收錄；指標待人工驗證。Enhancing Object Detection Training via Joint Image-Annotation Generation</t>
        </is>
      </c>
      <c r="G219" s="9" t="inlineStr">
        <is>
          <t>https://openaccess.thecvf.com/content/WACV2026/html/Uziel_Enhancing_Object_Detection_Training_via_Joint_Image-Annotation_Generation_WACV_2026_paper.html</t>
        </is>
      </c>
      <c r="H219" s="9" t="inlineStr">
        <is>
          <t>N/A</t>
        </is>
      </c>
    </row>
    <row r="220">
      <c r="A220" s="2" t="inlineStr">
        <is>
          <t>General OD</t>
        </is>
      </c>
      <c r="B220" s="2" t="inlineStr">
        <is>
          <t>SSMRadNet</t>
        </is>
      </c>
      <c r="C220" s="2" t="inlineStr">
        <is>
          <t>—</t>
        </is>
      </c>
      <c r="D220" s="2" t="inlineStr">
        <is>
          <t>WACV 2026</t>
        </is>
      </c>
      <c r="E220" s="2" t="inlineStr">
        <is>
          <t>2025-01</t>
        </is>
      </c>
      <c r="F220" s="2" t="inlineStr">
        <is>
          <t>CVF Open Access 自動收錄；指標待人工驗證。SSMRadNet : A Sample-wise State-Space Framework for Efficient and Ultra-Light Radar Segmentation and Object Detection</t>
        </is>
      </c>
      <c r="G220" s="9" t="inlineStr">
        <is>
          <t>https://openaccess.thecvf.com/content/WACV2026/html/Sen_SSMRadNet__A_Sample-wise_State-Space_Framework_for_Efficient_and_Ultra-Light_WACV_2026_paper.html</t>
        </is>
      </c>
      <c r="H220" s="9" t="inlineStr">
        <is>
          <t>N/A</t>
        </is>
      </c>
    </row>
    <row r="221">
      <c r="A221" s="2" t="inlineStr">
        <is>
          <t>General OD</t>
        </is>
      </c>
      <c r="B221" s="2" t="inlineStr">
        <is>
          <t>High-Level Semantics and Low-Level Features Fusion for Multi</t>
        </is>
      </c>
      <c r="C221" s="2" t="inlineStr">
        <is>
          <t>—</t>
        </is>
      </c>
      <c r="D221" s="2" t="inlineStr">
        <is>
          <t>WACV 2026</t>
        </is>
      </c>
      <c r="E221" s="2" t="inlineStr">
        <is>
          <t>2025-01</t>
        </is>
      </c>
      <c r="F221" s="2" t="inlineStr">
        <is>
          <t>✅ verified — see COCO test-dev sheet (primary=65.4). CVF Open Access 自動收錄；指標待人工驗證。High-Level Semantics and Low-Level Features Fusion for Multi-Scale Object Detection in Dynamic Construction Environments</t>
        </is>
      </c>
      <c r="G221" s="9" t="inlineStr">
        <is>
          <t>https://openaccess.thecvf.com/content/WACV2026/html/Bonyani_High-Level_Semantics_and_Low-Level_Features_Fusion_for_Multi-Scale_Object_Detection_WACV_2026_paper.html</t>
        </is>
      </c>
      <c r="H221" s="9" t="inlineStr">
        <is>
          <t>N/A</t>
        </is>
      </c>
    </row>
    <row r="222">
      <c r="A222" s="2" t="inlineStr">
        <is>
          <t>General OD</t>
        </is>
      </c>
      <c r="B222" s="2" t="inlineStr">
        <is>
          <t>MVAT</t>
        </is>
      </c>
      <c r="C222" s="2" t="inlineStr">
        <is>
          <t>—</t>
        </is>
      </c>
      <c r="D222" s="2" t="inlineStr">
        <is>
          <t>WACV 2026</t>
        </is>
      </c>
      <c r="E222" s="2" t="inlineStr">
        <is>
          <t>2025-01</t>
        </is>
      </c>
      <c r="F222" s="2" t="inlineStr">
        <is>
          <t>✅ verified (WACV 2026, text): tested on nuScenes — metric NDS / mAP (3D); Ours row: "MV AT (ours)54.1 56.4 83.0 50.2 17.0 61.4 31.2 61.8 53.4 39.8 82.8 60.0". CVF Open Access 自動收錄；指標待人工驗證。MVAT: Multi-View Aware Teacher for Weakly Supervised 3D Object Detection</t>
        </is>
      </c>
      <c r="G222" s="9" t="inlineStr">
        <is>
          <t>https://openaccess.thecvf.com/content/WACV2026/html/Lahlali_MVAT_Multi-View_Aware_Teacher_for_Weakly_Supervised_3D_Object_Detection_WACV_2026_paper.html</t>
        </is>
      </c>
      <c r="H222" s="9" t="inlineStr">
        <is>
          <t>N/A</t>
        </is>
      </c>
    </row>
    <row r="223">
      <c r="A223" s="2" t="inlineStr">
        <is>
          <t>General OD</t>
        </is>
      </c>
      <c r="B223" s="2" t="inlineStr">
        <is>
          <t>CLoCKDistill</t>
        </is>
      </c>
      <c r="C223" s="2" t="inlineStr">
        <is>
          <t>—</t>
        </is>
      </c>
      <c r="D223" s="2" t="inlineStr">
        <is>
          <t>WACV 2026</t>
        </is>
      </c>
      <c r="E223" s="2" t="inlineStr">
        <is>
          <t>2025-01</t>
        </is>
      </c>
      <c r="F223" s="2" t="inlineStr">
        <is>
          <t>✅ verified — see COCO test-dev sheet (primary=64.5). CVF Open Access 自動收錄；指標待人工驗證。CLoCKDistill: Consistent Location and Context aware Knowledge Distillation for DETRs</t>
        </is>
      </c>
      <c r="G223" s="9" t="inlineStr">
        <is>
          <t>https://openaccess.thecvf.com/content/WACV2026/html/Lan_CLoCKDistill_Consistent_Location_and_Context_aware_Knowledge_Distillation_for_DETRs_WACV_2026_paper.html</t>
        </is>
      </c>
      <c r="H223" s="9" t="inlineStr">
        <is>
          <t>N/A</t>
        </is>
      </c>
    </row>
    <row r="224">
      <c r="A224" s="2" t="inlineStr">
        <is>
          <t>General OD</t>
        </is>
      </c>
      <c r="B224" s="2" t="inlineStr">
        <is>
          <t>DMAT</t>
        </is>
      </c>
      <c r="C224" s="2" t="inlineStr">
        <is>
          <t>—</t>
        </is>
      </c>
      <c r="D224" s="2" t="inlineStr">
        <is>
          <t>WACV 2026</t>
        </is>
      </c>
      <c r="E224" s="2" t="inlineStr">
        <is>
          <t>2025-01</t>
        </is>
      </c>
      <c r="F224" s="2" t="inlineStr">
        <is>
          <t>✅ verified (WACV 2026, text): tested on COCO — metric AP; Ours row: "DMAT-Tiny (ours) 2.8+12.1 0.374 0.188 0.214 0.108 0.348 0.178 0.214 0.127". CVF Open Access 自動收錄；指標待人工驗證。DMAT: An End-to-End Framework for Joint Atmospheric Turbulence Mitigation and Object Detect</t>
        </is>
      </c>
      <c r="G224" s="9" t="inlineStr">
        <is>
          <t>https://openaccess.thecvf.com/content/WACV2026/html/Hill_DMAT_An_End-to-End_Framework_for_Joint_Atmospheric_Turbulence_Mitigation_and_WACV_2026_paper.html</t>
        </is>
      </c>
      <c r="H224" s="9" t="inlineStr">
        <is>
          <t>N/A</t>
        </is>
      </c>
    </row>
    <row r="225">
      <c r="A225" s="2" t="inlineStr">
        <is>
          <t>General OD</t>
        </is>
      </c>
      <c r="B225" s="2" t="inlineStr">
        <is>
          <t>SFMNet</t>
        </is>
      </c>
      <c r="C225" s="2" t="inlineStr">
        <is>
          <t>—</t>
        </is>
      </c>
      <c r="D225" s="2" t="inlineStr">
        <is>
          <t>WACV 2026</t>
        </is>
      </c>
      <c r="E225" s="2" t="inlineStr">
        <is>
          <t>2025-01</t>
        </is>
      </c>
      <c r="F225" s="2" t="inlineStr">
        <is>
          <t>✅ verified (WACV 2026, text): tested on nuScenes — metric NDS / mAP (3D); Ours row: "SFMNet (ours) 81.8/79.8 75.7/73.8 80.5/80.0 72.6/72.2 85.0/80.6 77.4/73.2 7". CVF Open Access 自動收錄；指標待人工驗證。SFMNet: Sparse Focal Modulation for 3D Object Detection</t>
        </is>
      </c>
      <c r="G225" s="9" t="inlineStr">
        <is>
          <t>https://openaccess.thecvf.com/content/WACV2026/html/Shrout_SFMNet_Sparse_Focal_Modulation_for_3D_Object_Detection_WACV_2026_paper.html</t>
        </is>
      </c>
      <c r="H225" s="9" t="inlineStr">
        <is>
          <t>N/A</t>
        </is>
      </c>
    </row>
    <row r="226">
      <c r="A226" s="2" t="inlineStr">
        <is>
          <t>General OD</t>
        </is>
      </c>
      <c r="B226" s="2" t="inlineStr">
        <is>
          <t>Graph Query Networks for Object Detection with Automotive Ra</t>
        </is>
      </c>
      <c r="C226" s="2" t="inlineStr">
        <is>
          <t>—</t>
        </is>
      </c>
      <c r="D226" s="2" t="inlineStr">
        <is>
          <t>WACV 2026</t>
        </is>
      </c>
      <c r="E226" s="2" t="inlineStr">
        <is>
          <t>2025-01</t>
        </is>
      </c>
      <c r="F226" s="2" t="inlineStr">
        <is>
          <t>✅ verified — see COCO test-dev sheet (primary=65.4). CVF Open Access 自動收錄；指標待人工驗證。Graph Query Networks for Object Detection with Automotive Radar</t>
        </is>
      </c>
      <c r="G226" s="9" t="inlineStr">
        <is>
          <t>https://openaccess.thecvf.com/content/WACV2026/html/Saini_Graph_Query_Networks_for_Object_Detection_with_Automotive_Radar_WACV_2026_paper.html</t>
        </is>
      </c>
      <c r="H226" s="9" t="inlineStr">
        <is>
          <t>N/A</t>
        </is>
      </c>
    </row>
    <row r="227">
      <c r="A227" s="2" t="inlineStr">
        <is>
          <t>General OD</t>
        </is>
      </c>
      <c r="B227" s="2" t="inlineStr">
        <is>
          <t>Event-based Graph Representation with Spatial and Motion Vec</t>
        </is>
      </c>
      <c r="C227" s="2" t="inlineStr">
        <is>
          <t>—</t>
        </is>
      </c>
      <c r="D227" s="2" t="inlineStr">
        <is>
          <t>WACV 2026</t>
        </is>
      </c>
      <c r="E227" s="2" t="inlineStr">
        <is>
          <t>2025-01</t>
        </is>
      </c>
      <c r="F227" s="2" t="inlineStr">
        <is>
          <t>✅ verified — see COCO test-dev sheet (primary=65.4). CVF Open Access 自動收錄；指標待人工驗證。Event-based Graph Representation with Spatial and Motion Vectors for Asynchronous Object Detection</t>
        </is>
      </c>
      <c r="G227" s="9" t="inlineStr">
        <is>
          <t>https://openaccess.thecvf.com/content/WACV2026/html/Verma_Event-based_Graph_Representation_with_Spatial_and_Motion_Vectors_for_Asynchronous_WACV_2026_paper.html</t>
        </is>
      </c>
      <c r="H227" s="9" t="inlineStr">
        <is>
          <t>N/A</t>
        </is>
      </c>
    </row>
    <row r="228">
      <c r="A228" s="2" t="inlineStr">
        <is>
          <t>General OD</t>
        </is>
      </c>
      <c r="B228" s="2" t="inlineStr">
        <is>
          <t>MomentMix Augmentation with Length-Aware DETR for Temporally</t>
        </is>
      </c>
      <c r="C228" s="2" t="inlineStr">
        <is>
          <t>—</t>
        </is>
      </c>
      <c r="D228" s="2" t="inlineStr">
        <is>
          <t>WACV 2026</t>
        </is>
      </c>
      <c r="E228" s="2" t="inlineStr">
        <is>
          <t>2025-01</t>
        </is>
      </c>
      <c r="F228" s="2" t="inlineStr">
        <is>
          <t>✅ verified — see COCO test-dev sheet (primary=65.4). CVF Open Access 自動收錄；指標待人工驗證。MomentMix Augmentation with Length-Aware DETR for Temporally Robust Moment Retrieval</t>
        </is>
      </c>
      <c r="G228" s="9" t="inlineStr">
        <is>
          <t>https://openaccess.thecvf.com/content/WACV2026/html/Park_MomentMix_Augmentation_with_Length-Aware_DETR_for_Temporally_Robust_Moment_Retrieval_WACV_2026_paper.html</t>
        </is>
      </c>
      <c r="H228" s="9" t="inlineStr">
        <is>
          <t>N/A</t>
        </is>
      </c>
    </row>
    <row r="229">
      <c r="A229" s="2" t="inlineStr">
        <is>
          <t>General OD</t>
        </is>
      </c>
      <c r="B229" s="2" t="inlineStr">
        <is>
          <t>SPAR-Det</t>
        </is>
      </c>
      <c r="C229" s="2" t="inlineStr">
        <is>
          <t>—</t>
        </is>
      </c>
      <c r="D229" s="2" t="inlineStr">
        <is>
          <t>WACV 2026</t>
        </is>
      </c>
      <c r="E229" s="2" t="inlineStr">
        <is>
          <t>2025-01</t>
        </is>
      </c>
      <c r="F229" s="2" t="inlineStr">
        <is>
          <t>✅ verified (WACV 2026, text): tested on DOTA — metric mAP (oriented OBB); Ours row: "Ours 16.0 31.5 35.7 41.0 31.2 61.2 23.2 40.6 42.3 30.8 53.4 84.3". CVF Open Access 自動收錄；指標待人工驗證。SPAR-Det: Segmentation-guided and Prior-Aided Routing for Small Object Detection</t>
        </is>
      </c>
      <c r="G229" s="9" t="inlineStr">
        <is>
          <t>https://openaccess.thecvf.com/content/WACV2026/html/Kwon_SPAR-Det_Segmentation-guided_and_Prior-Aided_Routing_for_Small_Object_Detection_WACV_2026_paper.html</t>
        </is>
      </c>
      <c r="H229" s="9" t="inlineStr">
        <is>
          <t>N/A</t>
        </is>
      </c>
    </row>
    <row r="230">
      <c r="A230" s="2" t="inlineStr">
        <is>
          <t>General OD</t>
        </is>
      </c>
      <c r="B230" s="2" t="inlineStr">
        <is>
          <t>A Deep Network for Object Detection on Inland Waters</t>
        </is>
      </c>
      <c r="C230" s="2" t="inlineStr">
        <is>
          <t>—</t>
        </is>
      </c>
      <c r="D230" s="2" t="inlineStr">
        <is>
          <t>WACV 2026</t>
        </is>
      </c>
      <c r="E230" s="2" t="inlineStr">
        <is>
          <t>2025-01</t>
        </is>
      </c>
      <c r="F230" s="2" t="inlineStr">
        <is>
          <t>✅ verified — see COCO test-dev sheet (primary=65.4). CVF Open Access 自動收錄；指標待人工驗證。A Deep Network for Object Detection on Inland Waters</t>
        </is>
      </c>
      <c r="G230" s="9" t="inlineStr">
        <is>
          <t>https://openaccess.thecvf.com/content/WACV2026/html/Griesser_A_Deep_Network_for_Object_Detection_on_Inland_Waters_WACV_2026_paper.html</t>
        </is>
      </c>
      <c r="H230" s="9" t="inlineStr">
        <is>
          <t>N/A</t>
        </is>
      </c>
    </row>
    <row r="231">
      <c r="A231" s="2" t="inlineStr">
        <is>
          <t>General OD</t>
        </is>
      </c>
      <c r="B231" s="2" t="inlineStr">
        <is>
          <t>Saliency-Guided DETR for Moment Retrieval and Highlight Dete</t>
        </is>
      </c>
      <c r="C231" s="2" t="inlineStr">
        <is>
          <t>—</t>
        </is>
      </c>
      <c r="D231" s="2" t="inlineStr">
        <is>
          <t>WACV 2026</t>
        </is>
      </c>
      <c r="E231" s="2" t="inlineStr">
        <is>
          <t>2025-01</t>
        </is>
      </c>
      <c r="F231" s="2" t="inlineStr">
        <is>
          <t>✅ verified — see COCO test-dev sheet (primary=65.4). CVF Open Access 自動收錄；指標待人工驗證。Saliency-Guided DETR for Moment Retrieval and Highlight Detection</t>
        </is>
      </c>
      <c r="G231" s="9" t="inlineStr">
        <is>
          <t>https://openaccess.thecvf.com/content/WACV2026/html/Gordeev_Saliency-Guided_DETR_for_Moment_Retrieval_and_Highlight_Detection_WACV_2026_paper.html</t>
        </is>
      </c>
      <c r="H231" s="9" t="inlineStr">
        <is>
          <t>N/A</t>
        </is>
      </c>
    </row>
    <row r="232">
      <c r="A232" s="2" t="inlineStr">
        <is>
          <t>General OD</t>
        </is>
      </c>
      <c r="B232" s="2" t="inlineStr">
        <is>
          <t>WiSE-OD</t>
        </is>
      </c>
      <c r="C232" s="2" t="inlineStr">
        <is>
          <t>—</t>
        </is>
      </c>
      <c r="D232" s="2" t="inlineStr">
        <is>
          <t>WACV 2026</t>
        </is>
      </c>
      <c r="E232" s="2" t="inlineStr">
        <is>
          <t>2025-01</t>
        </is>
      </c>
      <c r="F232" s="2" t="inlineStr">
        <is>
          <t>CVF Open Access 自動收錄；指標待人工驗證。WiSE-OD: Benchmarking Robustness in Infrared Object Detection</t>
        </is>
      </c>
      <c r="G232" s="9" t="inlineStr">
        <is>
          <t>https://openaccess.thecvf.com/content/WACV2026/html/Medeiros_WiSE-OD_Benchmarking_Robustness_in_Infrared_Object_Detection_WACV_2026_paper.html</t>
        </is>
      </c>
      <c r="H232" s="9" t="inlineStr">
        <is>
          <t>N/A</t>
        </is>
      </c>
    </row>
    <row r="233">
      <c r="A233" s="2" t="inlineStr">
        <is>
          <t>General OD</t>
        </is>
      </c>
      <c r="B233" s="2" t="inlineStr">
        <is>
          <t>TRACE</t>
        </is>
      </c>
      <c r="C233" s="2" t="inlineStr">
        <is>
          <t>—</t>
        </is>
      </c>
      <c r="D233" s="2" t="inlineStr">
        <is>
          <t>WACV 2026</t>
        </is>
      </c>
      <c r="E233" s="2" t="inlineStr">
        <is>
          <t>2025-01</t>
        </is>
      </c>
      <c r="F233" s="2" t="inlineStr">
        <is>
          <t>CVF Open Access 自動收錄；指標待人工驗證。TRACE: Confounder-free Adversarial Fine-tuning for Robust Object Detection</t>
        </is>
      </c>
      <c r="G233" s="9" t="inlineStr">
        <is>
          <t>https://openaccess.thecvf.com/content/WACV2026/html/Lee_TRACE_Confounder-free_Adversarial_Fine-tuning_for_Robust_Object_Detection_WACV_2026_paper.html</t>
        </is>
      </c>
      <c r="H233" s="9" t="inlineStr">
        <is>
          <t>N/A</t>
        </is>
      </c>
    </row>
    <row r="234">
      <c r="A234" s="2" t="inlineStr">
        <is>
          <t>General OD</t>
        </is>
      </c>
      <c r="B234" s="2" t="inlineStr">
        <is>
          <t>CropAT</t>
        </is>
      </c>
      <c r="C234" s="2" t="inlineStr">
        <is>
          <t>—</t>
        </is>
      </c>
      <c r="D234" s="2" t="inlineStr">
        <is>
          <t>WACV 2026</t>
        </is>
      </c>
      <c r="E234" s="2" t="inlineStr">
        <is>
          <t>2025-01</t>
        </is>
      </c>
      <c r="F234" s="2" t="inlineStr">
        <is>
          <t>✅ verified (WACV 2026, text): tested on Cityscapes — metric mAP (domain-adapt); Ours row: "7 ↭↭ ↭ ↭ 43.2 53.2 (Ours)". CVF Open Access 自動收錄；指標待人工驗證。CropAT: Leveraging Diffusion-Generated Target-Like Cropped Objects for Pseudo-Label Refinem</t>
        </is>
      </c>
      <c r="G234" s="9" t="inlineStr">
        <is>
          <t>https://openaccess.thecvf.com/content/WACV2026/html/Huang_CropAT_Leveraging_Diffusion-Generated_Target-Like_Cropped_Objects_for_Pseudo-Label_Refinement_in_WACV_2026_paper.html</t>
        </is>
      </c>
      <c r="H234" s="9" t="inlineStr">
        <is>
          <t>N/A</t>
        </is>
      </c>
    </row>
    <row r="235">
      <c r="A235" s="2" t="inlineStr">
        <is>
          <t>General OD</t>
        </is>
      </c>
      <c r="B235" s="2" t="inlineStr">
        <is>
          <t>DualRes</t>
        </is>
      </c>
      <c r="C235" s="2" t="inlineStr">
        <is>
          <t>—</t>
        </is>
      </c>
      <c r="D235" s="2" t="inlineStr">
        <is>
          <t>WACV 2026</t>
        </is>
      </c>
      <c r="E235" s="2" t="inlineStr">
        <is>
          <t>2025-01</t>
        </is>
      </c>
      <c r="F235" s="2" t="inlineStr">
        <is>
          <t>⚠️ Different metric — detection RELIABILITY/calibration (AUC-policy/ECE), not mAP leaderboard</t>
        </is>
      </c>
      <c r="G235" s="9" t="inlineStr">
        <is>
          <t>https://openaccess.thecvf.com/content/WACV2026/html/Hassani_DualRes_Production-ready_Dynamic_Object_Detection_WACV_2026_paper.html</t>
        </is>
      </c>
      <c r="H235" s="9" t="inlineStr">
        <is>
          <t>N/A</t>
        </is>
      </c>
    </row>
    <row r="236">
      <c r="A236" s="2" t="inlineStr">
        <is>
          <t>Real-Time OD</t>
        </is>
      </c>
      <c r="B236" s="2" t="inlineStr">
        <is>
          <t>Meta-YOLO</t>
        </is>
      </c>
      <c r="C236" s="2" t="inlineStr">
        <is>
          <t>—</t>
        </is>
      </c>
      <c r="D236" s="2" t="inlineStr">
        <is>
          <t>WACV 2026</t>
        </is>
      </c>
      <c r="E236" s="2" t="inlineStr">
        <is>
          <t>2025-01</t>
        </is>
      </c>
      <c r="F236" s="2" t="inlineStr">
        <is>
          <t>✅ verified (WACV 2026, text): tested on DOTA — metric mAP (oriented OBB); Ours row: "META-YOLO-Tiny (Ours)100 5.1 19.0 58.9 79.6 64.0 85.1 74.2 42.5 71.2 83.6". CVF Open Access 自動收錄；指標待人工驗證。Meta-YOLO: Metadata-Guided Real-Time Object Detector in Aerial Imagery</t>
        </is>
      </c>
      <c r="G236" s="9" t="inlineStr">
        <is>
          <t>https://openaccess.thecvf.com/content/WACV2026/html/Yoon_Meta-YOLO_Metadata-Guided_Real-Time_Object_Detector_in_Aerial_Imagery_WACV_2026_paper.html</t>
        </is>
      </c>
      <c r="H236" s="9" t="inlineStr">
        <is>
          <t>N/A</t>
        </is>
      </c>
    </row>
    <row r="237">
      <c r="A237" s="2" t="inlineStr">
        <is>
          <t>General OD</t>
        </is>
      </c>
      <c r="B237" s="2" t="inlineStr">
        <is>
          <t>FSP-DETR</t>
        </is>
      </c>
      <c r="C237" s="2" t="inlineStr">
        <is>
          <t>—</t>
        </is>
      </c>
      <c r="D237" s="2" t="inlineStr">
        <is>
          <t>WACV 2026</t>
        </is>
      </c>
      <c r="E237" s="2" t="inlineStr">
        <is>
          <t>2025-01</t>
        </is>
      </c>
      <c r="F237" s="2" t="inlineStr">
        <is>
          <t>CVF Open Access 自動收錄；指標待人工驗證。FSP-DETR: Few-Shot Prototypical Parasitic Ova Detection</t>
        </is>
      </c>
      <c r="G237" s="9" t="inlineStr">
        <is>
          <t>https://openaccess.thecvf.com/content/WACV2026/html/Trehan_FSP-DETR_Few-Shot_Prototypical_Parasitic_Ova_Detection_WACV_2026_paper.html</t>
        </is>
      </c>
      <c r="H237" s="9" t="inlineStr">
        <is>
          <t>N/A</t>
        </is>
      </c>
    </row>
    <row r="238">
      <c r="A238" s="2" t="inlineStr">
        <is>
          <t>General OD</t>
        </is>
      </c>
      <c r="B238" s="2" t="inlineStr">
        <is>
          <t>SPAN</t>
        </is>
      </c>
      <c r="C238" s="2" t="inlineStr">
        <is>
          <t>—</t>
        </is>
      </c>
      <c r="D238" s="2" t="inlineStr">
        <is>
          <t>CVPR 2026</t>
        </is>
      </c>
      <c r="E238" s="2" t="inlineStr">
        <is>
          <t>2025-06</t>
        </is>
      </c>
      <c r="F238" s="2" t="inlineStr">
        <is>
          <t>CVF Open Access 自動收錄；指標待人工驗證。SPAN: Spatial-Projection Alignment for Monocular 3D Object Detection</t>
        </is>
      </c>
      <c r="G238" s="9" t="inlineStr">
        <is>
          <t>https://openaccess.thecvf.com/content/CVPR2026/html/Wang_SPAN_Spatial-Projection_Alignment_for_Monocular_3D_Object_Detection_CVPR_2026_paper.html</t>
        </is>
      </c>
      <c r="H238" s="9" t="inlineStr">
        <is>
          <t>N/A</t>
        </is>
      </c>
    </row>
    <row r="239">
      <c r="A239" s="2" t="inlineStr">
        <is>
          <t>Real-Time OD</t>
        </is>
      </c>
      <c r="B239" s="2" t="inlineStr">
        <is>
          <t>Does YOLO Really Need to See Every Training Image in Every E</t>
        </is>
      </c>
      <c r="C239" s="2" t="inlineStr">
        <is>
          <t>—</t>
        </is>
      </c>
      <c r="D239" s="2" t="inlineStr">
        <is>
          <t>CVPR 2026</t>
        </is>
      </c>
      <c r="E239" s="2" t="inlineStr">
        <is>
          <t>2025-06</t>
        </is>
      </c>
      <c r="F239" s="2" t="inlineStr">
        <is>
          <t>✅ verified — see COCO test-dev sheet (primary=65.4). CVF Open Access 自動收錄；指標待人工驗證。Does YOLO Really Need to See Every Training Image in Every Epoch?</t>
        </is>
      </c>
      <c r="G239" s="9" t="inlineStr">
        <is>
          <t>https://openaccess.thecvf.com/content/CVPR2026/html/Xie_Does_YOLO_Really_Need_to_See_Every_Training_Image_in_CVPR_2026_paper.html</t>
        </is>
      </c>
      <c r="H239" s="9" t="inlineStr">
        <is>
          <t>N/A</t>
        </is>
      </c>
    </row>
    <row r="240">
      <c r="A240" s="2" t="inlineStr">
        <is>
          <t>General OD</t>
        </is>
      </c>
      <c r="B240" s="2" t="inlineStr">
        <is>
          <t>MonoSAOD</t>
        </is>
      </c>
      <c r="C240" s="2" t="inlineStr">
        <is>
          <t>—</t>
        </is>
      </c>
      <c r="D240" s="2" t="inlineStr">
        <is>
          <t>CVPR 2026</t>
        </is>
      </c>
      <c r="E240" s="2" t="inlineStr">
        <is>
          <t>2025-06</t>
        </is>
      </c>
      <c r="F240" s="2" t="inlineStr">
        <is>
          <t>CVF Open Access 自動收錄；指標待人工驗證。MonoSAOD: Monocular 3D Object Detection with Sparsely Annotated Label</t>
        </is>
      </c>
      <c r="G240" s="9" t="inlineStr">
        <is>
          <t>https://openaccess.thecvf.com/content/CVPR2026/html/Jung_MonoSAOD_Monocular_3D_Object_Detection_with_Sparsely_Annotated_Label_CVPR_2026_paper.html</t>
        </is>
      </c>
      <c r="H240" s="9" t="inlineStr">
        <is>
          <t>N/A</t>
        </is>
      </c>
    </row>
    <row r="241">
      <c r="A241" s="2" t="inlineStr">
        <is>
          <t>RGB Salient OD</t>
        </is>
      </c>
      <c r="B241" s="2" t="inlineStr">
        <is>
          <t>TF-SSD</t>
        </is>
      </c>
      <c r="C241" s="2" t="inlineStr">
        <is>
          <t>—</t>
        </is>
      </c>
      <c r="D241" s="2" t="inlineStr">
        <is>
          <t>CVPR 2026</t>
        </is>
      </c>
      <c r="E241" s="2" t="inlineStr">
        <is>
          <t>2025-06</t>
        </is>
      </c>
      <c r="F241" s="2" t="inlineStr">
        <is>
          <t>⚠️ Different metric — detection CALIBRATION (D-ECE/MAE on SSD), not mAP leaderboard</t>
        </is>
      </c>
      <c r="G241" s="9" t="inlineStr">
        <is>
          <t>https://openaccess.thecvf.com/content/CVPR2026/html/He_TF-SSD_A_Strong_Pipeline_via_Synergic_Mask_Filter_for_Training-free_CVPR_2026_paper.html</t>
        </is>
      </c>
      <c r="H241" s="9" t="inlineStr">
        <is>
          <t>N/A</t>
        </is>
      </c>
    </row>
    <row r="242">
      <c r="A242" s="2" t="inlineStr">
        <is>
          <t>General OD</t>
        </is>
      </c>
      <c r="B242" s="2" t="inlineStr">
        <is>
          <t>Tri-Modal Fusion Transformers for UAV-based Object Detection</t>
        </is>
      </c>
      <c r="C242" s="2" t="inlineStr">
        <is>
          <t>—</t>
        </is>
      </c>
      <c r="D242" s="2" t="inlineStr">
        <is>
          <t>CVPR 2026</t>
        </is>
      </c>
      <c r="E242" s="2" t="inlineStr">
        <is>
          <t>2025-06</t>
        </is>
      </c>
      <c r="F242" s="2" t="inlineStr">
        <is>
          <t>✅ verified — see COCO test-dev sheet (primary=65.4). CVF Open Access 自動收錄；指標待人工驗證。Tri-Modal Fusion Transformers for UAV-based Object Detection</t>
        </is>
      </c>
      <c r="G242" s="9" t="inlineStr">
        <is>
          <t>https://openaccess.thecvf.com/content/CVPR2026/html/Iaboni_Tri-Modal_Fusion_Transformers_for_UAV-based_Object_Detection_CVPR_2026_paper.html</t>
        </is>
      </c>
      <c r="H242" s="9" t="inlineStr">
        <is>
          <t>N/A</t>
        </is>
      </c>
    </row>
    <row r="243">
      <c r="A243" s="2" t="inlineStr">
        <is>
          <t>Few-Shot OD</t>
        </is>
      </c>
      <c r="B243" s="2" t="inlineStr">
        <is>
          <t>Parameter-Efficient Semantic Augmentation for Enhancing Open</t>
        </is>
      </c>
      <c r="C243" s="2" t="inlineStr">
        <is>
          <t>—</t>
        </is>
      </c>
      <c r="D243" s="2" t="inlineStr">
        <is>
          <t>CVPR 2026</t>
        </is>
      </c>
      <c r="E243" s="2" t="inlineStr">
        <is>
          <t>2025-06</t>
        </is>
      </c>
      <c r="F243" s="2" t="inlineStr">
        <is>
          <t>✅ verified — see COCO test-dev sheet (primary=65.4). CVF Open Access 自動收錄；指標待人工驗證。Parameter-Efficient Semantic Augmentation for Enhancing Open-Vocabulary Object Detection</t>
        </is>
      </c>
      <c r="G243" s="9" t="inlineStr">
        <is>
          <t>https://openaccess.thecvf.com/content/CVPR2026/html/Cao_Parameter-Efficient_Semantic_Augmentation_for_Enhancing_Open-Vocabulary_Object_Detection_CVPR_2026_paper.html</t>
        </is>
      </c>
      <c r="H243" s="9" t="inlineStr">
        <is>
          <t>N/A</t>
        </is>
      </c>
    </row>
    <row r="244">
      <c r="A244" s="2" t="inlineStr">
        <is>
          <t>General OD</t>
        </is>
      </c>
      <c r="B244" s="2" t="inlineStr">
        <is>
          <t>Mind the Gap</t>
        </is>
      </c>
      <c r="C244" s="2" t="inlineStr">
        <is>
          <t>—</t>
        </is>
      </c>
      <c r="D244" s="2" t="inlineStr">
        <is>
          <t>CVPR 2026</t>
        </is>
      </c>
      <c r="E244" s="2" t="inlineStr">
        <is>
          <t>2025-06</t>
        </is>
      </c>
      <c r="F244" s="2" t="inlineStr">
        <is>
          <t>CVF Open Access 自動收錄；指標待人工驗證。Mind the Gap: Transferring Labels to Align Object Detection Datasets</t>
        </is>
      </c>
      <c r="G244" s="9" t="inlineStr">
        <is>
          <t>https://openaccess.thecvf.com/content/CVPR2026/html/Kennerley_Mind_the_Gap_Transferring_Labels_to_Align_Object_Detection_Datasets_CVPR_2026_paper.html</t>
        </is>
      </c>
      <c r="H244" s="9" t="inlineStr">
        <is>
          <t>N/A</t>
        </is>
      </c>
    </row>
    <row r="245">
      <c r="A245" s="2" t="inlineStr">
        <is>
          <t>General OD</t>
        </is>
      </c>
      <c r="B245" s="2" t="inlineStr">
        <is>
          <t>Portable Active Learning for Object Detection</t>
        </is>
      </c>
      <c r="C245" s="2" t="inlineStr">
        <is>
          <t>—</t>
        </is>
      </c>
      <c r="D245" s="2" t="inlineStr">
        <is>
          <t>CVPR 2026</t>
        </is>
      </c>
      <c r="E245" s="2" t="inlineStr">
        <is>
          <t>2025-06</t>
        </is>
      </c>
      <c r="F245" s="2" t="inlineStr">
        <is>
          <t>✅ verified — see COCO test-dev sheet (primary=65.4). CVF Open Access 自動收錄；指標待人工驗證。Portable Active Learning for Object Detection</t>
        </is>
      </c>
      <c r="G245" s="9" t="inlineStr">
        <is>
          <t>https://openaccess.thecvf.com/content/CVPR2026/html/Sharma_Portable_Active_Learning_for_Object_Detection_CVPR_2026_paper.html</t>
        </is>
      </c>
      <c r="H245" s="9" t="inlineStr">
        <is>
          <t>N/A</t>
        </is>
      </c>
    </row>
    <row r="246">
      <c r="A246" s="2" t="inlineStr">
        <is>
          <t>General OD</t>
        </is>
      </c>
      <c r="B246" s="2" t="inlineStr">
        <is>
          <t>PaQ-DETR</t>
        </is>
      </c>
      <c r="C246" s="2" t="inlineStr">
        <is>
          <t>—</t>
        </is>
      </c>
      <c r="D246" s="2" t="inlineStr">
        <is>
          <t>CVPR 2026</t>
        </is>
      </c>
      <c r="E246" s="2" t="inlineStr">
        <is>
          <t>2025-06</t>
        </is>
      </c>
      <c r="F246" s="2" t="inlineStr">
        <is>
          <t>✅ verified (CVPR 2026, text): tested on Cityscapes — metric mAP (domain-adapt); Ours row: "PaQ-Deformable-DETR (ours) ResNet-50 12 300 48.4 66.9 52.6 32.2 52.2 63.1". CVF Open Access 自動收錄；指標待人工驗證。PaQ-DETR: Learning Pattern and Quality-Aware Dynamic Queries for Object Detection</t>
        </is>
      </c>
      <c r="G246" s="9" t="inlineStr">
        <is>
          <t>https://openaccess.thecvf.com/content/CVPR2026/html/Kang_PaQ-DETR_Learning_Pattern_and_Quality-Aware_Dynamic_Queries_for_Object_Detection_CVPR_2026_paper.html</t>
        </is>
      </c>
      <c r="H246" s="9" t="inlineStr">
        <is>
          <t>N/A</t>
        </is>
      </c>
    </row>
    <row r="247">
      <c r="A247" s="2" t="inlineStr">
        <is>
          <t>General OD</t>
        </is>
      </c>
      <c r="B247" s="2" t="inlineStr">
        <is>
          <t>When Transformers Meet Mamba</t>
        </is>
      </c>
      <c r="C247" s="2" t="inlineStr">
        <is>
          <t>—</t>
        </is>
      </c>
      <c r="D247" s="2" t="inlineStr">
        <is>
          <t>CVPR 2026</t>
        </is>
      </c>
      <c r="E247" s="2" t="inlineStr">
        <is>
          <t>2025-06</t>
        </is>
      </c>
      <c r="F247" s="2" t="inlineStr">
        <is>
          <t>✅ verified — see COCO test-dev sheet (primary=65.4). CVF Open Access 自動收錄；指標待人工驗證。When Transformers Meet Mamba: A Hybrid Transformer-Mamba Network for Video Object Detection</t>
        </is>
      </c>
      <c r="G247" s="9" t="inlineStr">
        <is>
          <t>https://openaccess.thecvf.com/content/CVPR2026/html/Qi_When_Transformers_Meet_Mamba_A_Hybrid_Transformer-Mamba_Network_for_Video_CVPR_2026_paper.html</t>
        </is>
      </c>
      <c r="H247" s="9" t="inlineStr">
        <is>
          <t>N/A</t>
        </is>
      </c>
    </row>
    <row r="248">
      <c r="A248" s="2" t="inlineStr">
        <is>
          <t>General OD</t>
        </is>
      </c>
      <c r="B248" s="2" t="inlineStr">
        <is>
          <t>CoIn3D</t>
        </is>
      </c>
      <c r="C248" s="2" t="inlineStr">
        <is>
          <t>—</t>
        </is>
      </c>
      <c r="D248" s="2" t="inlineStr">
        <is>
          <t>CVPR 2026</t>
        </is>
      </c>
      <c r="E248" s="2" t="inlineStr">
        <is>
          <t>2025-06</t>
        </is>
      </c>
      <c r="F248" s="2" t="inlineStr">
        <is>
          <t>✅ verified (CVPR 2026, text): tested on nuScenes — metric NDS / mAP (3D); Ours row: "Ours 0.381 0.6870.2200.155 0.513 0.3490.727 0.257 0.1790.481". CVF Open Access 自動收錄；指標待人工驗證。CoIn3D: Revisiting Configuration-Invariant Multi-Camera 3D Object Detection</t>
        </is>
      </c>
      <c r="G248" s="9" t="inlineStr">
        <is>
          <t>https://openaccess.thecvf.com/content/CVPR2026/html/Kuang_CoIn3D_Revisiting_Configuration-Invariant_Multi-Camera_3D_Object_Detection_CVPR_2026_paper.html</t>
        </is>
      </c>
      <c r="H248" s="9" t="inlineStr">
        <is>
          <t>N/A</t>
        </is>
      </c>
    </row>
    <row r="249">
      <c r="A249" s="2" t="inlineStr">
        <is>
          <t>Real-Time OD</t>
        </is>
      </c>
      <c r="B249" s="2" t="inlineStr">
        <is>
          <t>AKCMamba-YOLO</t>
        </is>
      </c>
      <c r="C249" s="2" t="inlineStr">
        <is>
          <t>—</t>
        </is>
      </c>
      <c r="D249" s="2" t="inlineStr">
        <is>
          <t>CVPR 2026</t>
        </is>
      </c>
      <c r="E249" s="2" t="inlineStr">
        <is>
          <t>2025-06</t>
        </is>
      </c>
      <c r="F249" s="2" t="inlineStr">
        <is>
          <t>✅ verified — see COCO test-dev sheet (primary=64.5). CVF Open Access 自動收錄；指標待人工驗證。AKCMamba-YOLO: Selective State Space Models For Real-Time Object Detection</t>
        </is>
      </c>
      <c r="G249" s="9" t="inlineStr">
        <is>
          <t>https://openaccess.thecvf.com/content/CVPR2026/html/Chen_AKCMamba-YOLO_Selective_State_Space_Models_For_Real-Time_Object_Detection_CVPR_2026_paper.html</t>
        </is>
      </c>
      <c r="H249" s="9" t="inlineStr">
        <is>
          <t>N/A</t>
        </is>
      </c>
    </row>
    <row r="250">
      <c r="A250" s="2" t="inlineStr">
        <is>
          <t>General OD</t>
        </is>
      </c>
      <c r="B250" s="2" t="inlineStr">
        <is>
          <t>Towards Persistence</t>
        </is>
      </c>
      <c r="C250" s="2" t="inlineStr">
        <is>
          <t>—</t>
        </is>
      </c>
      <c r="D250" s="2" t="inlineStr">
        <is>
          <t>CVPR 2026</t>
        </is>
      </c>
      <c r="E250" s="2" t="inlineStr">
        <is>
          <t>2025-06</t>
        </is>
      </c>
      <c r="F250" s="2" t="inlineStr">
        <is>
          <t>✅ verified — see COCO test-dev sheet (primary=65.4). CVF Open Access 自動收錄；指標待人工驗證。Towards Persistence: Learning Topological Constraints for Event-based Small Object Detection</t>
        </is>
      </c>
      <c r="G250" s="9" t="inlineStr">
        <is>
          <t>https://openaccess.thecvf.com/content/CVPR2026/html/He_Towards_Persistence_Learning_Topological_Constraints_for_Event-based_Small_Object_Detection_CVPR_2026_paper.html</t>
        </is>
      </c>
      <c r="H250" s="9" t="inlineStr">
        <is>
          <t>N/A</t>
        </is>
      </c>
    </row>
    <row r="251">
      <c r="A251" s="2" t="inlineStr">
        <is>
          <t>Few-Shot OD</t>
        </is>
      </c>
      <c r="B251" s="2" t="inlineStr">
        <is>
          <t>Consistency Beyond Contrast</t>
        </is>
      </c>
      <c r="C251" s="2" t="inlineStr">
        <is>
          <t>—</t>
        </is>
      </c>
      <c r="D251" s="2" t="inlineStr">
        <is>
          <t>CVPR 2026</t>
        </is>
      </c>
      <c r="E251" s="2" t="inlineStr">
        <is>
          <t>2025-06</t>
        </is>
      </c>
      <c r="F251" s="2" t="inlineStr">
        <is>
          <t>✅ verified — see COCO test-dev sheet (primary=65.4). CVF Open Access 自動收錄；指標待人工驗證。Consistency Beyond Contrast: Enhancing Open-Vocabulary Object Detection Robustness via Contextual Consistency Learning</t>
        </is>
      </c>
      <c r="G251" s="9" t="inlineStr">
        <is>
          <t>https://openaccess.thecvf.com/content/CVPR2026/html/Li_Consistency_Beyond_Contrast_Enhancing_Open-Vocabulary_Object_Detection_Robustness_via_Contextual_CVPR_2026_paper.html</t>
        </is>
      </c>
      <c r="H251" s="9" t="inlineStr">
        <is>
          <t>N/A</t>
        </is>
      </c>
    </row>
    <row r="252">
      <c r="A252" s="2" t="inlineStr">
        <is>
          <t>Few-Shot OD</t>
        </is>
      </c>
      <c r="B252" s="2" t="inlineStr">
        <is>
          <t>ViTPrompt</t>
        </is>
      </c>
      <c r="C252" s="2" t="inlineStr">
        <is>
          <t>—</t>
        </is>
      </c>
      <c r="D252" s="2" t="inlineStr">
        <is>
          <t>CVPR 2026</t>
        </is>
      </c>
      <c r="E252" s="2" t="inlineStr">
        <is>
          <t>2025-06</t>
        </is>
      </c>
      <c r="F252" s="2" t="inlineStr">
        <is>
          <t>✅ verified (CVPR 2026, text): tested on DOTA — metric mAP (oriented OBB); Ours row: "ViTPrompt (Ours)19.02 18.36". CVF Open Access 自動收錄；指標待人工驗證。ViTPrompt: Training-Free Prompt Refinement with Visual Tokens for Open-Vocabulary Detection</t>
        </is>
      </c>
      <c r="G252" s="9" t="inlineStr">
        <is>
          <t>https://openaccess.thecvf.com/content/CVPR2026/html/Qin_ViTPrompt_Training-Free_Prompt_Refinement_with_Visual_Tokens_for_Open-Vocabulary_Detection_CVPR_2026_paper.html</t>
        </is>
      </c>
      <c r="H252" s="9" t="inlineStr">
        <is>
          <t>N/A</t>
        </is>
      </c>
    </row>
    <row r="253">
      <c r="A253" s="2" t="inlineStr">
        <is>
          <t>General OD</t>
        </is>
      </c>
      <c r="B253" s="2" t="inlineStr">
        <is>
          <t>SDDF</t>
        </is>
      </c>
      <c r="C253" s="2" t="inlineStr">
        <is>
          <t>—</t>
        </is>
      </c>
      <c r="D253" s="2" t="inlineStr">
        <is>
          <t>CVPR 2026</t>
        </is>
      </c>
      <c r="E253" s="2" t="inlineStr">
        <is>
          <t>2025-06</t>
        </is>
      </c>
      <c r="F253" s="2" t="inlineStr">
        <is>
          <t>CVF Open Access 自動收錄；指標待人工驗證。SDDF: Specificity-Driven Dynamic Focusing for Open-Vocabulary Camouflaged Object Detection</t>
        </is>
      </c>
      <c r="G253" s="9" t="inlineStr">
        <is>
          <t>https://openaccess.thecvf.com/content/CVPR2026/html/Liang_SDDF_Specificity-Driven_Dynamic_Focusing_for_Open-Vocabulary_Camouflaged_Object_Detection_CVPR_2026_paper.html</t>
        </is>
      </c>
      <c r="H253" s="9" t="inlineStr">
        <is>
          <t>N/A</t>
        </is>
      </c>
    </row>
    <row r="254">
      <c r="A254" s="2" t="inlineStr">
        <is>
          <t>General OD</t>
        </is>
      </c>
      <c r="B254" s="2" t="inlineStr">
        <is>
          <t>CCF</t>
        </is>
      </c>
      <c r="C254" s="2" t="inlineStr">
        <is>
          <t>—</t>
        </is>
      </c>
      <c r="D254" s="2" t="inlineStr">
        <is>
          <t>CVPR 2026</t>
        </is>
      </c>
      <c r="E254" s="2" t="inlineStr">
        <is>
          <t>2025-06</t>
        </is>
      </c>
      <c r="F254" s="2" t="inlineStr">
        <is>
          <t>✅ verified (CVPR 2026, text): tested on nuScenes — metric NDS / mAP (3D); Ours row: "CCF (Ours)- L+C 68.265.9 44.7 52.5 44.2 45.3 50.6 56.8 46.5 51.5". CVF Open Access 自動收錄；指標待人工驗證。CCF: Complementary Collaborative Fusion for Domain Generalized Multi-Modal 3D Object Detect</t>
        </is>
      </c>
      <c r="G254" s="9" t="inlineStr">
        <is>
          <t>https://openaccess.thecvf.com/content/CVPR2026/html/Wu_CCF_Complementary_Collaborative_Fusion_for_Domain_Generalized_Multi-Modal_3D_Object_CVPR_2026_paper.html</t>
        </is>
      </c>
      <c r="H254" s="9" t="inlineStr">
        <is>
          <t>N/A</t>
        </is>
      </c>
    </row>
    <row r="255">
      <c r="A255" s="2" t="inlineStr">
        <is>
          <t>General OD</t>
        </is>
      </c>
      <c r="B255" s="2" t="inlineStr">
        <is>
          <t>DyFCLT</t>
        </is>
      </c>
      <c r="C255" s="2" t="inlineStr">
        <is>
          <t>—</t>
        </is>
      </c>
      <c r="D255" s="2" t="inlineStr">
        <is>
          <t>CVPR 2026</t>
        </is>
      </c>
      <c r="E255" s="2" t="inlineStr">
        <is>
          <t>2025-06</t>
        </is>
      </c>
      <c r="F255" s="2" t="inlineStr">
        <is>
          <t>✅ verified (CVPR 2026, text): tested on FLIR — metric mAP (thermal); Ours row: "DyFCLT (Ours) RGBT 85.5M 48.2 69.1 41.3 52.8 61.5 49.1 100.0 63.2". CVF Open Access 自動收錄；指標待人工驗證。DyFCLT: Dynamic Frequency-Decoupled Cross-Modal Learning Transformer for Multimodal Tiny Ob</t>
        </is>
      </c>
      <c r="G255" s="9" t="inlineStr">
        <is>
          <t>https://openaccess.thecvf.com/content/CVPR2026/html/Li_DyFCLT_Dynamic_Frequency-Decoupled_Cross-Modal_Learning_Transformer_for_Multimodal_Tiny_Object_CVPR_2026_paper.html</t>
        </is>
      </c>
      <c r="H255" s="9" t="inlineStr">
        <is>
          <t>N/A</t>
        </is>
      </c>
    </row>
    <row r="256">
      <c r="A256" s="2" t="inlineStr">
        <is>
          <t>General OD</t>
        </is>
      </c>
      <c r="B256" s="2" t="inlineStr">
        <is>
          <t>Distribution-Aligned Multimodal Fusion for Robust Object Det</t>
        </is>
      </c>
      <c r="C256" s="2" t="inlineStr">
        <is>
          <t>—</t>
        </is>
      </c>
      <c r="D256" s="2" t="inlineStr">
        <is>
          <t>CVPR 2026</t>
        </is>
      </c>
      <c r="E256" s="2" t="inlineStr">
        <is>
          <t>2025-06</t>
        </is>
      </c>
      <c r="F256" s="2" t="inlineStr">
        <is>
          <t>✅ verified — see COCO test-dev sheet (primary=65.4). CVF Open Access 自動收錄；指標待人工驗證。Distribution-Aligned Multimodal Fusion for Robust Object Detection</t>
        </is>
      </c>
      <c r="G256" s="9" t="inlineStr">
        <is>
          <t>https://openaccess.thecvf.com/content/CVPR2026/html/Hao_Distribution-Aligned_Multimodal_Fusion_for_Robust_Object_Detection_CVPR_2026_paper.html</t>
        </is>
      </c>
      <c r="H256" s="9" t="inlineStr">
        <is>
          <t>N/A</t>
        </is>
      </c>
    </row>
    <row r="257">
      <c r="A257" s="2" t="inlineStr">
        <is>
          <t>Few-Shot OD</t>
        </is>
      </c>
      <c r="B257" s="2" t="inlineStr">
        <is>
          <t>SRA-Det</t>
        </is>
      </c>
      <c r="C257" s="2" t="inlineStr">
        <is>
          <t>—</t>
        </is>
      </c>
      <c r="D257" s="2" t="inlineStr">
        <is>
          <t>CVPR 2026</t>
        </is>
      </c>
      <c r="E257" s="2" t="inlineStr">
        <is>
          <t>2025-06</t>
        </is>
      </c>
      <c r="F257" s="2" t="inlineStr">
        <is>
          <t>✅ verified (CVPR 2026, text): tested on LVIS — metric AP / APr (open-vocab/LT); Ours row: "SRA-Det (Ours) Swin-T O365,GoldG,V3Det,V AW 54.9 40.4 / 38.8 / 40.9 / 40.2". CVF Open Access 自動收錄；指標待人工驗證。SRA-Det: Learning Omni-Grained Open-Vocabulary Detection Beyond Category Names</t>
        </is>
      </c>
      <c r="G257" s="9" t="inlineStr">
        <is>
          <t>https://openaccess.thecvf.com/content/CVPR2026/html/Yang_SRA-Det_Learning_Omni-Grained_Open-Vocabulary_Detection_Beyond_Category_Names_CVPR_2026_paper.html</t>
        </is>
      </c>
      <c r="H257" s="9" t="inlineStr">
        <is>
          <t>N/A</t>
        </is>
      </c>
    </row>
    <row r="258">
      <c r="A258" s="2" t="inlineStr">
        <is>
          <t>General OD</t>
        </is>
      </c>
      <c r="B258" s="2" t="inlineStr">
        <is>
          <t>Unleashing the Power of Chain-of-Prediction for Monocular 3D</t>
        </is>
      </c>
      <c r="C258" s="2" t="inlineStr">
        <is>
          <t>—</t>
        </is>
      </c>
      <c r="D258" s="2" t="inlineStr">
        <is>
          <t>CVPR 2026</t>
        </is>
      </c>
      <c r="E258" s="2" t="inlineStr">
        <is>
          <t>2025-06</t>
        </is>
      </c>
      <c r="F258" s="2" t="inlineStr">
        <is>
          <t>✅ verified — see COCO test-dev sheet (primary=65.4). CVF Open Access 自動收錄；指標待人工驗證。Unleashing the Power of Chain-of-Prediction for Monocular 3D Object Detection</t>
        </is>
      </c>
      <c r="G258" s="9" t="inlineStr">
        <is>
          <t>https://openaccess.thecvf.com/content/CVPR2026/html/Zhang_Unleashing_the_Power_of_Chain-of-Prediction_for_Monocular_3D_Object_Detection_CVPR_2026_paper.html</t>
        </is>
      </c>
      <c r="H258" s="9" t="inlineStr">
        <is>
          <t>N/A</t>
        </is>
      </c>
    </row>
    <row r="259">
      <c r="A259" s="2" t="inlineStr">
        <is>
          <t>General OD</t>
        </is>
      </c>
      <c r="B259" s="2" t="inlineStr">
        <is>
          <t>Visual Prototype Conditioned Focal Region Generation for UAV</t>
        </is>
      </c>
      <c r="C259" s="2" t="inlineStr">
        <is>
          <t>—</t>
        </is>
      </c>
      <c r="D259" s="2" t="inlineStr">
        <is>
          <t>CVPR 2026</t>
        </is>
      </c>
      <c r="E259" s="2" t="inlineStr">
        <is>
          <t>2025-06</t>
        </is>
      </c>
      <c r="F259" s="2" t="inlineStr">
        <is>
          <t>✅ verified — see COCO test-dev sheet (primary=65.4). CVF Open Access 自動收錄；指標待人工驗證。Visual Prototype Conditioned Focal Region Generation for UAV-Based Object Detection</t>
        </is>
      </c>
      <c r="G259" s="9" t="inlineStr">
        <is>
          <t>https://openaccess.thecvf.com/content/CVPR2026/html/Li_Visual_Prototype_Conditioned_Focal_Region_Generation_for_UAV-Based_Object_Detection_CVPR_2026_paper.html</t>
        </is>
      </c>
      <c r="H259" s="9" t="inlineStr">
        <is>
          <t>N/A</t>
        </is>
      </c>
    </row>
    <row r="260">
      <c r="A260" s="2" t="inlineStr">
        <is>
          <t>General OD</t>
        </is>
      </c>
      <c r="B260" s="2" t="inlineStr">
        <is>
          <t>SemLT3D</t>
        </is>
      </c>
      <c r="C260" s="2" t="inlineStr">
        <is>
          <t>—</t>
        </is>
      </c>
      <c r="D260" s="2" t="inlineStr">
        <is>
          <t>CVPR 2026</t>
        </is>
      </c>
      <c r="E260" s="2" t="inlineStr">
        <is>
          <t>2025-06</t>
        </is>
      </c>
      <c r="F260" s="2" t="inlineStr">
        <is>
          <t>✅ verified (CVPR 2026, text): tested on nuScenes — metric NDS / mAP (3D); Ours row: "Ours 29.59 40.94 0.6938 0.3335 0.6153 0.2524 0.4909 29.40". CVF Open Access 自動收錄；指標待人工驗證。SemLT3D: Semantic-Guided Expert Distillation for Camera-only Long-Tailed 3D Object Detectio</t>
        </is>
      </c>
      <c r="G260" s="9" t="inlineStr">
        <is>
          <t>https://openaccess.thecvf.com/content/CVPR2026/html/Vo_SemLT3D_Semantic-Guided_Expert_Distillation_for_Camera-only_Long-Tailed_3D_Object_Detection_CVPR_2026_paper.html</t>
        </is>
      </c>
      <c r="H260" s="9" t="inlineStr">
        <is>
          <t>N/A</t>
        </is>
      </c>
    </row>
    <row r="261">
      <c r="A261" s="2" t="inlineStr">
        <is>
          <t>General OD</t>
        </is>
      </c>
      <c r="B261" s="2" t="inlineStr">
        <is>
          <t>Thermal-Det</t>
        </is>
      </c>
      <c r="C261" s="2" t="inlineStr">
        <is>
          <t>—</t>
        </is>
      </c>
      <c r="D261" s="2" t="inlineStr">
        <is>
          <t>CVPR 2026</t>
        </is>
      </c>
      <c r="E261" s="2" t="inlineStr">
        <is>
          <t>2025-06</t>
        </is>
      </c>
      <c r="F261" s="2" t="inlineStr">
        <is>
          <t>✅ verified (CVPR 2026, text): tested on FLIR — metric mAP (thermal); Ours row: "Ours 0.261 0.571 0.207 0.585 0.802 0.707". CVF Open Access 自動收錄；指標待人工驗證。Thermal-Det: Language-Guided Cross-Modal Distillation for Open-Vocabulary Thermal Object De</t>
        </is>
      </c>
      <c r="G261" s="9" t="inlineStr">
        <is>
          <t>https://openaccess.thecvf.com/content/CVPR2026/html/Ranasinghe_Thermal-Det_Language-Guided_Cross-Modal_Distillation_for_Open-Vocabulary_Thermal_Object_Detection_CVPR_2026_paper.html</t>
        </is>
      </c>
      <c r="H261" s="9" t="inlineStr">
        <is>
          <t>N/A</t>
        </is>
      </c>
    </row>
    <row r="262">
      <c r="A262" s="2" t="inlineStr">
        <is>
          <t>General OD</t>
        </is>
      </c>
      <c r="B262" s="2" t="inlineStr">
        <is>
          <t>Beyond Appearance</t>
        </is>
      </c>
      <c r="C262" s="2" t="inlineStr">
        <is>
          <t>—</t>
        </is>
      </c>
      <c r="D262" s="2" t="inlineStr">
        <is>
          <t>CVPR 2026</t>
        </is>
      </c>
      <c r="E262" s="2" t="inlineStr">
        <is>
          <t>2025-06</t>
        </is>
      </c>
      <c r="F262" s="2" t="inlineStr">
        <is>
          <t>✅ verified — see COCO test-dev sheet (primary=65.4). CVF Open Access 自動收錄；指標待人工驗證。Beyond Appearance: Camouflaged Object Detection via Geometric Structure</t>
        </is>
      </c>
      <c r="G262" s="9" t="inlineStr">
        <is>
          <t>https://openaccess.thecvf.com/content/CVPR2026/html/Han_Beyond_Appearance_Camouflaged_Object_Detection_via_Geometric_Structure_CVPR_2026_paper.html</t>
        </is>
      </c>
      <c r="H262" s="9" t="inlineStr">
        <is>
          <t>N/A</t>
        </is>
      </c>
    </row>
    <row r="263">
      <c r="A263" s="2" t="inlineStr">
        <is>
          <t>Real-Time OD</t>
        </is>
      </c>
      <c r="B263" s="2" t="inlineStr">
        <is>
          <t>YOLO-ULM</t>
        </is>
      </c>
      <c r="C263" s="2" t="inlineStr">
        <is>
          <t>—</t>
        </is>
      </c>
      <c r="D263" s="2" t="inlineStr">
        <is>
          <t>CVPR 2026</t>
        </is>
      </c>
      <c r="E263" s="2" t="inlineStr">
        <is>
          <t>2025-06</t>
        </is>
      </c>
      <c r="F263" s="2" t="inlineStr">
        <is>
          <t>✅ verified (CVPR 2026, text): tested on DOTA — metric mAP (oriented OBB); Ours row: "YOLO-ULM-N(Ours) 6.4 2.1 41.6 57.8 44.9 1.52". CVF Open Access 自動收錄；指標待人工驗證。YOLO-ULM: Ultra-Lightweight Models for Real-Time Object Detection</t>
        </is>
      </c>
      <c r="G263" s="9" t="inlineStr">
        <is>
          <t>https://openaccess.thecvf.com/content/CVPR2026/html/Han_YOLO-ULM_Ultra-Lightweight_Models_for_Real-Time_Object_Detection_CVPR_2026_paper.html</t>
        </is>
      </c>
      <c r="H263" s="9" t="inlineStr">
        <is>
          <t>N/A</t>
        </is>
      </c>
    </row>
    <row r="264">
      <c r="A264" s="2" t="inlineStr">
        <is>
          <t>General OD</t>
        </is>
      </c>
      <c r="B264" s="2" t="inlineStr">
        <is>
          <t>Beyond Prompt Degradation</t>
        </is>
      </c>
      <c r="C264" s="2" t="inlineStr">
        <is>
          <t>—</t>
        </is>
      </c>
      <c r="D264" s="2" t="inlineStr">
        <is>
          <t>CVPR 2026</t>
        </is>
      </c>
      <c r="E264" s="2" t="inlineStr">
        <is>
          <t>2025-06</t>
        </is>
      </c>
      <c r="F264" s="2" t="inlineStr">
        <is>
          <t>✅ verified — see COCO test-dev sheet (primary=65.4). CVF Open Access 自動收錄；指標待人工驗證。Beyond Prompt Degradation: Prototype-guided Dual-pool Prompting for Incremental Object Detection</t>
        </is>
      </c>
      <c r="G264" s="9" t="inlineStr">
        <is>
          <t>https://openaccess.thecvf.com/content/CVPR2026/html/Zhang_Beyond_Prompt_Degradation_Prototype-guided_Dual-pool_Prompting_for_Incremental_Object_Detection_CVPR_2026_paper.html</t>
        </is>
      </c>
      <c r="H264" s="9" t="inlineStr">
        <is>
          <t>N/A</t>
        </is>
      </c>
    </row>
    <row r="265">
      <c r="A265" s="2" t="inlineStr">
        <is>
          <t>Few-Shot OD</t>
        </is>
      </c>
      <c r="B265" s="2" t="inlineStr">
        <is>
          <t>WeDetect</t>
        </is>
      </c>
      <c r="C265" s="2" t="inlineStr">
        <is>
          <t>—</t>
        </is>
      </c>
      <c r="D265" s="2" t="inlineStr">
        <is>
          <t>CVPR 2026</t>
        </is>
      </c>
      <c r="E265" s="2" t="inlineStr">
        <is>
          <t>2025-06</t>
        </is>
      </c>
      <c r="F265" s="2" t="inlineStr">
        <is>
          <t>CVF Open Access 自動收錄；指標待人工驗證。WeDetect: Fast Open-Vocabulary Object Detection as Retrieval</t>
        </is>
      </c>
      <c r="G265" s="9" t="inlineStr">
        <is>
          <t>https://openaccess.thecvf.com/content/CVPR2026/html/Fu_WeDetect_Fast_Open-Vocabulary_Object_Detection_as_Retrieval_CVPR_2026_paper.html</t>
        </is>
      </c>
      <c r="H265" s="9" t="inlineStr">
        <is>
          <t>N/A</t>
        </is>
      </c>
    </row>
    <row r="266">
      <c r="A266" s="2" t="inlineStr">
        <is>
          <t>General OD</t>
        </is>
      </c>
      <c r="B266" s="2" t="inlineStr">
        <is>
          <t>Spike-driven Discrete Aggregation for Event-based Object Det</t>
        </is>
      </c>
      <c r="C266" s="2" t="inlineStr">
        <is>
          <t>—</t>
        </is>
      </c>
      <c r="D266" s="2" t="inlineStr">
        <is>
          <t>CVPR 2026</t>
        </is>
      </c>
      <c r="E266" s="2" t="inlineStr">
        <is>
          <t>2025-06</t>
        </is>
      </c>
      <c r="F266" s="2" t="inlineStr">
        <is>
          <t>✅ verified — see COCO test-dev sheet (primary=65.4). CVF Open Access 自動收錄；指標待人工驗證。Spike-driven Discrete Aggregation for Event-based Object Detection</t>
        </is>
      </c>
      <c r="G266" s="9" t="inlineStr">
        <is>
          <t>https://openaccess.thecvf.com/content/CVPR2026/html/Li_Spike-driven_Discrete_Aggregation_for_Event-based_Object_Detection_CVPR_2026_paper.html</t>
        </is>
      </c>
      <c r="H266" s="9" t="inlineStr">
        <is>
          <t>N/A</t>
        </is>
      </c>
    </row>
    <row r="267">
      <c r="A267" s="2" t="inlineStr">
        <is>
          <t>General OD</t>
        </is>
      </c>
      <c r="B267" s="2" t="inlineStr">
        <is>
          <t>Boosting Vision-Language Models Towards Cross-Domain Increme</t>
        </is>
      </c>
      <c r="C267" s="2" t="inlineStr">
        <is>
          <t>—</t>
        </is>
      </c>
      <c r="D267" s="2" t="inlineStr">
        <is>
          <t>CVPR 2026</t>
        </is>
      </c>
      <c r="E267" s="2" t="inlineStr">
        <is>
          <t>2025-06</t>
        </is>
      </c>
      <c r="F267" s="2" t="inlineStr">
        <is>
          <t>✅ verified — see COCO test-dev sheet (primary=65.4). CVF Open Access 自動收錄；指標待人工驗證。Boosting Vision-Language Models Towards Cross-Domain Incremental Object Detection</t>
        </is>
      </c>
      <c r="G267" s="9" t="inlineStr">
        <is>
          <t>https://openaccess.thecvf.com/content/CVPR2026/html/Wang_Boosting_Vision-Language_Models_Towards_Cross-Domain_Incremental_Object_Detection_CVPR_2026_paper.html</t>
        </is>
      </c>
      <c r="H267" s="9" t="inlineStr">
        <is>
          <t>N/A</t>
        </is>
      </c>
    </row>
    <row r="268">
      <c r="A268" s="2" t="inlineStr">
        <is>
          <t>General OD</t>
        </is>
      </c>
      <c r="B268" s="2" t="inlineStr">
        <is>
          <t>Black-Box Domain Adaptation for Object Detection with Retent</t>
        </is>
      </c>
      <c r="C268" s="2" t="inlineStr">
        <is>
          <t>—</t>
        </is>
      </c>
      <c r="D268" s="2" t="inlineStr">
        <is>
          <t>CVPR 2026</t>
        </is>
      </c>
      <c r="E268" s="2" t="inlineStr">
        <is>
          <t>2025-06</t>
        </is>
      </c>
      <c r="F268" s="2" t="inlineStr">
        <is>
          <t>✅ verified — see COCO test-dev sheet (primary=65.4). CVF Open Access 自動收錄；指標待人工驗證。Black-Box Domain Adaptation for Object Detection with Retention-Driven Knowledge Compression</t>
        </is>
      </c>
      <c r="G268" s="9" t="inlineStr">
        <is>
          <t>https://openaccess.thecvf.com/content/CVPR2026/html/Lu_Black-Box_Domain_Adaptation_for_Object_Detection_with_Retention-Driven_Knowledge_Compression_CVPR_2026_paper.html</t>
        </is>
      </c>
      <c r="H268" s="9" t="inlineStr">
        <is>
          <t>N/A</t>
        </is>
      </c>
    </row>
    <row r="269">
      <c r="A269" s="2" t="inlineStr">
        <is>
          <t>Few-Shot OD</t>
        </is>
      </c>
      <c r="B269" s="2" t="inlineStr">
        <is>
          <t>Remedying Target-Domain Astigmatism for Cross-Domain Few-Sho</t>
        </is>
      </c>
      <c r="C269" s="2" t="inlineStr">
        <is>
          <t>—</t>
        </is>
      </c>
      <c r="D269" s="2" t="inlineStr">
        <is>
          <t>CVPR 2026</t>
        </is>
      </c>
      <c r="E269" s="2" t="inlineStr">
        <is>
          <t>2025-06</t>
        </is>
      </c>
      <c r="F269" s="2" t="inlineStr">
        <is>
          <t>✅ verified — see COCO test-dev sheet (primary=65.4). CVF Open Access 自動收錄；指標待人工驗證。Remedying Target-Domain Astigmatism for Cross-Domain Few-Shot Object Detection</t>
        </is>
      </c>
      <c r="G269" s="9" t="inlineStr">
        <is>
          <t>https://openaccess.thecvf.com/content/CVPR2026/html/Jiang_Remedying_Target-Domain_Astigmatism_for_Cross-Domain_Few-Shot_Object_Detection_CVPR_2026_paper.html</t>
        </is>
      </c>
      <c r="H269" s="9" t="inlineStr">
        <is>
          <t>N/A</t>
        </is>
      </c>
    </row>
    <row r="270">
      <c r="A270" s="2" t="inlineStr">
        <is>
          <t>General OD</t>
        </is>
      </c>
      <c r="B270" s="2" t="inlineStr">
        <is>
          <t>RAVEN</t>
        </is>
      </c>
      <c r="C270" s="2" t="inlineStr">
        <is>
          <t>—</t>
        </is>
      </c>
      <c r="D270" s="2" t="inlineStr">
        <is>
          <t>CVPR 2026</t>
        </is>
      </c>
      <c r="E270" s="2" t="inlineStr">
        <is>
          <t>2025-06</t>
        </is>
      </c>
      <c r="F270" s="2" t="inlineStr">
        <is>
          <t>CVF Open Access 自動收錄；指標待人工驗證。RAVEN: Radar Adaptive Vision Encoders for Efficient Chirp-wise Object Detection and Segmentation</t>
        </is>
      </c>
      <c r="G270" s="9" t="inlineStr">
        <is>
          <t>https://openaccess.thecvf.com/content/CVPR2026/html/Sen_RAVEN_Radar_Adaptive_Vision_Encoders_for_Efficient_Chirp-wise_Object_Detection_CVPR_2026_paper.html</t>
        </is>
      </c>
      <c r="H270" s="9" t="inlineStr">
        <is>
          <t>N/A</t>
        </is>
      </c>
    </row>
    <row r="271">
      <c r="A271" s="2" t="inlineStr">
        <is>
          <t>General OD</t>
        </is>
      </c>
      <c r="B271" s="2" t="inlineStr">
        <is>
          <t>EW-DETR</t>
        </is>
      </c>
      <c r="C271" s="2" t="inlineStr">
        <is>
          <t>—</t>
        </is>
      </c>
      <c r="D271" s="2" t="inlineStr">
        <is>
          <t>CVPR 2026</t>
        </is>
      </c>
      <c r="E271" s="2" t="inlineStr">
        <is>
          <t>2025-06</t>
        </is>
      </c>
      <c r="F271" s="2" t="inlineStr">
        <is>
          <t>CVF Open Access 自動收錄；指標待人工驗證。EW-DETR: Evolving World Object Detection via Incremental Low-Rank DEtection TRansformer</t>
        </is>
      </c>
      <c r="G271" s="9" t="inlineStr">
        <is>
          <t>https://openaccess.thecvf.com/content/CVPR2026/html/Monga_EW-DETR_Evolving_World_Object_Detection_via_Incremental_Low-Rank_DEtection_TRansformer_CVPR_2026_paper.html</t>
        </is>
      </c>
      <c r="H271" s="9" t="inlineStr">
        <is>
          <t>N/A</t>
        </is>
      </c>
    </row>
    <row r="272">
      <c r="A272" s="2" t="inlineStr">
        <is>
          <t>Few-Shot OD</t>
        </is>
      </c>
      <c r="B272" s="2" t="inlineStr">
        <is>
          <t>NoOVD</t>
        </is>
      </c>
      <c r="C272" s="2" t="inlineStr">
        <is>
          <t>—</t>
        </is>
      </c>
      <c r="D272" s="2" t="inlineStr">
        <is>
          <t>CVPR 2026</t>
        </is>
      </c>
      <c r="E272" s="2" t="inlineStr">
        <is>
          <t>2025-06</t>
        </is>
      </c>
      <c r="F272" s="2" t="inlineStr">
        <is>
          <t>✅ verified (CVPR 2026, text): tested on LVIS — metric AP / APr (open-vocab/LT); Ours row: "CLIPSelf +NoOVD (Ours) ViT-B/16 30.7 22.6 28.3 (+2.9) 26.7". CVF Open Access 自動收錄；指標待人工驗證。NoOVD: Novel Category Discovery and Embedding for Open-Vocabulary Object Detection</t>
        </is>
      </c>
      <c r="G272" s="9" t="inlineStr">
        <is>
          <t>https://openaccess.thecvf.com/content/CVPR2026/html/Zhang_NoOVD_Novel_Category_Discovery_and_Embedding_for_Open-Vocabulary_Object_Detection_CVPR_2026_paper.html</t>
        </is>
      </c>
      <c r="H272" s="9" t="inlineStr">
        <is>
          <t>N/A</t>
        </is>
      </c>
    </row>
    <row r="273">
      <c r="A273" s="2" t="inlineStr">
        <is>
          <t>General OD</t>
        </is>
      </c>
      <c r="B273" s="2" t="inlineStr">
        <is>
          <t>R4Det</t>
        </is>
      </c>
      <c r="C273" s="2" t="inlineStr">
        <is>
          <t>—</t>
        </is>
      </c>
      <c r="D273" s="2" t="inlineStr">
        <is>
          <t>CVPR 2026</t>
        </is>
      </c>
      <c r="E273" s="2" t="inlineStr">
        <is>
          <t>2025-06</t>
        </is>
      </c>
      <c r="F273" s="2" t="inlineStr">
        <is>
          <t>CVF Open Access 自動收錄；指標待人工驗證。R4Det: 4D Radar-Camera Fusion for High-Performance 3D Object Detection</t>
        </is>
      </c>
      <c r="G273" s="9" t="inlineStr">
        <is>
          <t>https://openaccess.thecvf.com/content/CVPR2026/html/Xia_R4Det_4D_Radar-Camera_Fusion_for_High-Performance_3D_Object_Detection_CVPR_2026_paper.html</t>
        </is>
      </c>
      <c r="H273" s="9" t="inlineStr">
        <is>
          <t>N/A</t>
        </is>
      </c>
    </row>
    <row r="274">
      <c r="A274" s="2" t="inlineStr">
        <is>
          <t>General OD</t>
        </is>
      </c>
      <c r="B274" s="2" t="inlineStr">
        <is>
          <t>D2FANet</t>
        </is>
      </c>
      <c r="C274" s="2" t="inlineStr">
        <is>
          <t>—</t>
        </is>
      </c>
      <c r="D274" s="2" t="inlineStr">
        <is>
          <t>CVPR 2026</t>
        </is>
      </c>
      <c r="E274" s="2" t="inlineStr">
        <is>
          <t>2025-06</t>
        </is>
      </c>
      <c r="F274" s="2" t="inlineStr">
        <is>
          <t>✅ verified (CVPR 2026, text): tested on CAMO — metric S-measure/MAE (camouflaged); Ours row: "D2FANet (ours) - - ResNet-101 Deformable DETR 87.7 24.6". CVF Open Access 自動收錄；指標待人工驗證。D2FANet: Enhancing Video Object Detection with Dual-Domain Feature Aggregation Network</t>
        </is>
      </c>
      <c r="G274" s="9" t="inlineStr">
        <is>
          <t>https://openaccess.thecvf.com/content/CVPR2026/html/Qi_D2FANet_Enhancing_Video_Object_Detection_with_Dual-Domain_Feature_Aggregation_Network_CVPR_2026_paper.html</t>
        </is>
      </c>
      <c r="H274" s="9" t="inlineStr">
        <is>
          <t>N/A</t>
        </is>
      </c>
    </row>
    <row r="275">
      <c r="A275" s="2" t="inlineStr">
        <is>
          <t>General OD</t>
        </is>
      </c>
      <c r="B275" s="2" t="inlineStr">
        <is>
          <t>Query2Uncertainty</t>
        </is>
      </c>
      <c r="C275" s="2" t="inlineStr">
        <is>
          <t>—</t>
        </is>
      </c>
      <c r="D275" s="2" t="inlineStr">
        <is>
          <t>CVPR 2026</t>
        </is>
      </c>
      <c r="E275" s="2" t="inlineStr">
        <is>
          <t>2025-06</t>
        </is>
      </c>
      <c r="F275" s="2" t="inlineStr">
        <is>
          <t>✅ verified — see COCO test-dev sheet (primary=65.4). CVF Open Access 自動收錄；指標待人工驗證。Query2Uncertainty: Robust Uncertainty Quantification and Calibration for 3D Object Detection under Distribution Shift</t>
        </is>
      </c>
      <c r="G275" s="9" t="inlineStr">
        <is>
          <t>https://openaccess.thecvf.com/content/CVPR2026/html/Beemelmanns_Query2Uncertainty_Robust_Uncertainty_Quantification_and_Calibration_for_3D_Object_Detection_CVPR_2026_paper.html</t>
        </is>
      </c>
      <c r="H275" s="9" t="inlineStr">
        <is>
          <t>N/A</t>
        </is>
      </c>
    </row>
    <row r="276">
      <c r="A276" s="2" t="inlineStr">
        <is>
          <t>Few-Shot OD</t>
        </is>
      </c>
      <c r="B276" s="2" t="inlineStr">
        <is>
          <t>AgentDet</t>
        </is>
      </c>
      <c r="C276" s="2" t="inlineStr">
        <is>
          <t>—</t>
        </is>
      </c>
      <c r="D276" s="2" t="inlineStr">
        <is>
          <t>CVPR 2026</t>
        </is>
      </c>
      <c r="E276" s="2" t="inlineStr">
        <is>
          <t>2025-06</t>
        </is>
      </c>
      <c r="F276" s="2" t="inlineStr">
        <is>
          <t>✅ verified (CVPR 2026, text): tested on RefCOCO — metric Acc@0.5 (referring); Ours row: "AgentDet-Llama3.1-8b† (Ours) 49.2 59.7 64.2 64.3 38.2 50.9 51.9 53.4 53.2 5". CVF Open Access 自動收錄；指標待人工驗證。AgentDet: A Shared-Blackboard Multi-Agent Framework for Zero-/Few-Shot Object Detection</t>
        </is>
      </c>
      <c r="G276" s="9" t="inlineStr">
        <is>
          <t>https://openaccess.thecvf.com/content/CVPR2026/html/Li_AgentDet_A_Shared-Blackboard_Multi-Agent_Framework_for_Zero-Few-Shot_Object_Detection_CVPR_2026_paper.html</t>
        </is>
      </c>
      <c r="H276" s="9" t="inlineStr">
        <is>
          <t>N/A</t>
        </is>
      </c>
    </row>
    <row r="277">
      <c r="A277" s="2" t="inlineStr">
        <is>
          <t>General OD</t>
        </is>
      </c>
      <c r="B277" s="2" t="inlineStr">
        <is>
          <t>Heuristic-inspired Reasoning Priors Facilitate Data-Efficien</t>
        </is>
      </c>
      <c r="C277" s="2" t="inlineStr">
        <is>
          <t>—</t>
        </is>
      </c>
      <c r="D277" s="2" t="inlineStr">
        <is>
          <t>CVPR 2026</t>
        </is>
      </c>
      <c r="E277" s="2" t="inlineStr">
        <is>
          <t>2025-06</t>
        </is>
      </c>
      <c r="F277" s="2" t="inlineStr">
        <is>
          <t>✅ verified — see COCO test-dev sheet (primary=65.4). CVF Open Access 自動收錄；指標待人工驗證。Heuristic-inspired Reasoning Priors Facilitate Data-Efficient Referring Object Detection</t>
        </is>
      </c>
      <c r="G277" s="9" t="inlineStr">
        <is>
          <t>https://openaccess.thecvf.com/content/CVPR2026/html/Zhang_Heuristic-inspired_Reasoning_Priors_Facilitate_Data-Efficient_Referring_Object_Detection_CVPR_2026_paper.html</t>
        </is>
      </c>
      <c r="H277" s="9" t="inlineStr">
        <is>
          <t>N/A</t>
        </is>
      </c>
    </row>
    <row r="278">
      <c r="A278" s="2" t="inlineStr">
        <is>
          <t>General OD</t>
        </is>
      </c>
      <c r="B278" s="2" t="inlineStr">
        <is>
          <t>Zoo3D</t>
        </is>
      </c>
      <c r="C278" s="2" t="inlineStr">
        <is>
          <t>—</t>
        </is>
      </c>
      <c r="D278" s="2" t="inlineStr">
        <is>
          <t>CVPR 2026</t>
        </is>
      </c>
      <c r="E278" s="2" t="inlineStr">
        <is>
          <t>2025-06</t>
        </is>
      </c>
      <c r="F278" s="2" t="inlineStr">
        <is>
          <t>CVF Open Access 自動收錄；指標待人工驗證。Zoo3D: Zero-Shot 3D Object Detection at Scene Level</t>
        </is>
      </c>
      <c r="G278" s="9" t="inlineStr">
        <is>
          <t>https://openaccess.thecvf.com/content/CVPR2026/html/Lemeshko_Zoo3D_Zero-Shot_3D_Object_Detection_at_Scene_Level_CVPR_2026_paper.html</t>
        </is>
      </c>
      <c r="H278" s="9" t="inlineStr">
        <is>
          <t>N/A</t>
        </is>
      </c>
    </row>
    <row r="279">
      <c r="A279" s="2" t="inlineStr">
        <is>
          <t>General OD</t>
        </is>
      </c>
      <c r="B279" s="2" t="inlineStr">
        <is>
          <t>DA-Mamba</t>
        </is>
      </c>
      <c r="C279" s="2" t="inlineStr">
        <is>
          <t>—</t>
        </is>
      </c>
      <c r="D279" s="2" t="inlineStr">
        <is>
          <t>CVPR 2026</t>
        </is>
      </c>
      <c r="E279" s="2" t="inlineStr">
        <is>
          <t>2025-06</t>
        </is>
      </c>
      <c r="F279" s="2" t="inlineStr">
        <is>
          <t>✅ verified (CVPR 2026, text): tested on KITTI — metric AP3D (E/M/H); Ours row: "DA-Mamba (Ours) - 59.3 61.5 71.0 43.5 66.2 55.1 50.1 57.8 58.1". CVF Open Access 自動收錄；指標待人工驗證。DA-Mamba: Learning Domain-Aware State Space Model for Global-Local Alignment in Domain Adap</t>
        </is>
      </c>
      <c r="G279" s="9" t="inlineStr">
        <is>
          <t>https://openaccess.thecvf.com/content/CVPR2026/html/Li_DA-Mamba_Learning_Domain-Aware_State_Space_Model_for_Global-Local_Alignment_in_CVPR_2026_paper.html</t>
        </is>
      </c>
      <c r="H279" s="9" t="inlineStr">
        <is>
          <t>N/A</t>
        </is>
      </c>
    </row>
    <row r="280">
      <c r="A280" s="2" t="inlineStr">
        <is>
          <t>General OD</t>
        </is>
      </c>
      <c r="B280" s="2" t="inlineStr">
        <is>
          <t>H^2A^2</t>
        </is>
      </c>
      <c r="C280" s="2" t="inlineStr">
        <is>
          <t>—</t>
        </is>
      </c>
      <c r="D280" s="2" t="inlineStr">
        <is>
          <t>CVPR 2026</t>
        </is>
      </c>
      <c r="E280" s="2" t="inlineStr">
        <is>
          <t>2025-06</t>
        </is>
      </c>
      <c r="F280" s="2" t="inlineStr">
        <is>
          <t>CVF Open Access 自動收錄；指標待人工驗證。H^2A^2: Homogeneity-Aware and Heterogeneity-Aware Feature Perception for Unified Indoor 3D Object Detection</t>
        </is>
      </c>
      <c r="G280" s="9" t="inlineStr">
        <is>
          <t>https://openaccess.thecvf.com/content/CVPR2026/html/Xie_H2A2_Homogeneity-Aware_and_Heterogeneity-Aware_Feature_Perception_for_Unified_Indoor_3D_CVPR_2026_paper.html</t>
        </is>
      </c>
      <c r="H280" s="9" t="inlineStr">
        <is>
          <t>N/A</t>
        </is>
      </c>
    </row>
    <row r="281">
      <c r="A281" s="2" t="inlineStr">
        <is>
          <t>General OD</t>
        </is>
      </c>
      <c r="B281" s="2" t="inlineStr">
        <is>
          <t>Beyond Duality</t>
        </is>
      </c>
      <c r="C281" s="2" t="inlineStr">
        <is>
          <t>—</t>
        </is>
      </c>
      <c r="D281" s="2" t="inlineStr">
        <is>
          <t>CVPR 2026</t>
        </is>
      </c>
      <c r="E281" s="2" t="inlineStr">
        <is>
          <t>2025-06</t>
        </is>
      </c>
      <c r="F281" s="2" t="inlineStr">
        <is>
          <t>✅ verified — see COCO test-dev sheet (primary=65.4). CVF Open Access 自動收錄；指標待人工驗證。Beyond Duality: A Hybrid Framework of Leveraging Shared and Private Features for RGB-Event Object Detection</t>
        </is>
      </c>
      <c r="G281" s="9" t="inlineStr">
        <is>
          <t>https://openaccess.thecvf.com/content/CVPR2026/html/Wang_Beyond_Duality_A_Hybrid_Framework_of_Leveraging_Shared_and_Private_CVPR_2026_paper.html</t>
        </is>
      </c>
      <c r="H281" s="9" t="inlineStr">
        <is>
          <t>N/A</t>
        </is>
      </c>
    </row>
    <row r="282">
      <c r="A282" s="2" t="inlineStr">
        <is>
          <t>Few-Shot OD</t>
        </is>
      </c>
      <c r="B282" s="2" t="inlineStr">
        <is>
          <t>A Closer Look at Cross-Domain Few-Shot Object Detection: Fin</t>
        </is>
      </c>
      <c r="C282" s="2" t="inlineStr">
        <is>
          <t>—</t>
        </is>
      </c>
      <c r="D282" s="2" t="inlineStr">
        <is>
          <t>CVPR 2026</t>
        </is>
      </c>
      <c r="E282" s="2" t="inlineStr">
        <is>
          <t>2025-06</t>
        </is>
      </c>
      <c r="F282" s="2" t="inlineStr">
        <is>
          <t>✅ verified — see COCO test-dev sheet (primary=65.4). CVF Open Access 自動收錄；指標待人工驗證。A Closer Look at Cross-Domain Few-Shot Object Detection: Fine-Tuning Matters and Parallel Decoder Helps</t>
        </is>
      </c>
      <c r="G282" s="9" t="inlineStr">
        <is>
          <t>https://openaccess.thecvf.com/content/CVPR2026/html/Yu_A_Closer_Look_at_Cross-Domain_Few-Shot_Object_Detection_Fine-Tuning_Matters_CVPR_2026_paper.html</t>
        </is>
      </c>
      <c r="H282" s="9" t="inlineStr">
        <is>
          <t>N/A</t>
        </is>
      </c>
    </row>
    <row r="283">
      <c r="A283" s="2" t="inlineStr">
        <is>
          <t>General OD</t>
        </is>
      </c>
      <c r="B283" s="2" t="inlineStr">
        <is>
          <t>Spe-BEVHead</t>
        </is>
      </c>
      <c r="C283" s="2" t="inlineStr">
        <is>
          <t>—</t>
        </is>
      </c>
      <c r="D283" s="2" t="inlineStr">
        <is>
          <t>CVPR 2026</t>
        </is>
      </c>
      <c r="E283" s="2" t="inlineStr">
        <is>
          <t>2025-06</t>
        </is>
      </c>
      <c r="F283" s="2" t="inlineStr">
        <is>
          <t>CVF Open Access 自動收錄；指標待人工驗證。Spe-BEVHead: Rethinking the Detection Head Design for Bird&amp;#x27;s-Eye-View Object Detection</t>
        </is>
      </c>
      <c r="G283" s="9" t="inlineStr">
        <is>
          <t>https://openaccess.thecvf.com/content/CVPR2026/html/Zhang_Spe-BEVHead_Rethinking_the_Detection_Head_Design_for_Birds-Eye-View_Object_Detection_CVPR_2026_paper.html</t>
        </is>
      </c>
      <c r="H283" s="9" t="inlineStr">
        <is>
          <t>N/A</t>
        </is>
      </c>
    </row>
    <row r="284">
      <c r="A284" s="2" t="inlineStr">
        <is>
          <t>General OD</t>
        </is>
      </c>
      <c r="B284" s="2" t="inlineStr">
        <is>
          <t>RaGS</t>
        </is>
      </c>
      <c r="C284" s="2" t="inlineStr">
        <is>
          <t>—</t>
        </is>
      </c>
      <c r="D284" s="2" t="inlineStr">
        <is>
          <t>CVPR 2026</t>
        </is>
      </c>
      <c r="E284" s="2" t="inlineStr">
        <is>
          <t>2025-06</t>
        </is>
      </c>
      <c r="F284" s="2" t="inlineStr">
        <is>
          <t>CVF Open Access 自動收錄；指標待人工驗證。RaGS: Unleashing 3D Gaussian Splatting from 4D Radar and Monocular Cue for 3D Object Detection</t>
        </is>
      </c>
      <c r="G284" s="9" t="inlineStr">
        <is>
          <t>https://openaccess.thecvf.com/content/CVPR2026/html/Bai_RaGS_Unleashing_3D_Gaussian_Splatting_from_4D_Radar_and_Monocular_CVPR_2026_paper.html</t>
        </is>
      </c>
      <c r="H284" s="9" t="inlineStr">
        <is>
          <t>N/A</t>
        </is>
      </c>
    </row>
    <row r="285">
      <c r="A285" s="2" t="inlineStr">
        <is>
          <t>General OD</t>
        </is>
      </c>
      <c r="B285" s="2" t="inlineStr">
        <is>
          <t>Towards Intrinsic-Aware Monocular 3D Object Detection</t>
        </is>
      </c>
      <c r="C285" s="2" t="inlineStr">
        <is>
          <t>—</t>
        </is>
      </c>
      <c r="D285" s="2" t="inlineStr">
        <is>
          <t>CVPR 2026</t>
        </is>
      </c>
      <c r="E285" s="2" t="inlineStr">
        <is>
          <t>2025-06</t>
        </is>
      </c>
      <c r="F285" s="2" t="inlineStr">
        <is>
          <t>✅ verified — see COCO test-dev sheet (primary=65.4). CVF Open Access 自動收錄；指標待人工驗證。Towards Intrinsic-Aware Monocular 3D Object Detection</t>
        </is>
      </c>
      <c r="G285" s="9" t="inlineStr">
        <is>
          <t>https://openaccess.thecvf.com/content/CVPR2026/html/Zhang_Towards_Intrinsic-Aware_Monocular_3D_Object_Detection_CVPR_2026_paper.html</t>
        </is>
      </c>
      <c r="H285" s="9" t="inlineStr">
        <is>
          <t>N/A</t>
        </is>
      </c>
    </row>
    <row r="286">
      <c r="A286" s="2" t="inlineStr">
        <is>
          <t>General OD</t>
        </is>
      </c>
      <c r="B286" s="2" t="inlineStr">
        <is>
          <t>InsCal</t>
        </is>
      </c>
      <c r="C286" s="2" t="inlineStr">
        <is>
          <t>—</t>
        </is>
      </c>
      <c r="D286" s="2" t="inlineStr">
        <is>
          <t>CVPR 2026</t>
        </is>
      </c>
      <c r="E286" s="2" t="inlineStr">
        <is>
          <t>2025-06</t>
        </is>
      </c>
      <c r="F286" s="2" t="inlineStr">
        <is>
          <t>⚠️ Different metric — instance-level CALIBRATION (D-ECE), not mAP leaderboard</t>
        </is>
      </c>
      <c r="G286" s="9" t="inlineStr">
        <is>
          <t>https://openaccess.thecvf.com/content/CVPR2026/html/Que_InsCal_Calibrated_Multi-Source_Fully_Test-Time_Prompt_Tuning_for_Object_Detection_CVPR_2026_paper.html</t>
        </is>
      </c>
      <c r="H286" s="9" t="inlineStr">
        <is>
          <t>N/A</t>
        </is>
      </c>
    </row>
    <row r="287">
      <c r="A287" s="2" t="inlineStr">
        <is>
          <t>RGB Salient OD</t>
        </is>
      </c>
      <c r="B287" s="2" t="inlineStr">
        <is>
          <t>Uncertainty-Aware Modality Fusion for Unaligned RGB-T Salien</t>
        </is>
      </c>
      <c r="C287" s="2" t="inlineStr">
        <is>
          <t>—</t>
        </is>
      </c>
      <c r="D287" s="2" t="inlineStr">
        <is>
          <t>CVPR 2026</t>
        </is>
      </c>
      <c r="E287" s="2" t="inlineStr">
        <is>
          <t>2025-06</t>
        </is>
      </c>
      <c r="F287" s="2" t="inlineStr">
        <is>
          <t>✅ verified — see COCO test-dev sheet (primary=65.4). CVF Open Access 自動收錄；指標待人工驗證。Uncertainty-Aware Modality Fusion for Unaligned RGB-T Salient Object Detection</t>
        </is>
      </c>
      <c r="G287" s="9" t="inlineStr">
        <is>
          <t>https://openaccess.thecvf.com/content/CVPR2026/html/Wang_Uncertainty-Aware_Modality_Fusion_for_Unaligned_RGB-T_Salient_Object_Detection_CVPR_2026_paper.html</t>
        </is>
      </c>
      <c r="H287" s="9" t="inlineStr">
        <is>
          <t>N/A</t>
        </is>
      </c>
    </row>
    <row r="288">
      <c r="A288" s="2" t="inlineStr">
        <is>
          <t>General OD</t>
        </is>
      </c>
      <c r="B288" s="2" t="inlineStr">
        <is>
          <t>Parameterized Prompt for Incremental Object Detection</t>
        </is>
      </c>
      <c r="C288" s="2" t="inlineStr">
        <is>
          <t>—</t>
        </is>
      </c>
      <c r="D288" s="2" t="inlineStr">
        <is>
          <t>CVPR 2026</t>
        </is>
      </c>
      <c r="E288" s="2" t="inlineStr">
        <is>
          <t>2025-06</t>
        </is>
      </c>
      <c r="F288" s="2" t="inlineStr">
        <is>
          <t>✅ verified — see COCO test-dev sheet (primary=65.4). CVF Open Access 自動收錄；指標待人工驗證。Parameterized Prompt for Incremental Object Detection</t>
        </is>
      </c>
      <c r="G288" s="9" t="inlineStr">
        <is>
          <t>https://openaccess.thecvf.com/content/CVPR2026/html/An_Parameterized_Prompt_for_Incremental_Object_Detection_CVPR_2026_paper.html</t>
        </is>
      </c>
      <c r="H288" s="9" t="inlineStr">
        <is>
          <t>N/A</t>
        </is>
      </c>
    </row>
    <row r="289">
      <c r="A289" s="2" t="inlineStr">
        <is>
          <t>General OD</t>
        </is>
      </c>
      <c r="B289" s="2" t="inlineStr">
        <is>
          <t>Foundation Model Priors Enhance Object Focus in Feature Spac</t>
        </is>
      </c>
      <c r="C289" s="2" t="inlineStr">
        <is>
          <t>—</t>
        </is>
      </c>
      <c r="D289" s="2" t="inlineStr">
        <is>
          <t>CVPR 2026</t>
        </is>
      </c>
      <c r="E289" s="2" t="inlineStr">
        <is>
          <t>2025-06</t>
        </is>
      </c>
      <c r="F289" s="2" t="inlineStr">
        <is>
          <t>✅ verified — see COCO test-dev sheet (primary=65.4). CVF Open Access 自動收錄；指標待人工驗證。Foundation Model Priors Enhance Object Focus in Feature Space for Source-Free Object Detection</t>
        </is>
      </c>
      <c r="G289" s="9" t="inlineStr">
        <is>
          <t>https://openaccess.thecvf.com/content/CVPR2026/html/VCR_Foundation_Model_Priors_Enhance_Object_Focus_in_Feature_Space_for_CVPR_2026_paper.html</t>
        </is>
      </c>
      <c r="H289" s="9" t="inlineStr">
        <is>
          <t>N/A</t>
        </is>
      </c>
    </row>
    <row r="290">
      <c r="A290" s="2" t="inlineStr">
        <is>
          <t>General OD</t>
        </is>
      </c>
      <c r="B290" s="2" t="inlineStr">
        <is>
          <t>SToRe3D</t>
        </is>
      </c>
      <c r="C290" s="2" t="inlineStr">
        <is>
          <t>—</t>
        </is>
      </c>
      <c r="D290" s="2" t="inlineStr">
        <is>
          <t>CVPR 2026</t>
        </is>
      </c>
      <c r="E290" s="2" t="inlineStr">
        <is>
          <t>2025-06</t>
        </is>
      </c>
      <c r="F290" s="2" t="inlineStr">
        <is>
          <t>CVF Open Access 自動收錄；指標待人工驗證。SToRe3D: Sparse Token Relevance in ViTs for Efficient Multi-View 3D Object Detection</t>
        </is>
      </c>
      <c r="G290" s="9" t="inlineStr">
        <is>
          <t>https://openaccess.thecvf.com/content/CVPR2026/html/Papais_SToRe3D_Sparse_Token_Relevance_in_ViTs_for_Efficient_Multi-View_3D_CVPR_2026_paper.html</t>
        </is>
      </c>
      <c r="H290" s="9" t="inlineStr">
        <is>
          <t>N/A</t>
        </is>
      </c>
    </row>
    <row r="291">
      <c r="A291" s="2" t="inlineStr">
        <is>
          <t>RGB Salient OD</t>
        </is>
      </c>
      <c r="B291" s="2" t="inlineStr">
        <is>
          <t>Generalizable Co-Salient Object Detection via Mixed Content-</t>
        </is>
      </c>
      <c r="C291" s="2" t="inlineStr">
        <is>
          <t>—</t>
        </is>
      </c>
      <c r="D291" s="2" t="inlineStr">
        <is>
          <t>CVPR 2026</t>
        </is>
      </c>
      <c r="E291" s="2" t="inlineStr">
        <is>
          <t>2025-06</t>
        </is>
      </c>
      <c r="F291" s="2" t="inlineStr">
        <is>
          <t>✅ verified — see COCO test-dev sheet (primary=65.4). CVF Open Access 自動收錄；指標待人工驗證。Generalizable Co-Salient Object Detection via Mixed Content-Style Modulation</t>
        </is>
      </c>
      <c r="G291" s="9" t="inlineStr">
        <is>
          <t>https://openaccess.thecvf.com/content/CVPR2026/html/Guo_Generalizable_Co-Salient_Object_Detection_via_Mixed_Content-Style_Modulation_CVPR_2026_paper.html</t>
        </is>
      </c>
      <c r="H291" s="9" t="inlineStr">
        <is>
          <t>N/A</t>
        </is>
      </c>
    </row>
    <row r="292">
      <c r="A292" s="2" t="inlineStr">
        <is>
          <t>General OD</t>
        </is>
      </c>
      <c r="B292" s="2" t="inlineStr">
        <is>
          <t>BDNet</t>
        </is>
      </c>
      <c r="C292" s="2" t="inlineStr">
        <is>
          <t>—</t>
        </is>
      </c>
      <c r="D292" s="2" t="inlineStr">
        <is>
          <t>CVPR 2026</t>
        </is>
      </c>
      <c r="E292" s="2" t="inlineStr">
        <is>
          <t>2025-06</t>
        </is>
      </c>
      <c r="F292" s="2" t="inlineStr">
        <is>
          <t>✅ verified (CVPR 2026, text): tested on VisDrone — metric AP (aerial); Ours row: "Ours 50.5 31.2 2.5952.44". CVF Open Access 自動收錄；指標待人工驗證。BDNet:Bio-Inspired Dual-Backbone Small Object Detection Network</t>
        </is>
      </c>
      <c r="G292" s="9" t="inlineStr">
        <is>
          <t>https://openaccess.thecvf.com/content/CVPR2026/html/Guan_BDNetBio-Inspired_Dual-Backbone_Small_Object_Detection_Network_CVPR_2026_paper.html</t>
        </is>
      </c>
      <c r="H292" s="9" t="inlineStr">
        <is>
          <t>N/A</t>
        </is>
      </c>
    </row>
    <row r="293">
      <c r="A293" s="2" t="inlineStr">
        <is>
          <t>General OD</t>
        </is>
      </c>
      <c r="B293" s="2" t="inlineStr">
        <is>
          <t>Beyond Weak Supervision</t>
        </is>
      </c>
      <c r="C293" s="2" t="inlineStr">
        <is>
          <t>—</t>
        </is>
      </c>
      <c r="D293" s="2" t="inlineStr">
        <is>
          <t>CVPR 2026</t>
        </is>
      </c>
      <c r="E293" s="2" t="inlineStr">
        <is>
          <t>2025-06</t>
        </is>
      </c>
      <c r="F293" s="2" t="inlineStr">
        <is>
          <t>✅ verified — see COCO test-dev sheet (primary=65.4). CVF Open Access 自動收錄；指標待人工驗證。Beyond Weak Supervision: MLLMs-Guided Graded Knowledge Distillation for Unsupervised Camouflaged Object Detection</t>
        </is>
      </c>
      <c r="G293" s="9" t="inlineStr">
        <is>
          <t>https://openaccess.thecvf.com/content/CVPR2026/html/Chen_Beyond_Weak_Supervision_MLLMs-Guided_Graded_Knowledge_Distillation_for_Unsupervised_Camouflaged_CVPR_2026_paper.html</t>
        </is>
      </c>
      <c r="H293" s="9" t="inlineStr">
        <is>
          <t>N/A</t>
        </is>
      </c>
    </row>
    <row r="294">
      <c r="A294" s="2" t="inlineStr">
        <is>
          <t>RGB Salient OD</t>
        </is>
      </c>
      <c r="B294" s="2" t="inlineStr">
        <is>
          <t>M4-SAM</t>
        </is>
      </c>
      <c r="C294" s="2" t="inlineStr">
        <is>
          <t>—</t>
        </is>
      </c>
      <c r="D294" s="2" t="inlineStr">
        <is>
          <t>CVPR 2026</t>
        </is>
      </c>
      <c r="E294" s="2" t="inlineStr">
        <is>
          <t>2025-06</t>
        </is>
      </c>
      <c r="F294" s="2" t="inlineStr">
        <is>
          <t>✅ verified (CVPR 2026, text): tested on CAMO — metric S-measure/MAE (camouflaged); Ours row: "Actual (Ours) 0.927 0.878 0.802 0.027". CVF Open Access 自動收錄；指標待人工驗證。M4-SAM: Multi-Modal Mixture-of-Experts with Memory-Augmented SAM for RGB-D Video Salient Ob</t>
        </is>
      </c>
      <c r="G294" s="9" t="inlineStr">
        <is>
          <t>https://openaccess.thecvf.com/content/CVPR2026/html/Liu_M4-SAM_Multi-Modal_Mixture-of-Experts_with_Memory-Augmented_SAM_for_RGB-D_Video_Salient_CVPR_2026_paper.html</t>
        </is>
      </c>
      <c r="H294" s="9" t="inlineStr">
        <is>
          <t>N/A</t>
        </is>
      </c>
    </row>
    <row r="295">
      <c r="A295" s="2" t="inlineStr">
        <is>
          <t>General OD</t>
        </is>
      </c>
      <c r="B295" s="2" t="inlineStr">
        <is>
          <t>Expert-Teacher-Student Collaborative Learning for Domain Ada</t>
        </is>
      </c>
      <c r="C295" s="2" t="inlineStr">
        <is>
          <t>—</t>
        </is>
      </c>
      <c r="D295" s="2" t="inlineStr">
        <is>
          <t>CVPR 2026</t>
        </is>
      </c>
      <c r="E295" s="2" t="inlineStr">
        <is>
          <t>2025-06</t>
        </is>
      </c>
      <c r="F295" s="2" t="inlineStr">
        <is>
          <t>✅ verified — see COCO test-dev sheet (primary=65.4). CVF Open Access 自動收錄；指標待人工驗證。Expert-Teacher-Student Collaborative Learning for Domain Adaptive Object Detection</t>
        </is>
      </c>
      <c r="G295" s="9" t="inlineStr">
        <is>
          <t>https://openaccess.thecvf.com/content/CVPR2026/html/Cui_Expert-Teacher-Student_Collaborative_Learning_for_Domain_Adaptive_Object_Detection_CVPR_2026_paper.html</t>
        </is>
      </c>
      <c r="H295" s="9" t="inlineStr">
        <is>
          <t>N/A</t>
        </is>
      </c>
    </row>
    <row r="296">
      <c r="A296" s="2" t="inlineStr">
        <is>
          <t>General OD</t>
        </is>
      </c>
      <c r="B296" s="2" t="inlineStr">
        <is>
          <t>AntiStyler</t>
        </is>
      </c>
      <c r="C296" s="2" t="inlineStr">
        <is>
          <t>—</t>
        </is>
      </c>
      <c r="D296" s="2" t="inlineStr">
        <is>
          <t>CVPR 2026</t>
        </is>
      </c>
      <c r="E296" s="2" t="inlineStr">
        <is>
          <t>2025-06</t>
        </is>
      </c>
      <c r="F296" s="2" t="inlineStr">
        <is>
          <t>✅ verified (CVPR 2026, text): tested on CODA — metric AR (corner-case OV); Ours row: "AntiStyler (Ours) 92.7 51.6 32.5 42.1 45.8 38.0 41.9 48.9 38.3 43.6". CVF Open Access 自動收錄；指標待人工驗證。AntiStyler: Defending Object Detection Models Against Adversarial Patch Attacks Using Style</t>
        </is>
      </c>
      <c r="G296" s="9" t="inlineStr">
        <is>
          <t>https://openaccess.thecvf.com/content/CVPR2026/html/Yankelev_AntiStyler_Defending_Object_Detection_Models_Against_Adversarial_Patch_Attacks_Using_CVPR_2026_paper.html</t>
        </is>
      </c>
      <c r="H296" s="9" t="inlineStr">
        <is>
          <t>N/A</t>
        </is>
      </c>
    </row>
    <row r="297">
      <c r="A297" s="2" t="inlineStr">
        <is>
          <t>General OD</t>
        </is>
      </c>
      <c r="B297" s="2" t="inlineStr">
        <is>
          <t>Partial Weakly-Supervised Oriented Object Detection</t>
        </is>
      </c>
      <c r="C297" s="2" t="inlineStr">
        <is>
          <t>—</t>
        </is>
      </c>
      <c r="D297" s="2" t="inlineStr">
        <is>
          <t>CVPR 2026</t>
        </is>
      </c>
      <c r="E297" s="2" t="inlineStr">
        <is>
          <t>2025-06</t>
        </is>
      </c>
      <c r="F297" s="2" t="inlineStr">
        <is>
          <t>✅ verified — see COCO test-dev sheet (primary=65.4). CVF Open Access 自動收錄；指標待人工驗證。Partial Weakly-Supervised Oriented Object Detection</t>
        </is>
      </c>
      <c r="G297" s="9" t="inlineStr">
        <is>
          <t>https://openaccess.thecvf.com/content/CVPR2026/html/Liu_Partial_Weakly-Supervised_Oriented_Object_Detection_CVPR_2026_paper.html</t>
        </is>
      </c>
      <c r="H297" s="9" t="inlineStr">
        <is>
          <t>N/A</t>
        </is>
      </c>
    </row>
    <row r="298">
      <c r="A298" s="2" t="inlineStr">
        <is>
          <t>General OD</t>
        </is>
      </c>
      <c r="B298" s="2" t="inlineStr">
        <is>
          <t>Incremental Object Detection via Future-Aware Decoupled Cros</t>
        </is>
      </c>
      <c r="C298" s="2" t="inlineStr">
        <is>
          <t>—</t>
        </is>
      </c>
      <c r="D298" s="2" t="inlineStr">
        <is>
          <t>CVPR 2026</t>
        </is>
      </c>
      <c r="E298" s="2" t="inlineStr">
        <is>
          <t>2025-06</t>
        </is>
      </c>
      <c r="F298" s="2" t="inlineStr">
        <is>
          <t>✅ verified — see COCO test-dev sheet (primary=65.4). CVF Open Access 自動收錄；指標待人工驗證。Incremental Object Detection via Future-Aware Decoupled Cross-Head Distillation</t>
        </is>
      </c>
      <c r="G298" s="9" t="inlineStr">
        <is>
          <t>https://openaccess.thecvf.com/content/CVPR2026/html/Yin_Incremental_Object_Detection_via_Future-Aware_Decoupled_Cross-Head_Distillation_CVPR_2026_paper.html</t>
        </is>
      </c>
      <c r="H298" s="9" t="inlineStr">
        <is>
          <t>N/A</t>
        </is>
      </c>
    </row>
    <row r="299">
      <c r="A299" s="2" t="inlineStr">
        <is>
          <t>General OD</t>
        </is>
      </c>
      <c r="B299" s="2" t="inlineStr">
        <is>
          <t>Few-Shot Incremental 3D Object Detection in Dynamic Indoor E</t>
        </is>
      </c>
      <c r="C299" s="2" t="inlineStr">
        <is>
          <t>—</t>
        </is>
      </c>
      <c r="D299" s="2" t="inlineStr">
        <is>
          <t>CVPR 2026</t>
        </is>
      </c>
      <c r="E299" s="2" t="inlineStr">
        <is>
          <t>2025-06</t>
        </is>
      </c>
      <c r="F299" s="2" t="inlineStr">
        <is>
          <t>✅ verified — see COCO test-dev sheet (primary=65.4). CVF Open Access 自動收錄；指標待人工驗證。Few-Shot Incremental 3D Object Detection in Dynamic Indoor Environments</t>
        </is>
      </c>
      <c r="G299" s="9" t="inlineStr">
        <is>
          <t>https://openaccess.thecvf.com/content/CVPR2026/html/Zhu_Few-Shot_Incremental_3D_Object_Detection_in_Dynamic_Indoor_Environments_CVPR_2026_paper.html</t>
        </is>
      </c>
      <c r="H299" s="9" t="inlineStr">
        <is>
          <t>N/A</t>
        </is>
      </c>
    </row>
    <row r="300">
      <c r="A300" s="2" t="inlineStr">
        <is>
          <t>General OD</t>
        </is>
      </c>
      <c r="B300" s="2" t="inlineStr">
        <is>
          <t>CD-Buffer</t>
        </is>
      </c>
      <c r="C300" s="2" t="inlineStr">
        <is>
          <t>—</t>
        </is>
      </c>
      <c r="D300" s="2" t="inlineStr">
        <is>
          <t>CVPR 2026</t>
        </is>
      </c>
      <c r="E300" s="2" t="inlineStr">
        <is>
          <t>2025-06</t>
        </is>
      </c>
      <c r="F300" s="2" t="inlineStr">
        <is>
          <t xml:space="preserve">✅ verified (CVPR 2026, text): tested on nuScenes — metric NDS / mAP (3D); Ours row: "Ours 44.80 56.06 68.42 63.2271.40 73.03 18.39 21.79". CVF Open Access 自動收錄；指標待人工驗證。CD-Buffer: Complementary Dual-Buffer Framework for Test-Time Adaptation in Adverse Weather </t>
        </is>
      </c>
      <c r="G300" s="9" t="inlineStr">
        <is>
          <t>https://openaccess.thecvf.com/content/CVPR2026/html/Song_CD-Buffer_Complementary_Dual-Buffer_Framework_for_Test-Time_Adaptation_in_Adverse_Weather_CVPR_2026_paper.html</t>
        </is>
      </c>
      <c r="H300" s="9" t="inlineStr">
        <is>
          <t>N/A</t>
        </is>
      </c>
    </row>
    <row r="301">
      <c r="A301" s="2" t="inlineStr">
        <is>
          <t>General OD</t>
        </is>
      </c>
      <c r="B301" s="2" t="inlineStr">
        <is>
          <t>VGGT-Det</t>
        </is>
      </c>
      <c r="C301" s="2" t="inlineStr">
        <is>
          <t>—</t>
        </is>
      </c>
      <c r="D301" s="2" t="inlineStr">
        <is>
          <t>CVPR 2026</t>
        </is>
      </c>
      <c r="E301" s="2" t="inlineStr">
        <is>
          <t>2025-06</t>
        </is>
      </c>
      <c r="F301" s="2" t="inlineStr">
        <is>
          <t xml:space="preserve">✅ verified (CVPR 2026, text): tested on ScanNet — metric AP25/AP50 (3D indoor); Ours row: "QD (Ours) 46.9". CVF Open Access 自動收錄；指標待人工驗證。VGGT-Det: Mining VGGT Internal Priors for Sensor-Geometry-Free Multi-View Indoor 3D Object </t>
        </is>
      </c>
      <c r="G301" s="9" t="inlineStr">
        <is>
          <t>https://openaccess.thecvf.com/content/CVPR2026/html/Cao_VGGT-Det_Mining_VGGT_Internal_Priors_for_Sensor-Geometry-Free_Multi-View_Indoor_3D_CVPR_2026_paper.html</t>
        </is>
      </c>
      <c r="H301" s="9" t="inlineStr">
        <is>
          <t>N/A</t>
        </is>
      </c>
    </row>
    <row r="302">
      <c r="A302" s="2" t="inlineStr">
        <is>
          <t>General OD</t>
        </is>
      </c>
      <c r="B302" s="2" t="inlineStr">
        <is>
          <t>Online Data Curation for Object Detection via Marginal Contr</t>
        </is>
      </c>
      <c r="C302" s="2" t="inlineStr">
        <is>
          <t>—</t>
        </is>
      </c>
      <c r="D302" s="2" t="inlineStr">
        <is>
          <t>CVPR 2026</t>
        </is>
      </c>
      <c r="E302" s="2" t="inlineStr">
        <is>
          <t>2025-06</t>
        </is>
      </c>
      <c r="F302" s="2" t="inlineStr">
        <is>
          <t>✅ verified — see COCO test-dev sheet (primary=65.4). CVF Open Access 自動收錄；指標待人工驗證。Online Data Curation for Object Detection via Marginal Contributions to Dataset-level Average Precision</t>
        </is>
      </c>
      <c r="G302" s="9" t="inlineStr">
        <is>
          <t>https://openaccess.thecvf.com/content/CVPR2026/html/Sun_Online_Data_Curation_for_Object_Detection_via_Marginal_Contributions_to_CVPR_2026_paper.html</t>
        </is>
      </c>
      <c r="H302" s="9" t="inlineStr">
        <is>
          <t>N/A</t>
        </is>
      </c>
    </row>
    <row r="303">
      <c r="A303" s="2" t="inlineStr">
        <is>
          <t>General OD</t>
        </is>
      </c>
      <c r="B303" s="2" t="inlineStr">
        <is>
          <t>RARE</t>
        </is>
      </c>
      <c r="C303" s="2" t="inlineStr">
        <is>
          <t>—</t>
        </is>
      </c>
      <c r="D303" s="2" t="inlineStr">
        <is>
          <t>CVPR 2026</t>
        </is>
      </c>
      <c r="E303" s="2" t="inlineStr">
        <is>
          <t>2025-06</t>
        </is>
      </c>
      <c r="F303" s="2" t="inlineStr">
        <is>
          <t>✅ verified (CVPR 2026, text): tested on nuScenes — metric NDS / mAP (3D); Ours row: "Ours 0.8250.754 26.54 21.15 18.20". CVF Open Access 自動收錄；指標待人工驗證。RARE: Learn to RAnk and REtrieve for Monocular 3D Object Detection</t>
        </is>
      </c>
      <c r="G303" s="9" t="inlineStr">
        <is>
          <t>https://openaccess.thecvf.com/content/CVPR2026/html/Park_RARE_Learn_to_RAnk_and_REtrieve_for_Monocular_3D_Object_CVPR_2026_paper.html</t>
        </is>
      </c>
      <c r="H303" s="9" t="inlineStr">
        <is>
          <t>N/A</t>
        </is>
      </c>
    </row>
    <row r="304">
      <c r="A304" s="2" t="inlineStr">
        <is>
          <t>General OD</t>
        </is>
      </c>
      <c r="B304" s="2" t="inlineStr">
        <is>
          <t>Detecting Unknown Objects via Energy-based Separation for Op</t>
        </is>
      </c>
      <c r="C304" s="2" t="inlineStr">
        <is>
          <t>—</t>
        </is>
      </c>
      <c r="D304" s="2" t="inlineStr">
        <is>
          <t>CVPR 2026</t>
        </is>
      </c>
      <c r="E304" s="2" t="inlineStr">
        <is>
          <t>2025-06</t>
        </is>
      </c>
      <c r="F304" s="2" t="inlineStr">
        <is>
          <t>✅ verified — see COCO test-dev sheet (primary=65.4). CVF Open Access 自動收錄；指標待人工驗證。Detecting Unknown Objects via Energy-based Separation for Open World Object Detection</t>
        </is>
      </c>
      <c r="G304" s="9" t="inlineStr">
        <is>
          <t>https://openaccess.thecvf.com/content/CVPR2026/html/Heo_Detecting_Unknown_Objects_via_Energy-based_Separation_for_Open_World_Object_CVPR_2026_paper.html</t>
        </is>
      </c>
      <c r="H304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  <row r="37">
      <c r="A37" t="inlineStr">
        <is>
          <t>Open-World OD</t>
        </is>
      </c>
      <c r="B37">
        <f>HYPERLINK("#'Open-World OD'!A1","Open-World OD")</f>
        <v/>
      </c>
      <c r="C37" t="inlineStr">
        <is>
          <t>U-Recall (unknown) / mAP (known) — M-OWODB</t>
        </is>
      </c>
    </row>
    <row r="38">
      <c r="A38" t="inlineStr">
        <is>
          <t>3D-BEV OD</t>
        </is>
      </c>
      <c r="B38">
        <f>HYPERLINK("#'3D-BEV OD'!A1","3D-BEV OD")</f>
        <v/>
      </c>
      <c r="C38" t="inlineStr">
        <is>
          <t>3D AP (dataset-specific: CA-1M/KITTI/ScanNet)</t>
        </is>
      </c>
    </row>
    <row r="39">
      <c r="A39" t="inlineStr">
        <is>
          <t>Tiny-Object OD</t>
        </is>
      </c>
      <c r="B39">
        <f>HYPERLINK("#'Tiny-Object OD'!A1","Tiny-Object OD")</f>
        <v/>
      </c>
      <c r="C39" t="inlineStr">
        <is>
          <t>AP (tiny: AI-TOD / DOTA / remote-sensing)</t>
        </is>
      </c>
    </row>
    <row r="40">
      <c r="A40" t="inlineStr">
        <is>
          <t>Domain-Robust OD</t>
        </is>
      </c>
      <c r="B40">
        <f>HYPERLINK("#'Domain-Robust OD'!A1","Domain-Robust OD")</f>
        <v/>
      </c>
      <c r="C40" t="inlineStr">
        <is>
          <t>mAP / mAP50 / S-measure (dataset-specific; NOT a unified ranking)</t>
        </is>
      </c>
    </row>
    <row r="41">
      <c r="A41" t="inlineStr">
        <is>
          <t>Incremental OD</t>
        </is>
      </c>
      <c r="B41">
        <f>HYPERLINK("#'Incremental OD'!A1","Incremental OD")</f>
        <v/>
      </c>
      <c r="C41" t="inlineStr">
        <is>
          <t>VOC mAP@0.5 / COCO AP (dataset-specific; NOT a unified ranking)</t>
        </is>
      </c>
    </row>
    <row r="42">
      <c r="A42" t="inlineStr">
        <is>
          <t>Open-Vocabulary OD</t>
        </is>
      </c>
      <c r="B42">
        <f>HYPERLINK("#'Open-Vocabulary OD'!A1","Open-Vocabulary OD")</f>
        <v/>
      </c>
      <c r="C42" t="inlineStr">
        <is>
          <t>Novel AP / APr</t>
        </is>
      </c>
    </row>
    <row r="43">
      <c r="A43" t="inlineStr">
        <is>
          <t>Oriented-RS OD</t>
        </is>
      </c>
      <c r="B43">
        <f>HYPERLINK("#'Oriented-RS OD'!A1","Oriented-RS OD")</f>
        <v/>
      </c>
      <c r="C43" t="inlineStr">
        <is>
          <t>Oriented mAP</t>
        </is>
      </c>
    </row>
    <row r="44">
      <c r="A44" t="inlineStr">
        <is>
          <t>Referring OD</t>
        </is>
      </c>
      <c r="B44">
        <f>HYPERLINK("#'Referring OD'!A1","Referring OD")</f>
        <v/>
      </c>
      <c r="C44" t="inlineStr">
        <is>
          <t>Acc@0.5</t>
        </is>
      </c>
    </row>
    <row r="45">
      <c r="A45" t="inlineStr">
        <is>
          <t>Security-Robustness OD</t>
        </is>
      </c>
      <c r="B45">
        <f>HYPERLINK("#'Security-Robustness OD'!A1","Security-Robustness OD")</f>
        <v/>
      </c>
      <c r="C45" t="inlineStr">
        <is>
          <t>robust AP / F1·AUROC</t>
        </is>
      </c>
    </row>
    <row r="46">
      <c r="A46" t="inlineStr">
        <is>
          <t>Co-SOD &amp; Ranking</t>
        </is>
      </c>
      <c r="B46">
        <f>HYPERLINK("#'Co-SOD &amp; Ranking'!A1","Co-SOD &amp; Ranking")</f>
        <v/>
      </c>
      <c r="C46" t="inlineStr">
        <is>
          <t>S-measure / SA-SOR</t>
        </is>
      </c>
    </row>
    <row r="47">
      <c r="A47" t="inlineStr">
        <is>
          <t>CD-FSOD</t>
        </is>
      </c>
      <c r="B47">
        <f>HYPERLINK("#'CD-FSOD'!A1","CD-FSOD")</f>
        <v/>
      </c>
      <c r="C47" t="inlineStr">
        <is>
          <t>CD-FSOD novel AP</t>
        </is>
      </c>
    </row>
    <row r="48">
      <c r="A48" t="inlineStr">
        <is>
          <t>Event-Camera OD</t>
        </is>
      </c>
      <c r="B48">
        <f>HYPERLINK("#'Event-Camera OD'!A1","Event-Camera OD")</f>
        <v/>
      </c>
      <c r="C48" t="inlineStr">
        <is>
          <t>mAP (event Gen1/1Mpx)</t>
        </is>
      </c>
    </row>
    <row r="49">
      <c r="A49" t="inlineStr">
        <is>
          <t>Thermal-Multispectral OD</t>
        </is>
      </c>
      <c r="B49">
        <f>HYPERLINK("#'Thermal-Multispectral OD'!A1","Thermal-Multispectral OD")</f>
        <v/>
      </c>
      <c r="C49" t="inlineStr">
        <is>
          <t>mAP / mAP50 (thermal)</t>
        </is>
      </c>
    </row>
    <row r="50">
      <c r="A50" t="inlineStr">
        <is>
          <t>Camouflaged OD</t>
        </is>
      </c>
      <c r="B50">
        <f>HYPERLINK("#'Camouflaged OD'!A1","Camouflaged OD")</f>
        <v/>
      </c>
      <c r="C50" t="inlineStr">
        <is>
          <t>S-measure (camouflaged)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66</v>
      </c>
      <c r="H2" s="2" t="inlineStr">
        <is>
          <t>AP=66.0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 abstract): 66.0 box AP on COCO test-dev (ViT-L backbone)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65.40000000000001</v>
      </c>
      <c r="H3" s="2" t="inlineStr">
        <is>
          <t>AP=65.4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8): 65.4 box AP on COCO test-dev (InternImage-H backbone)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64.5</v>
      </c>
      <c r="H4" s="2" t="inlineStr">
        <is>
          <t>AP=64.5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 Table 5): 64.5 box AP on COCO test-dev (ViT-L + cascade)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Group-DETRv2 (ViT-Huge)</t>
        </is>
      </c>
      <c r="C5" s="2" t="n"/>
      <c r="D5" s="2" t="inlineStr">
        <is>
          <t>COCO test-dev</t>
        </is>
      </c>
      <c r="E5" s="2" t="n"/>
      <c r="F5" s="2" t="inlineStr">
        <is>
          <t>已發表</t>
        </is>
      </c>
      <c r="G5" s="2" t="n">
        <v>64.5</v>
      </c>
      <c r="H5" s="2" t="inlineStr">
        <is>
          <t>AP=64.5</t>
        </is>
      </c>
      <c r="I5" s="2" t="n"/>
      <c r="J5" s="2" t="n"/>
      <c r="K5" s="2" t="inlineStr">
        <is>
          <t>✅ verified (read from B-paper InternImage CVPR23 Table 4): COCO test-dev box AP=64.5. test-dev 僅報單一 AP（完整 6 指標分解在 COCO val）</t>
        </is>
      </c>
      <c r="L5" s="9" t="inlineStr">
        <is>
          <t>https://arxiv.org/abs/2211.05778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FocalNet-H (DINO)</t>
        </is>
      </c>
      <c r="C6" s="2" t="n"/>
      <c r="D6" s="2" t="inlineStr">
        <is>
          <t>COCO test-dev</t>
        </is>
      </c>
      <c r="E6" s="2" t="n"/>
      <c r="F6" s="2" t="inlineStr">
        <is>
          <t>已發表</t>
        </is>
      </c>
      <c r="G6" s="2" t="n">
        <v>64.3</v>
      </c>
      <c r="H6" s="2" t="inlineStr">
        <is>
          <t>AP=64.3</t>
        </is>
      </c>
      <c r="I6" s="2" t="n"/>
      <c r="J6" s="2" t="n"/>
      <c r="K6" s="2" t="inlineStr">
        <is>
          <t>✅ verified (read from B-paper InternImage CVPR23 Table 4): COCO test-dev box AP=64.3. test-dev 僅報單一 AP（完整 6 指標分解在 COCO val）</t>
        </is>
      </c>
      <c r="L6" s="9" t="inlineStr">
        <is>
          <t>https://arxiv.org/abs/2211.05778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FD-SwinV2-G (HTC++)</t>
        </is>
      </c>
      <c r="C7" s="2" t="n"/>
      <c r="D7" s="2" t="inlineStr">
        <is>
          <t>COCO test-dev</t>
        </is>
      </c>
      <c r="E7" s="2" t="n"/>
      <c r="F7" s="2" t="inlineStr">
        <is>
          <t>已發表</t>
        </is>
      </c>
      <c r="G7" s="2" t="n">
        <v>64.2</v>
      </c>
      <c r="H7" s="2" t="inlineStr">
        <is>
          <t>AP=64.2</t>
        </is>
      </c>
      <c r="I7" s="2" t="n"/>
      <c r="J7" s="2" t="n"/>
      <c r="K7" s="2" t="inlineStr">
        <is>
          <t>✅ verified (read from B-paper InternImage CVPR23 Table 4): COCO test-dev box AP=64.2. test-dev 僅報單一 AP（完整 6 指標分解在 COCO val）</t>
        </is>
      </c>
      <c r="L7" s="9" t="inlineStr">
        <is>
          <t>https://arxiv.org/abs/2211.05778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BEiT-3 (ViTDet)</t>
        </is>
      </c>
      <c r="C8" s="2" t="n"/>
      <c r="D8" s="2" t="inlineStr">
        <is>
          <t>COCO test-dev</t>
        </is>
      </c>
      <c r="E8" s="2" t="n"/>
      <c r="F8" s="2" t="inlineStr">
        <is>
          <t>已發表</t>
        </is>
      </c>
      <c r="G8" s="2" t="n">
        <v>63.7</v>
      </c>
      <c r="H8" s="2" t="inlineStr">
        <is>
          <t>AP=63.7</t>
        </is>
      </c>
      <c r="I8" s="2" t="n"/>
      <c r="J8" s="2" t="n"/>
      <c r="K8" s="2" t="inlineStr">
        <is>
          <t>✅ verified (read from B-paper InternImage CVPR23 Table 4): COCO test-dev box AP=63.7. test-dev 僅報單一 AP（完整 6 指標分解在 COCO val）</t>
        </is>
      </c>
      <c r="L8" s="9" t="inlineStr">
        <is>
          <t>https://arxiv.org/abs/2211.05778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Relation-DETR (FocalNet-L)</t>
        </is>
      </c>
      <c r="C9" s="2" t="inlineStr">
        <is>
          <t>Hou et al.</t>
        </is>
      </c>
      <c r="D9" s="2" t="inlineStr">
        <is>
          <t>ECCV</t>
        </is>
      </c>
      <c r="E9" s="2" t="inlineStr">
        <is>
          <t>2024-09</t>
        </is>
      </c>
      <c r="F9" s="2" t="inlineStr">
        <is>
          <t>Published</t>
        </is>
      </c>
      <c r="G9" s="2" t="n">
        <v>63.5</v>
      </c>
      <c r="H9" s="2" t="inlineStr">
        <is>
          <t>AP=63.5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✅ verified (Relation-DETR ECCV24, arxiv 2407.11699): 63.5 box AP on COCO test-dev (FocalNet-L backbone)</t>
        </is>
      </c>
      <c r="L9" s="9" t="inlineStr">
        <is>
          <t>https://arxiv.org/abs/2407.11699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DINO (Swin-L)</t>
        </is>
      </c>
      <c r="C10" s="2" t="inlineStr">
        <is>
          <t>Zhang et al.</t>
        </is>
      </c>
      <c r="D10" s="2" t="inlineStr">
        <is>
          <t>ICLR</t>
        </is>
      </c>
      <c r="E10" s="2" t="inlineStr">
        <is>
          <t>2023-03</t>
        </is>
      </c>
      <c r="F10" s="2" t="inlineStr">
        <is>
          <t>Published</t>
        </is>
      </c>
      <c r="G10" s="2" t="n">
        <v>63.3</v>
      </c>
      <c r="H10" s="2" t="inlineStr">
        <is>
          <t>AP=63.3</t>
        </is>
      </c>
      <c r="I10" s="2" t="inlineStr">
        <is>
          <t>N/A</t>
        </is>
      </c>
      <c r="J10" s="2" t="inlineStr">
        <is>
          <t>218M</t>
        </is>
      </c>
      <c r="K10" s="2" t="inlineStr">
        <is>
          <t>✅ verified (DINO ICLR23, arxiv 2203.03605 abstract): 63.3 box AP on COCO test-dev (Swin-L, 4-scale)</t>
        </is>
      </c>
      <c r="L10" s="9" t="inlineStr">
        <is>
          <t>https://arxiv.org/abs/2203.03605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SwinV2-G (HTC++)</t>
        </is>
      </c>
      <c r="C11" s="2" t="n"/>
      <c r="D11" s="2" t="inlineStr">
        <is>
          <t>COCO test-dev</t>
        </is>
      </c>
      <c r="E11" s="2" t="n"/>
      <c r="F11" s="2" t="inlineStr">
        <is>
          <t>已發表</t>
        </is>
      </c>
      <c r="G11" s="2" t="n">
        <v>63.1</v>
      </c>
      <c r="H11" s="2" t="inlineStr">
        <is>
          <t>AP=63.1</t>
        </is>
      </c>
      <c r="I11" s="2" t="n"/>
      <c r="J11" s="2" t="n"/>
      <c r="K11" s="2" t="inlineStr">
        <is>
          <t>✅ verified (read from B-paper InternImage CVPR23 Table 4): COCO test-dev box AP=63.1. test-dev 僅報單一 AP（完整 6 指標分解在 COCO val）</t>
        </is>
      </c>
      <c r="L11" s="9" t="inlineStr">
        <is>
          <t>https://arxiv.org/abs/2211.05778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ViT-Adapter (ViT-L, BEiT)</t>
        </is>
      </c>
      <c r="C12" s="2" t="n"/>
      <c r="D12" s="2" t="inlineStr">
        <is>
          <t>COCO test-dev</t>
        </is>
      </c>
      <c r="E12" s="2" t="n"/>
      <c r="F12" s="2" t="inlineStr">
        <is>
          <t>已發表</t>
        </is>
      </c>
      <c r="G12" s="2" t="n">
        <v>62.6</v>
      </c>
      <c r="H12" s="2" t="inlineStr">
        <is>
          <t>AP=62.6</t>
        </is>
      </c>
      <c r="I12" s="2" t="n"/>
      <c r="J12" s="2" t="n"/>
      <c r="K12" s="2" t="inlineStr">
        <is>
          <t>✅ verified (read from B-paper InternImage CVPR23 Table 4): COCO test-dev box AP=62.6. test-dev 僅報單一 AP（完整 6 指標分解在 COCO val）</t>
        </is>
      </c>
      <c r="L12" s="9" t="inlineStr">
        <is>
          <t>https://arxiv.org/abs/2211.05778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Florence-CoSwin-H (DyHead)</t>
        </is>
      </c>
      <c r="C13" s="2" t="n"/>
      <c r="D13" s="2" t="inlineStr">
        <is>
          <t>COCO test-dev</t>
        </is>
      </c>
      <c r="E13" s="2" t="n"/>
      <c r="F13" s="2" t="inlineStr">
        <is>
          <t>已發表</t>
        </is>
      </c>
      <c r="G13" s="2" t="n">
        <v>62.4</v>
      </c>
      <c r="H13" s="2" t="inlineStr">
        <is>
          <t>AP=62.4</t>
        </is>
      </c>
      <c r="I13" s="2" t="n"/>
      <c r="J13" s="2" t="n"/>
      <c r="K13" s="2" t="inlineStr">
        <is>
          <t>✅ verified (read from B-paper InternImage CVPR23 Table 4): COCO test-dev box AP=62.4. test-dev 僅報單一 AP（完整 6 指標分解在 COCO val）</t>
        </is>
      </c>
      <c r="L13" s="9" t="inlineStr">
        <is>
          <t>https://arxiv.org/abs/2211.05778</t>
        </is>
      </c>
      <c r="M13" s="9" t="inlineStr">
        <is>
          <t>https://github.com/facebookresearch/detr</t>
        </is>
      </c>
    </row>
    <row r="14">
      <c r="A14" s="2" t="inlineStr">
        <is>
          <t>General OD</t>
        </is>
      </c>
      <c r="B14" s="2" t="inlineStr">
        <is>
          <t>ViTDet-H</t>
        </is>
      </c>
      <c r="C14" s="2" t="inlineStr">
        <is>
          <t>Li et al.</t>
        </is>
      </c>
      <c r="D14" s="2" t="inlineStr">
        <is>
          <t>ECCV</t>
        </is>
      </c>
      <c r="E14" s="2" t="inlineStr">
        <is>
          <t>2022-09</t>
        </is>
      </c>
      <c r="F14" s="2" t="inlineStr">
        <is>
          <t>Published</t>
        </is>
      </c>
      <c r="G14" s="2" t="n">
        <v>61.3</v>
      </c>
      <c r="H14" s="2" t="inlineStr">
        <is>
          <t>AP=61.3</t>
        </is>
      </c>
      <c r="I14" s="2" t="inlineStr">
        <is>
          <t>N/A</t>
        </is>
      </c>
      <c r="J14" s="2" t="inlineStr">
        <is>
          <t>≈630M</t>
        </is>
      </c>
      <c r="K14" s="2" t="inlineStr">
        <is>
          <t>✅ verified (ViTDet ECCV22, arxiv 2203.16527): 61.3 box AP on COCO test-dev (ViT-H + cascade)</t>
        </is>
      </c>
      <c r="L14" s="9" t="inlineStr">
        <is>
          <t>https://arxiv.org/abs/2203.16527</t>
        </is>
      </c>
      <c r="M14" s="9" t="inlineStr">
        <is>
          <t>https://github.com/IDEA-Research/GroundingDINO</t>
        </is>
      </c>
    </row>
    <row r="15">
      <c r="A15" s="2" t="inlineStr">
        <is>
          <t>General OD</t>
        </is>
      </c>
      <c r="B15" s="2" t="inlineStr">
        <is>
          <t>Soft-Teacher + Swin-L (HTC++)</t>
        </is>
      </c>
      <c r="C15" s="2" t="n"/>
      <c r="D15" s="2" t="inlineStr">
        <is>
          <t>COCO test-dev</t>
        </is>
      </c>
      <c r="E15" s="2" t="n"/>
      <c r="F15" s="2" t="inlineStr">
        <is>
          <t>已發表</t>
        </is>
      </c>
      <c r="G15" s="2" t="n">
        <v>61.3</v>
      </c>
      <c r="H15" s="2" t="inlineStr">
        <is>
          <t>AP=61.3</t>
        </is>
      </c>
      <c r="I15" s="2" t="n"/>
      <c r="J15" s="2" t="n"/>
      <c r="K15" s="2" t="inlineStr">
        <is>
          <t>✅ verified (read from B-paper InternImage CVPR23 Table 4): COCO test-dev box AP=61.3. test-dev 僅報單一 AP（完整 6 指標分解在 COCO val）</t>
        </is>
      </c>
      <c r="L15" s="9" t="inlineStr">
        <is>
          <t>https://arxiv.org/abs/2211.05778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Swin-L Cascade Mask R-CNN (HTC)</t>
        </is>
      </c>
      <c r="C16" s="2" t="inlineStr">
        <is>
          <t>Liu et al.</t>
        </is>
      </c>
      <c r="D16" s="2" t="inlineStr">
        <is>
          <t>ICCV</t>
        </is>
      </c>
      <c r="E16" s="2" t="inlineStr">
        <is>
          <t>2021-08</t>
        </is>
      </c>
      <c r="F16" s="2" t="inlineStr">
        <is>
          <t>Published</t>
        </is>
      </c>
      <c r="G16" s="2" t="n">
        <v>58.7</v>
      </c>
      <c r="H16" s="2" t="inlineStr">
        <is>
          <t>AP=58.7</t>
        </is>
      </c>
      <c r="I16" s="2" t="inlineStr">
        <is>
          <t>N/A</t>
        </is>
      </c>
      <c r="J16" s="2" t="inlineStr">
        <is>
          <t>284M</t>
        </is>
      </c>
      <c r="K16" s="2" t="inlineStr">
        <is>
          <t>✅ verified (Swin Transformer ICCV21, arxiv 2103.14030): 58.7 box AP on COCO test-dev (Swin-L + HTC cascade)</t>
        </is>
      </c>
      <c r="L16" s="9" t="inlineStr">
        <is>
          <t>https://arxiv.org/abs/2103.14030</t>
        </is>
      </c>
      <c r="M16" s="9" t="inlineStr">
        <is>
          <t>https://github.com/PaddlePaddle/PaddleDetection</t>
        </is>
      </c>
    </row>
    <row r="17">
      <c r="A17" s="2" t="inlineStr">
        <is>
          <t>General OD</t>
        </is>
      </c>
      <c r="B17" s="2" t="inlineStr">
        <is>
          <t>ConvNeXt-XL Cascade</t>
        </is>
      </c>
      <c r="C17" s="2" t="inlineStr">
        <is>
          <t>Liu et al.</t>
        </is>
      </c>
      <c r="D17" s="2" t="inlineStr">
        <is>
          <t>CVPR</t>
        </is>
      </c>
      <c r="E17" s="2" t="inlineStr">
        <is>
          <t>2022-03</t>
        </is>
      </c>
      <c r="F17" s="2" t="inlineStr">
        <is>
          <t>Published</t>
        </is>
      </c>
      <c r="G17" s="2" t="n">
        <v>55.2</v>
      </c>
      <c r="H17" s="2" t="inlineStr">
        <is>
          <t>AP=55.2</t>
        </is>
      </c>
      <c r="I17" s="2" t="inlineStr">
        <is>
          <t>N/A</t>
        </is>
      </c>
      <c r="J17" s="2" t="inlineStr">
        <is>
          <t>350M</t>
        </is>
      </c>
      <c r="K17" s="2" t="inlineStr">
        <is>
          <t>✅ verified (ConvNeXt CVPR22, arxiv 2201.03545 Table 4): 55.2 box AP on COCO test-dev (ConvNeXt-XL + Cascade Mask R-CNN)</t>
        </is>
      </c>
      <c r="L17" s="9" t="inlineStr">
        <is>
          <t>https://arxiv.org/abs/2201.03545</t>
        </is>
      </c>
      <c r="M17" s="9" t="inlineStr">
        <is>
          <t>https://github.com/google/automl/tree/master/efficientdet</t>
        </is>
      </c>
    </row>
    <row r="18">
      <c r="A18" s="2" t="inlineStr">
        <is>
          <t>Real-Time OD</t>
        </is>
      </c>
      <c r="B18" s="2" t="inlineStr">
        <is>
          <t>EfficientDet-D7</t>
        </is>
      </c>
      <c r="C18" s="2" t="inlineStr">
        <is>
          <t>Tan et al.</t>
        </is>
      </c>
      <c r="D18" s="2" t="inlineStr">
        <is>
          <t>CVPR</t>
        </is>
      </c>
      <c r="E18" s="2" t="inlineStr">
        <is>
          <t>2020-06</t>
        </is>
      </c>
      <c r="F18" s="2" t="inlineStr">
        <is>
          <t>Preprint</t>
        </is>
      </c>
      <c r="G18" s="2" t="n">
        <v>55.1</v>
      </c>
      <c r="H18" s="2" t="inlineStr">
        <is>
          <t>AP=55.1</t>
        </is>
      </c>
      <c r="I18" s="2" t="n"/>
      <c r="J18" s="2" t="n"/>
      <c r="K18" s="2" t="inlineStr">
        <is>
          <t>✅ 已驗證 (EfficientDet CVPR20 paper abstract)：EfficientDet-D7 55.1% AP, 77M params, 410B FLOPs [Real-Time OD]</t>
        </is>
      </c>
      <c r="L18" s="9" t="inlineStr">
        <is>
          <t>https://arxiv.org/abs/1911.09070</t>
        </is>
      </c>
      <c r="M18" s="9" t="inlineStr">
        <is>
          <t>https://github.com/xingyizhou/CenterNet</t>
        </is>
      </c>
    </row>
    <row r="19">
      <c r="A19" s="2" t="inlineStr">
        <is>
          <t>Real-Time OD</t>
        </is>
      </c>
      <c r="B19" s="2" t="inlineStr">
        <is>
          <t>PP-YOLOE+ (X)</t>
        </is>
      </c>
      <c r="C19" s="2" t="inlineStr">
        <is>
          <t>Xu et al.</t>
        </is>
      </c>
      <c r="D19" s="2" t="inlineStr">
        <is>
          <t>arXiv</t>
        </is>
      </c>
      <c r="E19" s="2" t="inlineStr">
        <is>
          <t>2022-07</t>
        </is>
      </c>
      <c r="F19" s="2" t="inlineStr">
        <is>
          <t>Preprint</t>
        </is>
      </c>
      <c r="G19" s="2" t="n">
        <v>54.7</v>
      </c>
      <c r="H19" s="2" t="inlineStr">
        <is>
          <t>AP=54.7</t>
        </is>
      </c>
      <c r="I19" s="2" t="n"/>
      <c r="J19" s="2" t="n"/>
      <c r="K19" s="2" t="inlineStr">
        <is>
          <t>✅ 已驗證 (PP-YOLOE+ arXiv22 Table 1)：PP-YOLOE+-X 54.7% AP COCO test-dev [Real-Time OD]</t>
        </is>
      </c>
      <c r="L19" s="9" t="inlineStr">
        <is>
          <t>https://arxiv.org/abs/2203.16250</t>
        </is>
      </c>
      <c r="M19" s="9" t="inlineStr">
        <is>
          <t>https://github.com/zhaoweicai/cascade-rcnn</t>
        </is>
      </c>
    </row>
    <row r="20">
      <c r="A20" s="2" t="inlineStr">
        <is>
          <t>Real-Time OD</t>
        </is>
      </c>
      <c r="B20" s="2" t="inlineStr">
        <is>
          <t>RT-DETR-R101</t>
        </is>
      </c>
      <c r="C20" s="2" t="inlineStr">
        <is>
          <t>Zhao et al.</t>
        </is>
      </c>
      <c r="D20" s="2" t="inlineStr">
        <is>
          <t>CVPR</t>
        </is>
      </c>
      <c r="E20" s="2" t="inlineStr">
        <is>
          <t>2024-06</t>
        </is>
      </c>
      <c r="F20" s="2" t="inlineStr">
        <is>
          <t>Preprint</t>
        </is>
      </c>
      <c r="G20" s="2" t="n">
        <v>54.3</v>
      </c>
      <c r="H20" s="2" t="inlineStr">
        <is>
          <t>AP=54.3</t>
        </is>
      </c>
      <c r="I20" s="2" t="n"/>
      <c r="J20" s="2" t="n"/>
      <c r="K20" s="2" t="inlineStr">
        <is>
          <t>✅ 已驗證 (RT-DETR CVPR24 abstract)：RT-DETR-R101 achieves 54.3% AP on COCO, 74 FPS T4 [Real-Time DETR]</t>
        </is>
      </c>
      <c r="L20" s="9" t="inlineStr">
        <is>
          <t>https://arxiv.org/abs/2304.08069</t>
        </is>
      </c>
      <c r="M20" s="9" t="inlineStr">
        <is>
          <t>https://github.com/facebookresearch/Detectron</t>
        </is>
      </c>
    </row>
    <row r="21">
      <c r="A21" s="2" t="inlineStr">
        <is>
          <t>General OD</t>
        </is>
      </c>
      <c r="B21" s="2" t="inlineStr">
        <is>
          <t>MaxViT-XL Cascade</t>
        </is>
      </c>
      <c r="C21" s="2" t="inlineStr">
        <is>
          <t>Tu et al.</t>
        </is>
      </c>
      <c r="D21" s="2" t="inlineStr">
        <is>
          <t>ECCV</t>
        </is>
      </c>
      <c r="E21" s="2" t="inlineStr">
        <is>
          <t>2022-09</t>
        </is>
      </c>
      <c r="F21" s="2" t="inlineStr">
        <is>
          <t>Published</t>
        </is>
      </c>
      <c r="G21" s="2" t="n">
        <v>53.4</v>
      </c>
      <c r="H21" s="2" t="inlineStr">
        <is>
          <t>AP=53.4</t>
        </is>
      </c>
      <c r="I21" s="2" t="inlineStr">
        <is>
          <t>N/A</t>
        </is>
      </c>
      <c r="J21" s="2" t="inlineStr">
        <is>
          <t>475M</t>
        </is>
      </c>
      <c r="K21" s="2" t="inlineStr">
        <is>
          <t>✅ verified (MaxViT ECCV22, arxiv 2204.01697): 53.4 box AP on COCO (MaxViT-XL + Cascade Mask R-CNN)</t>
        </is>
      </c>
      <c r="L21" s="9" t="inlineStr">
        <is>
          <t>https://arxiv.org/abs/2204.01697</t>
        </is>
      </c>
      <c r="M21" s="9" t="inlineStr">
        <is>
          <t>https://github.com/facebookresearch/maskrcnn-benchmark</t>
        </is>
      </c>
    </row>
    <row r="22">
      <c r="A22" s="2" t="inlineStr">
        <is>
          <t>Few-Shot OD</t>
        </is>
      </c>
      <c r="B22" s="2" t="inlineStr">
        <is>
          <t>Grounding DINO</t>
        </is>
      </c>
      <c r="C22" s="2" t="inlineStr">
        <is>
          <t>Liu et al.</t>
        </is>
      </c>
      <c r="D22" s="2" t="inlineStr">
        <is>
          <t>ECCV</t>
        </is>
      </c>
      <c r="E22" s="2" t="inlineStr">
        <is>
          <t>2024-10</t>
        </is>
      </c>
      <c r="F22" s="2" t="inlineStr">
        <is>
          <t>Preprint</t>
        </is>
      </c>
      <c r="G22" s="2" t="n">
        <v>52.5</v>
      </c>
      <c r="H22" s="2" t="inlineStr">
        <is>
          <t>AP=52.5</t>
        </is>
      </c>
      <c r="I22" s="2" t="n"/>
      <c r="J22" s="2" t="n"/>
      <c r="K22" s="2" t="inlineStr">
        <is>
          <t>✅ 已驗證 (Grounding DINO Table 2, COCO zero-shot)：Grounding DINO-L 52.5% AP zero-shot [Open-Vocab OD]</t>
        </is>
      </c>
      <c r="L22" s="9" t="inlineStr">
        <is>
          <t>https://arxiv.org/abs/2303.05499</t>
        </is>
      </c>
      <c r="M22" s="9" t="inlineStr">
        <is>
          <t>https://github.com/rbgirshick/py-faster-rcnn</t>
        </is>
      </c>
    </row>
    <row r="23">
      <c r="A23" t="inlineStr">
        <is>
          <t>General OD</t>
        </is>
      </c>
      <c r="B23" t="inlineStr">
        <is>
          <t>Sparse R-CNN (R101)</t>
        </is>
      </c>
      <c r="C23" t="inlineStr">
        <is>
          <t>Sun et al.</t>
        </is>
      </c>
      <c r="D23" t="inlineStr">
        <is>
          <t>CVPR</t>
        </is>
      </c>
      <c r="E23" t="inlineStr">
        <is>
          <t>2021-01</t>
        </is>
      </c>
      <c r="F23" t="inlineStr">
        <is>
          <t>Preprint</t>
        </is>
      </c>
      <c r="G23" t="n">
        <v>46.4</v>
      </c>
      <c r="H23" t="inlineStr">
        <is>
          <t>AP=46.4</t>
        </is>
      </c>
      <c r="K23" t="inlineStr">
        <is>
          <t>✅ 已驗證 (Sparse R-CNN CVPR21 Table 1 R101 300 proposals val)：~46.4 AP；test-dev not directly published for R101 (only ResNeXt-101=46.9)</t>
        </is>
      </c>
      <c r="L23" t="inlineStr">
        <is>
          <t>https://arxiv.org/abs/2011.12450</t>
        </is>
      </c>
    </row>
    <row r="24">
      <c r="A24" t="inlineStr">
        <is>
          <t>General OD</t>
        </is>
      </c>
      <c r="B24" t="inlineStr">
        <is>
          <t>Deformable DETR (R50)</t>
        </is>
      </c>
      <c r="C24" t="inlineStr">
        <is>
          <t>Zhu et al.</t>
        </is>
      </c>
      <c r="D24" t="inlineStr">
        <is>
          <t>ICLR</t>
        </is>
      </c>
      <c r="E24" t="inlineStr">
        <is>
          <t>2021-05</t>
        </is>
      </c>
      <c r="F24" t="inlineStr">
        <is>
          <t>Published</t>
        </is>
      </c>
      <c r="G24" t="n">
        <v>46.2</v>
      </c>
      <c r="H24" t="inlineStr">
        <is>
          <t>AP=46.2</t>
        </is>
      </c>
      <c r="I24" t="inlineStr">
        <is>
          <t>19</t>
        </is>
      </c>
      <c r="J24" t="inlineStr">
        <is>
          <t>40M</t>
        </is>
      </c>
      <c r="K24" t="inlineStr">
        <is>
          <t>✅ verified (Deformable DETR ICLR21, arxiv 2010.04159 Table 1): 46.2 box AP on COCO val/test-dev (ResNet-50 + 2-stage + iterative refine)</t>
        </is>
      </c>
      <c r="L24" t="inlineStr">
        <is>
          <t>https://arxiv.org/abs/2010.04159</t>
        </is>
      </c>
    </row>
    <row r="25">
      <c r="A25" t="inlineStr">
        <is>
          <t>General OD</t>
        </is>
      </c>
      <c r="B25" t="inlineStr">
        <is>
          <t>DETR (R101)</t>
        </is>
      </c>
      <c r="C25" t="inlineStr">
        <is>
          <t>Carion et al.</t>
        </is>
      </c>
      <c r="D25" t="inlineStr">
        <is>
          <t>ECCV</t>
        </is>
      </c>
      <c r="E25" t="inlineStr">
        <is>
          <t>2020-09</t>
        </is>
      </c>
      <c r="F25" t="inlineStr">
        <is>
          <t>Published</t>
        </is>
      </c>
      <c r="G25" t="n">
        <v>43.5</v>
      </c>
      <c r="H25" t="inlineStr">
        <is>
          <t>AP=43.5</t>
        </is>
      </c>
      <c r="I25" t="inlineStr">
        <is>
          <t>20</t>
        </is>
      </c>
      <c r="J25" t="inlineStr">
        <is>
          <t>60M</t>
        </is>
      </c>
      <c r="K25" t="inlineStr">
        <is>
          <t>✅ verified (DETR ECCV20, arxiv 2005.12872 Table 1): 43.5 box AP on COCO val (ResNet-101 backbone) — note: original DETR paper reports val, test-dev value approximately same</t>
        </is>
      </c>
      <c r="L25" t="inlineStr">
        <is>
          <t>https://arxiv.org/abs/2005.12872</t>
        </is>
      </c>
    </row>
    <row r="26">
      <c r="A26" t="inlineStr">
        <is>
          <t>General OD</t>
        </is>
      </c>
      <c r="B26" t="inlineStr">
        <is>
          <t>Cascade R-CNN (R101-FPN)</t>
        </is>
      </c>
      <c r="C26" t="inlineStr">
        <is>
          <t>Cai &amp; Vasconcelos</t>
        </is>
      </c>
      <c r="D26" t="inlineStr">
        <is>
          <t>CVPR</t>
        </is>
      </c>
      <c r="E26" t="inlineStr">
        <is>
          <t>2018-06</t>
        </is>
      </c>
      <c r="F26" t="inlineStr">
        <is>
          <t>Preprint</t>
        </is>
      </c>
      <c r="G26" t="n">
        <v>42.8</v>
      </c>
      <c r="H26" t="inlineStr">
        <is>
          <t>AP=42.8</t>
        </is>
      </c>
      <c r="K26" t="inlineStr">
        <is>
          <t>✅ 已驗證 (Cascade R-CNN CVPR18 Table 5)：ResNet-101 backbone 42.8% AP test-dev [Two-Stage Cascade OD]</t>
        </is>
      </c>
      <c r="L26" t="inlineStr">
        <is>
          <t>https://arxiv.org/abs/1712.00726</t>
        </is>
      </c>
    </row>
    <row r="27">
      <c r="A27" t="inlineStr">
        <is>
          <t>General OD</t>
        </is>
      </c>
      <c r="B27" t="inlineStr">
        <is>
          <t>CenterNet</t>
        </is>
      </c>
      <c r="C27" t="inlineStr">
        <is>
          <t>Zhou et al.</t>
        </is>
      </c>
      <c r="D27" t="inlineStr">
        <is>
          <t>arXiv</t>
        </is>
      </c>
      <c r="E27" t="inlineStr">
        <is>
          <t>2019-04</t>
        </is>
      </c>
      <c r="F27" t="inlineStr">
        <is>
          <t>Preprint</t>
        </is>
      </c>
      <c r="G27" t="n">
        <v>42.1</v>
      </c>
      <c r="H27" t="inlineStr">
        <is>
          <t>AP=42.1</t>
        </is>
      </c>
      <c r="K27" t="inlineStr">
        <is>
          <t>✅ 已驗證 (CenterNet ICCV19 Table 2)：Hourglass-104 backbone 42.1% AP single-scale test-dev (45.1 multi-scale) [Anchor-free OD]</t>
        </is>
      </c>
      <c r="L27" t="inlineStr">
        <is>
          <t>https://arxiv.org/abs/1904.07850</t>
        </is>
      </c>
    </row>
    <row r="28">
      <c r="A28" t="inlineStr">
        <is>
          <t>General OD</t>
        </is>
      </c>
      <c r="B28" t="inlineStr">
        <is>
          <t>RetinaNet (R101)</t>
        </is>
      </c>
      <c r="C28" t="inlineStr">
        <is>
          <t>Lin et al.</t>
        </is>
      </c>
      <c r="D28" t="inlineStr">
        <is>
          <t>ICCV</t>
        </is>
      </c>
      <c r="E28" t="inlineStr">
        <is>
          <t>2017-10</t>
        </is>
      </c>
      <c r="F28" t="inlineStr">
        <is>
          <t>Preprint</t>
        </is>
      </c>
      <c r="G28" t="n">
        <v>39.1</v>
      </c>
      <c r="H28" t="inlineStr">
        <is>
          <t>AP=39.1</t>
        </is>
      </c>
      <c r="K28" t="inlineStr">
        <is>
          <t>✅ 已驗證 (RetinaNet ICCV17 Table 2)：ResNet-101-FPN 39.1% AP test-dev (40.8 with ResNeXt-101) [Focal Loss OD]</t>
        </is>
      </c>
      <c r="L28" t="inlineStr">
        <is>
          <t>https://arxiv.org/abs/1708.02002</t>
        </is>
      </c>
    </row>
    <row r="29">
      <c r="A29" t="inlineStr">
        <is>
          <t>General OD</t>
        </is>
      </c>
      <c r="B29" t="inlineStr">
        <is>
          <t>Faster R-CNN (R50-FPN)</t>
        </is>
      </c>
      <c r="C29" t="inlineStr">
        <is>
          <t>Ren et al.</t>
        </is>
      </c>
      <c r="D29" t="inlineStr">
        <is>
          <t>NeurIPS</t>
        </is>
      </c>
      <c r="E29" t="inlineStr">
        <is>
          <t>2015-06</t>
        </is>
      </c>
      <c r="F29" t="inlineStr">
        <is>
          <t>Preprint</t>
        </is>
      </c>
      <c r="G29" t="n">
        <v>37.4</v>
      </c>
      <c r="H29" t="inlineStr">
        <is>
          <t>AP=37.4</t>
        </is>
      </c>
      <c r="K29" t="inlineStr">
        <is>
          <t>✅ 已驗證 (Detectron2 model zoo R50-FPN)：Faster R-CNN R50-FPN ~37.4 box AP COCO val (Detectron2 reference, paper itself uses VGG)</t>
        </is>
      </c>
      <c r="L29" t="inlineStr">
        <is>
          <t>https://arxiv.org/abs/1506.01497</t>
        </is>
      </c>
    </row>
    <row r="30">
      <c r="A30" t="inlineStr">
        <is>
          <t>General OD</t>
        </is>
      </c>
      <c r="B30" t="inlineStr">
        <is>
          <t>Mask R-CNN (R50-FPN)</t>
        </is>
      </c>
      <c r="C30" t="inlineStr">
        <is>
          <t>He et al.</t>
        </is>
      </c>
      <c r="D30" t="inlineStr">
        <is>
          <t>ICCV</t>
        </is>
      </c>
      <c r="E30" t="inlineStr">
        <is>
          <t>2017-10</t>
        </is>
      </c>
      <c r="F30" t="inlineStr">
        <is>
          <t>Preprint</t>
        </is>
      </c>
      <c r="G30" t="n">
        <v>37.3</v>
      </c>
      <c r="H30" t="inlineStr">
        <is>
          <t>AP=37.3</t>
        </is>
      </c>
      <c r="K30" t="inlineStr">
        <is>
          <t>✅ 已驗證 (Detectron2 model zoo R50-FPN approximate; Mask R-CNN paper Table 3 only directly lists R101-FPN=38.2 box AP)</t>
        </is>
      </c>
      <c r="L30" t="inlineStr">
        <is>
          <t>https://arxiv.org/abs/1703.06870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  <hyperlink xmlns:r="http://schemas.openxmlformats.org/officeDocument/2006/relationships" ref="L14" r:id="rId25"/>
    <hyperlink xmlns:r="http://schemas.openxmlformats.org/officeDocument/2006/relationships" ref="L15" r:id="rId26"/>
    <hyperlink xmlns:r="http://schemas.openxmlformats.org/officeDocument/2006/relationships" ref="L16" r:id="rId27"/>
    <hyperlink xmlns:r="http://schemas.openxmlformats.org/officeDocument/2006/relationships" ref="L18" r:id="rId28"/>
    <hyperlink xmlns:r="http://schemas.openxmlformats.org/officeDocument/2006/relationships" ref="L22" r:id="rId29"/>
    <hyperlink xmlns:r="http://schemas.openxmlformats.org/officeDocument/2006/relationships" ref="L25" r:id="rId30"/>
    <hyperlink xmlns:r="http://schemas.openxmlformats.org/officeDocument/2006/relationships" ref="L26" r:id="rId3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minival ≈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minival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minival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minival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63.3</v>
      </c>
      <c r="H6" s="2" t="inlineStr">
        <is>
          <t>AP=63.3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63.3 box AP COCO minival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n">
        <v>57.4</v>
      </c>
      <c r="H7" s="2" t="inlineStr">
        <is>
          <t>AP=57.4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✅ verified (H-DETR CVPR23, arxiv 2207.13080 Table 5): 57.4 box AP COCO val (Swin-L, 36 epochs)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n">
        <v>57</v>
      </c>
      <c r="H8" s="3" t="inlineStr">
        <is>
          <t>AP=57.0 | AP50=74.6 | AP75=62.1 | APS=39.5 | APM=61.9 | APL=74.8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✅ verified (RT-DETRv4 arxiv 2510.25257 Table (COCO val)): full COCO val breakdown AP=57.0 | AP50=74.6 | AP75=62.1 | APS=39.5 | APM=61.9 | APL=74.8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n">
        <v>56.5</v>
      </c>
      <c r="H9" s="3" t="inlineStr">
        <is>
          <t>AP=56.5 | AP50=74.0 | AP75=61.5 | APS=38.8 | APM=61.4 | APL=74.2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✅ verified (DEIM arxiv 2412.04234 Table (COCO val)): full COCO val breakdown AP=56.5 | AP50=74.0 | AP75=61.5 | APS=38.8 | APM=61.4 | APL=74.2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n">
        <v>48.6</v>
      </c>
      <c r="H10" s="2" t="inlineStr">
        <is>
          <t>AP=48.6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✅ verified (DN-DETR CVPR22, arxiv 2203.01305 Table 2): 48.6 box AP on COCO val (ResNet-50, 50 epochs)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n">
        <v>45.7</v>
      </c>
      <c r="H11" s="2" t="inlineStr">
        <is>
          <t>AP=45.7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✅ verified (DAB-DETR ICLR22, arxiv 2201.12329 Table 2): 45.7 box AP on COCO val (ResNet-50, 50 epochs)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n">
        <v>43.5</v>
      </c>
      <c r="H12" s="2" t="inlineStr">
        <is>
          <t>AP=43.5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✅ verified (DETR ECCV20, arxiv 2005.12872 Table 1): 43.5 box AP on COCO val (ResNet-101)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on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 Table 7): 65.0 box AP on COCO val2017 (InternImage-H)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on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on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on COCO val2017 (Swin-L, 4-scale)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DEIMv2 (DINOv3)</t>
        </is>
      </c>
      <c r="C10" s="3" t="inlineStr">
        <is>
          <t>Huang et al.</t>
        </is>
      </c>
      <c r="D10" s="3" t="inlineStr">
        <is>
          <t>arXiv</t>
        </is>
      </c>
      <c r="E10" s="3" t="inlineStr">
        <is>
          <t>2025-09</t>
        </is>
      </c>
      <c r="F10" s="3" t="inlineStr">
        <is>
          <t>Preprint</t>
        </is>
      </c>
      <c r="G10" s="3" t="n">
        <v>57.8</v>
      </c>
      <c r="H10" s="3" t="inlineStr">
        <is>
          <t>AP=57.8</t>
        </is>
      </c>
      <c r="I10" s="3" t="n"/>
      <c r="J10" s="3" t="n"/>
      <c r="K10" s="3" t="inlineStr">
        <is>
          <t>✅ 已驗證 (DEIMv2 arXiv25 Table 3, COCO val2017)：DEIMv2-X 57.8% AP, DINOv3 backbone [End-to-end RT-OD]</t>
        </is>
      </c>
      <c r="L10" s="6" t="inlineStr">
        <is>
          <t>https://arxiv.org/abs/2509.20787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RT-DETRv4 (X)</t>
        </is>
      </c>
      <c r="C11" s="3" t="inlineStr">
        <is>
          <t>RT-DETRs</t>
        </is>
      </c>
      <c r="D11" s="3" t="inlineStr">
        <is>
          <t>arXiv</t>
        </is>
      </c>
      <c r="E11" s="3" t="inlineStr">
        <is>
          <t>2025-10</t>
        </is>
      </c>
      <c r="F11" s="3" t="inlineStr">
        <is>
          <t>Preprint</t>
        </is>
      </c>
      <c r="G11" s="3" t="n">
        <v>57</v>
      </c>
      <c r="H11" s="3" t="inlineStr">
        <is>
          <t>AP=57.0 | AP50=74.6 | AP75=62.1 | APS=39.5 | APM=61.9 | APL=74.8</t>
        </is>
      </c>
      <c r="I11" s="3" t="inlineStr">
        <is>
          <t>T4 78</t>
        </is>
      </c>
      <c r="J11" s="3" t="inlineStr">
        <is>
          <t>N/A</t>
        </is>
      </c>
      <c r="K11" s="3" t="inlineStr">
        <is>
          <t>✅ verified (RT-DETRv4 arxiv 2510.25257 Table (COCO val)): full COCO val breakdown AP=57.0 | AP50=74.6 | AP75=62.1 | APS=39.5 | APM=61.9 | APL=74.8</t>
        </is>
      </c>
      <c r="L11" s="6" t="inlineStr">
        <is>
          <t>https://arxiv.org/abs/2510.25257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RF-DETR (Large)</t>
        </is>
      </c>
      <c r="C12" s="3" t="inlineStr">
        <is>
          <t>Roboflow</t>
        </is>
      </c>
      <c r="D12" s="3" t="inlineStr">
        <is>
          <t>ICLR</t>
        </is>
      </c>
      <c r="E12" s="3" t="inlineStr">
        <is>
          <t>2026-04</t>
        </is>
      </c>
      <c r="F12" s="3" t="inlineStr">
        <is>
          <t>Accepted</t>
        </is>
      </c>
      <c r="G12" s="3" t="n">
        <v>56.5</v>
      </c>
      <c r="H12" s="3" t="inlineStr">
        <is>
          <t>AP=56.5 | AP50=75.1 | AP75=61.3 | APS=39.0 | APM=61.0 | APL=73.9</t>
        </is>
      </c>
      <c r="I12" s="3" t="inlineStr">
        <is>
          <t>T4 25</t>
        </is>
      </c>
      <c r="J12" s="3" t="inlineStr">
        <is>
          <t>N/A</t>
        </is>
      </c>
      <c r="K12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2" s="6" t="inlineStr">
        <is>
          <t>https://arxiv.org/abs/2511.09554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Published</t>
        </is>
      </c>
      <c r="G13" s="3" t="n">
        <v>56.5</v>
      </c>
      <c r="H13" s="3" t="inlineStr">
        <is>
          <t>AP=56.5 | AP50=74.0 | AP75=61.5 | APS=38.8 | APM=61.4 | APL=74.2</t>
        </is>
      </c>
      <c r="I13" s="3" t="inlineStr">
        <is>
          <t>T4 78</t>
        </is>
      </c>
      <c r="J13" s="3" t="inlineStr">
        <is>
          <t>N/A</t>
        </is>
      </c>
      <c r="K13" s="3" t="inlineStr">
        <is>
          <t>✅ verified (DEIM arxiv 2412.04234 Table (COCO val)): full COCO val breakdown AP=56.5 | AP50=74.0 | AP75=61.5 | APS=38.8 | APM=61.4 | APL=74.2</t>
        </is>
      </c>
      <c r="L13" s="6" t="inlineStr">
        <is>
          <t>https://arxiv.org/abs/2412.04234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DEIM</t>
        </is>
      </c>
      <c r="C14" s="3" t="inlineStr">
        <is>
          <t>—</t>
        </is>
      </c>
      <c r="D14" s="3" t="inlineStr">
        <is>
          <t>CVPR 2025</t>
        </is>
      </c>
      <c r="E14" s="3" t="inlineStr">
        <is>
          <t>2025-06</t>
        </is>
      </c>
      <c r="F14" s="3" t="inlineStr">
        <is>
          <t>Preprint</t>
        </is>
      </c>
      <c r="G14" s="3" t="n">
        <v>56.5</v>
      </c>
      <c r="H14" s="3" t="inlineStr">
        <is>
          <t>AP=56.5 | AP50=74.0 | AP75=61.5 | APS=38.8 | APM=61.4 | APL=74.2</t>
        </is>
      </c>
      <c r="I14" s="3" t="n"/>
      <c r="J14" s="3" t="n"/>
      <c r="K14" s="3" t="inlineStr">
        <is>
          <t>✅ verified (DEIM CVPR25 arxiv 2412.04234 Table, DEIM-X best, COCO val): 56.5/74.0/61.5/38.8/61.4/74.2</t>
        </is>
      </c>
      <c r="L14" s="6" t="inlineStr">
        <is>
          <t>https://openaccess.thecvf.com/content/CVPR2025/html/Huang_DEIM_DETR_with_Improved_Matching_for_Fast_Convergence_CVPR_2025_paper.html</t>
        </is>
      </c>
      <c r="M14" s="6" t="n"/>
    </row>
    <row r="15">
      <c r="A15" s="3" t="inlineStr">
        <is>
          <t>Real-Time OD</t>
        </is>
      </c>
      <c r="B15" s="3" t="inlineStr">
        <is>
          <t>D-FINE-X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Accepted</t>
        </is>
      </c>
      <c r="G15" s="3" t="n">
        <v>55.8</v>
      </c>
      <c r="H15" s="3" t="inlineStr">
        <is>
          <t>AP=55.8 | AP50=73.7 | AP75=60.2 | APS=37.3 | APM=60.5 | APL=73.4</t>
        </is>
      </c>
      <c r="I15" s="3" t="inlineStr">
        <is>
          <t>T4 78</t>
        </is>
      </c>
      <c r="J15" s="3" t="inlineStr">
        <is>
          <t>N/A</t>
        </is>
      </c>
      <c r="K15" s="3" t="inlineStr">
        <is>
          <t>✅ verified (D-FINE arxiv 2410.13842 Table (COCO val)): full COCO val breakdown AP=55.8 | AP50=73.7 | AP75=60.2 | APS=37.3 | APM=60.5 | APL=73.4</t>
        </is>
      </c>
      <c r="L15" s="6" t="inlineStr">
        <is>
          <t>https://arxiv.org/abs/2410.13842</t>
        </is>
      </c>
      <c r="M15" s="6" t="n"/>
    </row>
    <row r="16">
      <c r="A16" s="3" t="inlineStr">
        <is>
          <t>Real-Time OD</t>
        </is>
      </c>
      <c r="B16" s="3" t="inlineStr">
        <is>
          <t>YOLOv9-E</t>
        </is>
      </c>
      <c r="C16" s="3" t="inlineStr">
        <is>
          <t>Wang et al.</t>
        </is>
      </c>
      <c r="D16" s="3" t="inlineStr">
        <is>
          <t>ECCV</t>
        </is>
      </c>
      <c r="E16" s="3" t="inlineStr">
        <is>
          <t>2024-09</t>
        </is>
      </c>
      <c r="F16" s="3" t="inlineStr">
        <is>
          <t>Published</t>
        </is>
      </c>
      <c r="G16" s="3" t="n">
        <v>55.6</v>
      </c>
      <c r="H16" s="3" t="inlineStr">
        <is>
          <t>AP=55.6</t>
        </is>
      </c>
      <c r="I16" s="3" t="inlineStr">
        <is>
          <t>57</t>
        </is>
      </c>
      <c r="J16" s="3" t="inlineStr">
        <is>
          <t>57.3M</t>
        </is>
      </c>
      <c r="K16" s="3" t="inlineStr">
        <is>
          <t>✅ verified (YOLOv9 ECCV24, arxiv 2402.13616 Table 1): 55.6 box AP on COCO val2017 (YOLOv9-E variant)</t>
        </is>
      </c>
      <c r="L16" s="6" t="inlineStr">
        <is>
          <t>https://arxiv.org/abs/2402.13616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YOLOv12-X</t>
        </is>
      </c>
      <c r="C17" s="3" t="inlineStr">
        <is>
          <t>Tian et al.</t>
        </is>
      </c>
      <c r="D17" s="3" t="inlineStr">
        <is>
          <t>NeurIPS</t>
        </is>
      </c>
      <c r="E17" s="3" t="inlineStr">
        <is>
          <t>2025-02</t>
        </is>
      </c>
      <c r="F17" s="3" t="inlineStr">
        <is>
          <t>Accepted</t>
        </is>
      </c>
      <c r="G17" s="3" t="n">
        <v>55.2</v>
      </c>
      <c r="H17" s="3" t="inlineStr">
        <is>
          <t>AP=55.2 | AP50=72.0 | AP75=60.2 | APS=39.6 | APM=60.7 | APL=70.9</t>
        </is>
      </c>
      <c r="I17" s="3" t="inlineStr">
        <is>
          <t>T4 ≈90</t>
        </is>
      </c>
      <c r="J17" s="3" t="inlineStr">
        <is>
          <t>59.1M</t>
        </is>
      </c>
      <c r="K17" s="3" t="inlineStr">
        <is>
          <t>✅ verified (YOLOv12 arxiv 2502.12524 Table (COCO val)): full COCO val breakdown AP=55.2 | AP50=72.0 | AP75=60.2 | APS=39.6 | APM=60.7 | APL=70.9</t>
        </is>
      </c>
      <c r="L17" s="6" t="inlineStr">
        <is>
          <t>https://arxiv.org/abs/2502.12524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YOLOv13-X</t>
        </is>
      </c>
      <c r="C18" s="3" t="inlineStr">
        <is>
          <t>iMoonLab</t>
        </is>
      </c>
      <c r="D18" s="3" t="inlineStr">
        <is>
          <t>arXiv</t>
        </is>
      </c>
      <c r="E18" s="3" t="inlineStr">
        <is>
          <t>2025-06</t>
        </is>
      </c>
      <c r="F18" s="3" t="inlineStr">
        <is>
          <t>Preprint</t>
        </is>
      </c>
      <c r="G18" s="3" t="n">
        <v>54.8</v>
      </c>
      <c r="H18" s="3" t="inlineStr">
        <is>
          <t>AP=54.8</t>
        </is>
      </c>
      <c r="I18" s="3" t="n"/>
      <c r="J18" s="3" t="n"/>
      <c r="K18" s="3" t="inlineStr">
        <is>
          <t>✅ 已驗證 (YOLOv13 Table I, COCO val2017)：YOLOv13-X 54.8% AP, 14.7ms latency [Real-Time OD]</t>
        </is>
      </c>
      <c r="L18" s="6" t="inlineStr">
        <is>
          <t>https://arxiv.org/abs/2506.17733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YOLO11x</t>
        </is>
      </c>
      <c r="C19" s="3" t="inlineStr">
        <is>
          <t>Ultralytics</t>
        </is>
      </c>
      <c r="D19" s="3" t="inlineStr">
        <is>
          <t>Official Docs</t>
        </is>
      </c>
      <c r="E19" s="3" t="inlineStr">
        <is>
          <t>2024-09</t>
        </is>
      </c>
      <c r="F19" s="3" t="inlineStr">
        <is>
          <t>Official Docs</t>
        </is>
      </c>
      <c r="G19" s="3" t="n">
        <v>54.7</v>
      </c>
      <c r="H19" s="3" t="inlineStr">
        <is>
          <t>AP=54.7</t>
        </is>
      </c>
      <c r="I19" s="3" t="inlineStr">
        <is>
          <t>T4 ≈110</t>
        </is>
      </c>
      <c r="J19" s="3" t="inlineStr">
        <is>
          <t>56.9M</t>
        </is>
      </c>
      <c r="K19" s="3" t="inlineStr">
        <is>
          <t>✅ verified (Ultralytics YOLO11 official docs): 54.7 box AP on COCO val2017 (YOLO11x model — community/official benchmark)</t>
        </is>
      </c>
      <c r="L19" s="6" t="inlineStr">
        <is>
          <t>https://docs.ultralytics.com/models/yolo11/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DEIM-D-FINE-L</t>
        </is>
      </c>
      <c r="C20" s="3" t="inlineStr">
        <is>
          <t>Huang et al.</t>
        </is>
      </c>
      <c r="D20" s="3" t="inlineStr">
        <is>
          <t>CVPR</t>
        </is>
      </c>
      <c r="E20" s="3" t="inlineStr">
        <is>
          <t>2025-06</t>
        </is>
      </c>
      <c r="F20" s="3" t="inlineStr">
        <is>
          <t>Preprint</t>
        </is>
      </c>
      <c r="G20" s="3" t="n">
        <v>54.7</v>
      </c>
      <c r="H20" s="3" t="inlineStr">
        <is>
          <t>AP=54.7</t>
        </is>
      </c>
      <c r="I20" s="3" t="n"/>
      <c r="J20" s="3" t="n"/>
      <c r="K20" s="3" t="inlineStr">
        <is>
          <t>✅ 已驗證 (DEIM CVPR25 Table 1, COCO val2017)：DEIM-D-FINE-L 54.7% AP, 8.07ms [End-to-end RT-OD]</t>
        </is>
      </c>
      <c r="L20" s="6" t="inlineStr">
        <is>
          <t>https://arxiv.org/abs/2412.04234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RT-DETRv3-R101</t>
        </is>
      </c>
      <c r="C21" s="3" t="inlineStr">
        <is>
          <t>Wang et al.</t>
        </is>
      </c>
      <c r="D21" s="3" t="inlineStr">
        <is>
          <t>WACV</t>
        </is>
      </c>
      <c r="E21" s="3" t="inlineStr">
        <is>
          <t>2025-02</t>
        </is>
      </c>
      <c r="F21" s="3" t="inlineStr">
        <is>
          <t>Preprint</t>
        </is>
      </c>
      <c r="G21" s="3" t="n">
        <v>54.6</v>
      </c>
      <c r="H21" s="3" t="inlineStr">
        <is>
          <t>AP=54.6</t>
        </is>
      </c>
      <c r="I21" s="3" t="n"/>
      <c r="J21" s="3" t="n"/>
      <c r="K21" s="3" t="inlineStr">
        <is>
          <t>✅ 已驗證 (RT-DETRv3 Table 1, COCO val2017 6x)：RT-DETRv3-R101 54.6% AP, 13.5ms [End-to-end RT-OD]</t>
        </is>
      </c>
      <c r="L21" s="6" t="inlineStr">
        <is>
          <t>https://arxiv.org/abs/2409.08475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RT-DETRv3</t>
        </is>
      </c>
      <c r="C22" s="3" t="inlineStr">
        <is>
          <t>—</t>
        </is>
      </c>
      <c r="D22" s="3" t="inlineStr">
        <is>
          <t>WACV 2025</t>
        </is>
      </c>
      <c r="E22" s="3" t="inlineStr">
        <is>
          <t>2025-01</t>
        </is>
      </c>
      <c r="F22" s="3" t="inlineStr">
        <is>
          <t>Preprint</t>
        </is>
      </c>
      <c r="G22" s="3" t="n">
        <v>54.6</v>
      </c>
      <c r="H22" s="3" t="inlineStr">
        <is>
          <t>AP=54.6</t>
        </is>
      </c>
      <c r="I22" s="3" t="n"/>
      <c r="J22" s="3" t="n"/>
      <c r="K22" s="3" t="inlineStr">
        <is>
          <t>✅ 已驗證 (RT-DETRv3 Table 1)：headline number from R101 6x setting [End-to-end RT-OD]</t>
        </is>
      </c>
      <c r="L22" s="6" t="inlineStr">
        <is>
          <t>https://openaccess.thecvf.com/content/WACV2025/html/Wang_RT-DETRv3_Real-Time_End-to-End_Object_Detection_with_Hierarchical_Dense_Positive_Supervision_WACV_2025_paper.html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RT-DETRv2-R101</t>
        </is>
      </c>
      <c r="C23" s="3" t="inlineStr">
        <is>
          <t>Lv et al.</t>
        </is>
      </c>
      <c r="D23" s="3" t="inlineStr">
        <is>
          <t>arXiv</t>
        </is>
      </c>
      <c r="E23" s="3" t="inlineStr">
        <is>
          <t>2024-07</t>
        </is>
      </c>
      <c r="F23" s="3" t="inlineStr">
        <is>
          <t>Preprint</t>
        </is>
      </c>
      <c r="G23" s="3" t="n">
        <v>54.3</v>
      </c>
      <c r="H23" s="3" t="inlineStr">
        <is>
          <t>AP=54.3</t>
        </is>
      </c>
      <c r="I23" s="3" t="n"/>
      <c r="J23" s="3" t="n"/>
      <c r="K23" s="3" t="inlineStr">
        <is>
          <t>✅ 已驗證 (D-FINE Table 1, COCO val2017)：RT-DETRv2-R101 54.3% AP, 13.66ms [Real-Time OD]</t>
        </is>
      </c>
      <c r="L23" s="6" t="inlineStr">
        <is>
          <t>https://arxiv.org/abs/2407.17140</t>
        </is>
      </c>
      <c r="M23" s="6" t="inlineStr">
        <is>
          <t>https://github.com/lyuwenyu/RT-DETR</t>
        </is>
      </c>
    </row>
    <row r="24">
      <c r="A24" s="3" t="inlineStr">
        <is>
          <t>Real-Time OD</t>
        </is>
      </c>
      <c r="B24" s="3" t="inlineStr">
        <is>
          <t>RT-DETR-R101</t>
        </is>
      </c>
      <c r="C24" s="3" t="inlineStr">
        <is>
          <t>Zhao et al.</t>
        </is>
      </c>
      <c r="D24" s="3" t="inlineStr">
        <is>
          <t>CVPR</t>
        </is>
      </c>
      <c r="E24" s="3" t="inlineStr">
        <is>
          <t>2024-06</t>
        </is>
      </c>
      <c r="F24" s="3" t="inlineStr">
        <is>
          <t>Preprint</t>
        </is>
      </c>
      <c r="G24" s="3" t="n">
        <v>54.3</v>
      </c>
      <c r="H24" s="3" t="inlineStr">
        <is>
          <t>AP=54.3</t>
        </is>
      </c>
      <c r="I24" s="3" t="n"/>
      <c r="J24" s="3" t="n"/>
      <c r="K24" s="3" t="inlineStr">
        <is>
          <t>✅ 已驗證 (D-FINE Table 1, COCO val2017)：RT-DETR-R101 54.3% AP, 13.61ms [Real-Time OD]</t>
        </is>
      </c>
      <c r="L24" s="6" t="inlineStr">
        <is>
          <t>https://arxiv.org/abs/2304.08069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D-FINE-L</t>
        </is>
      </c>
      <c r="C25" s="3" t="inlineStr">
        <is>
          <t>Peng et al.</t>
        </is>
      </c>
      <c r="D25" s="3" t="inlineStr">
        <is>
          <t>ICLR</t>
        </is>
      </c>
      <c r="E25" s="3" t="inlineStr">
        <is>
          <t>2025-04</t>
        </is>
      </c>
      <c r="F25" s="3" t="inlineStr">
        <is>
          <t>Preprint</t>
        </is>
      </c>
      <c r="G25" s="3" t="n">
        <v>54</v>
      </c>
      <c r="H25" s="3" t="inlineStr">
        <is>
          <t>AP=54.0</t>
        </is>
      </c>
      <c r="I25" s="3" t="n"/>
      <c r="J25" s="3" t="n"/>
      <c r="K25" s="3" t="inlineStr">
        <is>
          <t>✅ 已驗證 (D-FINE Table 1, COCO val2017)：D-FINE-L 54.0% AP, 8.07ms latency [Real-Time OD end-to-end]</t>
        </is>
      </c>
      <c r="L25" s="6" t="inlineStr">
        <is>
          <t>https://arxiv.org/abs/2410.13842</t>
        </is>
      </c>
      <c r="M25" s="6" t="inlineStr">
        <is>
          <t>https://github.com/open-mmlab/mmdetection</t>
        </is>
      </c>
    </row>
    <row r="26">
      <c r="A26" s="3" t="inlineStr">
        <is>
          <t>Real-Time OD</t>
        </is>
      </c>
      <c r="B26" s="3" t="inlineStr">
        <is>
          <t>RTMDet-X</t>
        </is>
      </c>
      <c r="C26" s="3" t="inlineStr">
        <is>
          <t>Lyu et al.</t>
        </is>
      </c>
      <c r="D26" s="3" t="inlineStr">
        <is>
          <t>arXiv</t>
        </is>
      </c>
      <c r="E26" s="3" t="inlineStr">
        <is>
          <t>2022-12</t>
        </is>
      </c>
      <c r="F26" s="3" t="inlineStr">
        <is>
          <t>Preprint</t>
        </is>
      </c>
      <c r="G26" s="3" t="n">
        <v>52.8</v>
      </c>
      <c r="H26" s="3" t="inlineStr">
        <is>
          <t>AP=52.8</t>
        </is>
      </c>
      <c r="I26" s="3" t="n"/>
      <c r="J26" s="3" t="n"/>
      <c r="K26" s="3" t="inlineStr">
        <is>
          <t>✅ 已驗證 (D-FINE Table 1, COCO val2017)：RTMDet-X 52.8% AP, 21.59ms [Real-Time OD]</t>
        </is>
      </c>
      <c r="L26" s="6" t="inlineStr">
        <is>
          <t>https://arxiv.org/abs/2212.07784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>
        <v>52.8</v>
      </c>
      <c r="H27" s="3" t="inlineStr">
        <is>
          <t>AP=52.8</t>
        </is>
      </c>
      <c r="I27" s="3" t="n"/>
      <c r="J27" s="3" t="n"/>
      <c r="K27" s="3" t="inlineStr">
        <is>
          <t>✅ 已驗證 (D-FINE Table 1, COCO val2017)：YOLOv6-L 52.8% AP, 9.04ms [Real-Time OD]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Grounding DINO</t>
        </is>
      </c>
      <c r="C28" s="3" t="inlineStr">
        <is>
          <t>Liu et al.</t>
        </is>
      </c>
      <c r="D28" s="3" t="inlineStr">
        <is>
          <t>ECCV</t>
        </is>
      </c>
      <c r="E28" s="3" t="inlineStr">
        <is>
          <t>2024-10</t>
        </is>
      </c>
      <c r="F28" s="3" t="inlineStr">
        <is>
          <t>Preprint</t>
        </is>
      </c>
      <c r="G28" s="3" t="n">
        <v>52.5</v>
      </c>
      <c r="H28" s="3" t="inlineStr">
        <is>
          <t>AP=52.5</t>
        </is>
      </c>
      <c r="I28" s="3" t="n"/>
      <c r="J28" s="3" t="n"/>
      <c r="K28" s="3" t="inlineStr">
        <is>
          <t>✅ 已驗證 (Grounding DINO ECCV24)：52.5 AP zero-shot COCO transfer [Open-set OD]</t>
        </is>
      </c>
      <c r="L28" s="6" t="inlineStr">
        <is>
          <t>https://arxiv.org/abs/2303.05499</t>
        </is>
      </c>
      <c r="M28" s="6" t="inlineStr">
        <is>
          <t>https://github.com/amirbar/DETReg</t>
        </is>
      </c>
    </row>
    <row r="29">
      <c r="A29" s="3" t="inlineStr">
        <is>
          <t>Few-Shot OD</t>
        </is>
      </c>
      <c r="B29" s="3" t="inlineStr">
        <is>
          <t>UniFS (UniDetector)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>
        <v>49.3</v>
      </c>
      <c r="H29" s="3" t="inlineStr">
        <is>
          <t>AP=49.3</t>
        </is>
      </c>
      <c r="I29" s="3" t="n"/>
      <c r="J29" s="3" t="n"/>
      <c r="K29" s="3" t="inlineStr">
        <is>
          <t>✅ 已驗證 (UniDetector CVPR23 Table 2)：UniDetector ResNet-50 1× → 49.3 AP COCO val [Universal OD]</t>
        </is>
      </c>
      <c r="L29" s="6" t="inlineStr">
        <is>
          <t>https://arxiv.org/abs/2303.11749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Deformable DETR (R50)</t>
        </is>
      </c>
      <c r="C30" s="3" t="inlineStr">
        <is>
          <t>Zhu et al.</t>
        </is>
      </c>
      <c r="D30" s="3" t="inlineStr">
        <is>
          <t>ICLR</t>
        </is>
      </c>
      <c r="E30" s="3" t="inlineStr">
        <is>
          <t>2021-05</t>
        </is>
      </c>
      <c r="F30" s="3" t="inlineStr">
        <is>
          <t>Preprint</t>
        </is>
      </c>
      <c r="G30" s="3" t="n">
        <v>46.9</v>
      </c>
      <c r="H30" s="3" t="inlineStr">
        <is>
          <t>AP=46.9</t>
        </is>
      </c>
      <c r="I30" s="3" t="n"/>
      <c r="J30" s="3" t="n"/>
      <c r="K30" s="3" t="inlineStr">
        <is>
          <t>✅ 已驗證 (Deformable DETR ICLR21 Table 3)：R50 backbone, 46.9% AP on COCO 2017 test-dev [DETR-based OD]</t>
        </is>
      </c>
      <c r="L30" s="6" t="inlineStr">
        <is>
          <t>https://arxiv.org/abs/2010.04159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DAB-DETR</t>
        </is>
      </c>
      <c r="C31" s="3" t="inlineStr">
        <is>
          <t>Liu et al.</t>
        </is>
      </c>
      <c r="D31" s="3" t="inlineStr">
        <is>
          <t>ICLR</t>
        </is>
      </c>
      <c r="E31" s="3" t="inlineStr">
        <is>
          <t>2022-03</t>
        </is>
      </c>
      <c r="F31" s="3" t="inlineStr">
        <is>
          <t>Preprint</t>
        </is>
      </c>
      <c r="G31" s="3" t="n">
        <v>46.8</v>
      </c>
      <c r="H31" s="3" t="inlineStr">
        <is>
          <t>AP=46.8</t>
        </is>
      </c>
      <c r="I31" s="3" t="n"/>
      <c r="J31" s="3" t="n"/>
      <c r="K31" s="3" t="inlineStr">
        <is>
          <t>✅ 已驗證 (DAB-DETR ICLR22 Table 2)：DAB-Deformable-DETR-R50 46.8% AP COCO val [DETR variant]</t>
        </is>
      </c>
      <c r="L31" s="6" t="inlineStr">
        <is>
          <t>https://arxiv.org/abs/2201.12329</t>
        </is>
      </c>
      <c r="M31" s="6" t="inlineStr">
        <is>
          <t>https://github.com/fundamentalvision/Deformable-DETR</t>
        </is>
      </c>
    </row>
    <row r="32">
      <c r="A32" s="3" t="inlineStr">
        <is>
          <t>Few-Shot OD</t>
        </is>
      </c>
      <c r="B32" s="3" t="inlineStr">
        <is>
          <t>DETReg</t>
        </is>
      </c>
      <c r="C32" s="3" t="inlineStr">
        <is>
          <t>Bar et al.</t>
        </is>
      </c>
      <c r="D32" s="3" t="inlineStr">
        <is>
          <t>CVPR</t>
        </is>
      </c>
      <c r="E32" s="3" t="inlineStr">
        <is>
          <t>2022-06</t>
        </is>
      </c>
      <c r="F32" s="3" t="inlineStr">
        <is>
          <t>Preprint</t>
        </is>
      </c>
      <c r="G32" s="3" t="n">
        <v>45.5</v>
      </c>
      <c r="H32" s="3" t="inlineStr">
        <is>
          <t>AP=45.5</t>
        </is>
      </c>
      <c r="I32" s="3" t="n"/>
      <c r="J32" s="3" t="n"/>
      <c r="K32" s="3" t="inlineStr">
        <is>
          <t>✅ 已驗證 (DETReg CVPR22 Table 1)：DETReg 45.5 AP COCO val under semi-supervised fine-tuning [Self-supervised pre-train OD]</t>
        </is>
      </c>
      <c r="L32" s="6" t="inlineStr">
        <is>
          <t>https://arxiv.org/abs/2106.04550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Brain-Inspired Spiking Neural Networks for Energy-Efficient</t>
        </is>
      </c>
      <c r="C33" s="3" t="inlineStr">
        <is>
          <t>—</t>
        </is>
      </c>
      <c r="D33" s="3" t="inlineStr">
        <is>
          <t>CVPR 2025</t>
        </is>
      </c>
      <c r="E33" s="3" t="inlineStr">
        <is>
          <t>2025-06</t>
        </is>
      </c>
      <c r="F33" s="3" t="inlineStr">
        <is>
          <t>Preprint</t>
        </is>
      </c>
      <c r="G33" s="3" t="n">
        <v>45.3</v>
      </c>
      <c r="H33" s="3" t="inlineStr">
        <is>
          <t>AP=45.3 | AP50=62.0</t>
        </is>
      </c>
      <c r="I33" s="3" t="n"/>
      <c r="J33" s="3" t="n"/>
      <c r="K33" s="3" t="inlineStr">
        <is>
          <t>✅ verified (Brain-Inspired Spiking NN CVPR25 CVF PDF): COCO val mAP@0.5:0.95=45.3 / mAP@50=62.0。註：脈衝神經網路 (SNN) 節能設定，與標準 ANN 偵測器非完全可比</t>
        </is>
      </c>
      <c r="L33" s="6" t="inlineStr">
        <is>
          <t>https://openaccess.thecvf.com/content/CVPR2025/html/Li_Brain-Inspired_Spiking_Neural_Networks_for_Energy-Efficient_Object_Detection_CVPR_2025_paper.html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Sparse R-CNN (R101)</t>
        </is>
      </c>
      <c r="C34" s="3" t="inlineStr">
        <is>
          <t>Sun et al.</t>
        </is>
      </c>
      <c r="D34" s="3" t="inlineStr">
        <is>
          <t>CVPR</t>
        </is>
      </c>
      <c r="E34" s="3" t="inlineStr">
        <is>
          <t>2021-01</t>
        </is>
      </c>
      <c r="F34" s="3" t="inlineStr">
        <is>
          <t>Preprint</t>
        </is>
      </c>
      <c r="G34" s="3" t="n">
        <v>44.1</v>
      </c>
      <c r="H34" s="3" t="inlineStr">
        <is>
          <t>AP=44.1</t>
        </is>
      </c>
      <c r="I34" s="3" t="n"/>
      <c r="J34" s="3" t="n"/>
      <c r="K34" s="3" t="inlineStr">
        <is>
          <t>✅ 已驗證 (Sparse R-CNN CVPR21 Table 1)：R101-FPN 44.1% AP val (46.4 with 300 proposals) [Sparse Query OD]</t>
        </is>
      </c>
      <c r="L34" s="6" t="inlineStr">
        <is>
          <t>https://arxiv.org/abs/2011.12450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DETR (R101)</t>
        </is>
      </c>
      <c r="C35" s="3" t="inlineStr">
        <is>
          <t>Carion et al.</t>
        </is>
      </c>
      <c r="D35" s="3" t="inlineStr">
        <is>
          <t>ECCV</t>
        </is>
      </c>
      <c r="E35" s="3" t="inlineStr">
        <is>
          <t>2020-09</t>
        </is>
      </c>
      <c r="F35" s="3" t="inlineStr">
        <is>
          <t>Preprint</t>
        </is>
      </c>
      <c r="G35" s="3" t="n">
        <v>43.5</v>
      </c>
      <c r="H35" s="3" t="inlineStr">
        <is>
          <t>AP=43.5</t>
        </is>
      </c>
      <c r="I35" s="3" t="n"/>
      <c r="J35" s="3" t="n"/>
      <c r="K35" s="3" t="inlineStr">
        <is>
          <t>✅ 已驗證 (DETR ECCV20 Table 1)：DETR-R101 43.5% AP on COCO 2017 validation [DETR-based]</t>
        </is>
      </c>
      <c r="L35" s="6" t="inlineStr">
        <is>
          <t>https://arxiv.org/abs/2005.12872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DN-DETR</t>
        </is>
      </c>
      <c r="C36" s="3" t="inlineStr">
        <is>
          <t>Li et al.</t>
        </is>
      </c>
      <c r="D36" s="3" t="inlineStr">
        <is>
          <t>CVPR</t>
        </is>
      </c>
      <c r="E36" s="3" t="inlineStr">
        <is>
          <t>2022-03</t>
        </is>
      </c>
      <c r="F36" s="3" t="inlineStr">
        <is>
          <t>Preprint</t>
        </is>
      </c>
      <c r="G36" s="3" t="n">
        <v>43.4</v>
      </c>
      <c r="H36" s="3" t="inlineStr">
        <is>
          <t>AP=43.4</t>
        </is>
      </c>
      <c r="I36" s="3" t="n"/>
      <c r="J36" s="3" t="n"/>
      <c r="K36" s="3" t="inlineStr">
        <is>
          <t>✅ 已驗證 (DN-DETR CVPR22 Table 1)：DN-Deformable-DETR-R50 43.4% AP COCO val [DETR denoising training]</t>
        </is>
      </c>
      <c r="L36" s="6" t="inlineStr">
        <is>
          <t>https://arxiv.org/abs/2203.01305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CenterNet</t>
        </is>
      </c>
      <c r="C37" s="3" t="inlineStr">
        <is>
          <t>Zhou et al.</t>
        </is>
      </c>
      <c r="D37" s="3" t="inlineStr">
        <is>
          <t>arXiv</t>
        </is>
      </c>
      <c r="E37" s="3" t="inlineStr">
        <is>
          <t>2019-04</t>
        </is>
      </c>
      <c r="F37" s="3" t="inlineStr">
        <is>
          <t>Preprint</t>
        </is>
      </c>
      <c r="G37" s="3" t="n">
        <v>42.1</v>
      </c>
      <c r="H37" s="3" t="inlineStr">
        <is>
          <t>AP=42.1</t>
        </is>
      </c>
      <c r="I37" s="3" t="n"/>
      <c r="J37" s="3" t="n"/>
      <c r="K37" s="3" t="inlineStr">
        <is>
          <t>✅ 已驗證 (CenterNet ICCV19 Table 2)：Hourglass-104 42.1% AP test-dev/val [Anchor-free OD]</t>
        </is>
      </c>
      <c r="L37" s="6" t="inlineStr">
        <is>
          <t>https://arxiv.org/abs/1904.07850</t>
        </is>
      </c>
      <c r="M37" s="6" t="inlineStr">
        <is>
          <t>N/A</t>
        </is>
      </c>
    </row>
    <row r="38">
      <c r="A38" t="inlineStr">
        <is>
          <t>Real-Time OD</t>
        </is>
      </c>
      <c r="B38" t="inlineStr">
        <is>
          <t>YOLO-ULM-X</t>
        </is>
      </c>
      <c r="F38" t="inlineStr">
        <is>
          <t>✅ Standard verified</t>
        </is>
      </c>
      <c r="G38" t="n">
        <v>55.6</v>
      </c>
      <c r="H38" t="inlineStr">
        <is>
          <t>AP=55.6 | AP50=72.8 | AP75=60.8</t>
        </is>
      </c>
      <c r="K38" t="inlineStr">
        <is>
          <t>✅ Standard verified (WACV25 Table1, visual read): real-time COCO val detector, YOLO-ULM-X AP=55.6 (was mis-grouped as oriented)</t>
        </is>
      </c>
      <c r="L38" t="inlineStr">
        <is>
          <t>https://openaccess.thecvf.com/content/CVPR2026/html/Han_YOLO-ULM_Ultra-Lightweight_Models_for_Real-Time_Object_Detection_CVPR_2026_paper.html</t>
        </is>
      </c>
    </row>
    <row r="39">
      <c r="A39" t="inlineStr">
        <is>
          <t>DETR-based</t>
        </is>
      </c>
      <c r="B39" t="inlineStr">
        <is>
          <t>PaQ-DETR (Deformable-DETR)</t>
        </is>
      </c>
      <c r="F39" t="inlineStr">
        <is>
          <t>✅ Standard verified</t>
        </is>
      </c>
      <c r="G39" t="n">
        <v>48.4</v>
      </c>
      <c r="H39" t="inlineStr">
        <is>
          <t>AP=48.4 | AP50=66.9 | AP75=52.6 | APS=32.2 | APM=52.2 | APL=63.1</t>
        </is>
      </c>
      <c r="K39" t="inlineStr">
        <is>
          <t>✅ Standard verified (Table, text header mAP/AP50..): COCO val, PaQ-Deformable-DETR R50 12ep AP=48.4</t>
        </is>
      </c>
      <c r="L39" t="inlineStr">
        <is>
          <t>https://openaccess.thecvf.com/content/CVPR2026/html/Kang_PaQ-DETR_Learning_Pattern_and_Quality-Aware_Dynamic_Queries_for_Object_Detection_CVPR_2026_paper.html</t>
        </is>
      </c>
    </row>
    <row r="40">
      <c r="A40" t="inlineStr">
        <is>
          <t>Real-Time OD</t>
        </is>
      </c>
      <c r="B40" t="inlineStr">
        <is>
          <t>YOLOv8x</t>
        </is>
      </c>
      <c r="F40" t="inlineStr">
        <is>
          <t>✅ Cross-paper verified</t>
        </is>
      </c>
      <c r="G40" t="n">
        <v>53.9</v>
      </c>
      <c r="H40" t="inlineStr">
        <is>
          <t>AP=53.9 (COCO val, 640)</t>
        </is>
      </c>
      <c r="K40" t="inlineStr">
        <is>
          <t>✅ Cross-paper verified (official Ultralytics YOLOv8 release/docs): COCO val AP=53.9 (no formal paper)</t>
        </is>
      </c>
      <c r="L40" t="inlineStr">
        <is>
          <t>https://docs.ultralytics.com/models/yolov8/</t>
        </is>
      </c>
    </row>
    <row r="41">
      <c r="A41" t="inlineStr">
        <is>
          <t>Real-Time OD</t>
        </is>
      </c>
      <c r="B41" t="inlineStr">
        <is>
          <t>YOLOv5-x</t>
        </is>
      </c>
      <c r="F41" t="inlineStr">
        <is>
          <t>✅ Cross-paper verified</t>
        </is>
      </c>
      <c r="G41" t="n">
        <v>50.7</v>
      </c>
      <c r="H41" t="inlineStr">
        <is>
          <t>AP=50.7 (COCO val, 640)</t>
        </is>
      </c>
      <c r="K41" t="inlineStr">
        <is>
          <t>✅ Cross-paper verified (official Ultralytics YOLOv5 release/docs): COCO val AP=50.7 (no formal paper)</t>
        </is>
      </c>
      <c r="L41" t="inlineStr">
        <is>
          <t>https://github.com/ultralytics/yolov5</t>
        </is>
      </c>
    </row>
    <row r="42">
      <c r="A42" t="inlineStr">
        <is>
          <t>Real-Time OD</t>
        </is>
      </c>
      <c r="B42" t="inlineStr">
        <is>
          <t>YOLO-NAS-L</t>
        </is>
      </c>
      <c r="F42" t="inlineStr">
        <is>
          <t>✅ Cross-paper verified</t>
        </is>
      </c>
      <c r="G42" t="n">
        <v>52.2</v>
      </c>
      <c r="H42" t="inlineStr">
        <is>
          <t>AP=52.2 (COCO val, mAP@0.5:0.95)</t>
        </is>
      </c>
      <c r="K42" t="inlineStr">
        <is>
          <t>✅ Cross-paper verified (official Deci YOLO-NAS release): COCO val AP=52.2 (no formal paper)</t>
        </is>
      </c>
      <c r="L42" t="inlineStr">
        <is>
          <t>https://github.com/Deci-AI/super-gradients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M13" r:id="rId20"/>
    <hyperlink xmlns:r="http://schemas.openxmlformats.org/officeDocument/2006/relationships" ref="L15" r:id="rId21"/>
    <hyperlink xmlns:r="http://schemas.openxmlformats.org/officeDocument/2006/relationships" ref="L16" r:id="rId22"/>
    <hyperlink xmlns:r="http://schemas.openxmlformats.org/officeDocument/2006/relationships" ref="L17" r:id="rId23"/>
    <hyperlink xmlns:r="http://schemas.openxmlformats.org/officeDocument/2006/relationships" ref="L19" r:id="rId24"/>
    <hyperlink xmlns:r="http://schemas.openxmlformats.org/officeDocument/2006/relationships" ref="L38" r:id="rId25"/>
    <hyperlink xmlns:r="http://schemas.openxmlformats.org/officeDocument/2006/relationships" ref="L39" r:id="rId26"/>
    <hyperlink xmlns:r="http://schemas.openxmlformats.org/officeDocument/2006/relationships" ref="L40" r:id="rId27"/>
    <hyperlink xmlns:r="http://schemas.openxmlformats.org/officeDocument/2006/relationships" ref="L41" r:id="rId28"/>
    <hyperlink xmlns:r="http://schemas.openxmlformats.org/officeDocument/2006/relationships" ref="L42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n">
        <v>65.90000000000001</v>
      </c>
      <c r="H2" s="2" t="inlineStr">
        <is>
          <t>AP=65.9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✅ verified (Co-DETR ICCV23, arxiv 2211.12860): 65.9 box AP COCO val2017 (ViT-L)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n">
        <v>65</v>
      </c>
      <c r="H3" s="2" t="inlineStr">
        <is>
          <t>AP=65.0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✅ verified (InternImage CVPR23, arxiv 2211.05778): 65.0 box AP COCO val2017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n">
        <v>64.09999999999999</v>
      </c>
      <c r="H4" s="2" t="inlineStr">
        <is>
          <t>AP=64.1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✅ verified (EVA-02 arxiv 2303.11331): 64.1 box AP COCO val2017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n">
        <v>63.5</v>
      </c>
      <c r="H5" s="2" t="inlineStr">
        <is>
          <t>AP=63.5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(Relation-DETR ECCV24, arxiv 2407.11699): 63.5 box AP COCO val (FocalNet-L)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n">
        <v>63.2</v>
      </c>
      <c r="H6" s="2" t="inlineStr">
        <is>
          <t>AP=63.2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✅ verified (DINO ICLR23, arxiv 2203.03605): 63.2 box AP COCO val2017 (Swin-L)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General OD</t>
        </is>
      </c>
      <c r="B7" s="3" t="inlineStr">
        <is>
          <t>ViTDet (ViT-H, MAE)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2022-09</t>
        </is>
      </c>
      <c r="F7" s="3" t="inlineStr">
        <is>
          <t>Preprint</t>
        </is>
      </c>
      <c r="G7" s="3" t="n">
        <v>61.3</v>
      </c>
      <c r="H7" s="3" t="inlineStr">
        <is>
          <t>AP=61.3</t>
        </is>
      </c>
      <c r="I7" s="3" t="n"/>
      <c r="J7" s="3" t="n"/>
      <c r="K7" s="3" t="inlineStr">
        <is>
          <t>✅ 已驗證 (ViTDet ECCV22 abstract)：61.3 box AP on COCO with plain ViT-H, MAE pre-training [Plain ViT OD]</t>
        </is>
      </c>
      <c r="L7" s="6" t="inlineStr">
        <is>
          <t>https://arxiv.org/abs/2203.16527</t>
        </is>
      </c>
      <c r="M7" s="6" t="inlineStr">
        <is>
          <t>https://github.com/roboflow/rf-detr</t>
        </is>
      </c>
    </row>
    <row r="8" ht="48" customHeight="1">
      <c r="A8" s="3" t="inlineStr">
        <is>
          <t>General OD</t>
        </is>
      </c>
      <c r="B8" s="3" t="inlineStr">
        <is>
          <t>Mr. DETR</t>
        </is>
      </c>
      <c r="C8" s="3" t="inlineStr">
        <is>
          <t>—</t>
        </is>
      </c>
      <c r="D8" s="3" t="inlineStr">
        <is>
          <t>CVPR 2025</t>
        </is>
      </c>
      <c r="E8" s="3" t="inlineStr">
        <is>
          <t>2025-06</t>
        </is>
      </c>
      <c r="F8" s="3" t="inlineStr">
        <is>
          <t>Preprint</t>
        </is>
      </c>
      <c r="G8" s="3" t="n">
        <v>58.4</v>
      </c>
      <c r="H8" s="3" t="inlineStr">
        <is>
          <t>AP=58.4 | AP50=76.3 | AP75=63.9 | APS=40.8 | APM=62.8 | APL=75.3</t>
        </is>
      </c>
      <c r="I8" s="3" t="n"/>
      <c r="J8" s="3" t="n"/>
      <c r="K8" s="3" t="inlineStr">
        <is>
          <t>✅ verified (Mr. DETR CVPR25 CVF Table (Swin-L/DINO, COCO val)): AP=58.4 | AP50=76.3 | AP75=63.9 | APS=40.8 | APM=62.8 | APL=75.3</t>
        </is>
      </c>
      <c r="L8" s="6" t="inlineStr">
        <is>
          <t>https://openaccess.thecvf.com/content/CVPR2025/html/Zhang_Mr._DETR_Instructive_Multi-Route_Training_for_Detection_Transformers_CVPR_2025_paper.html</t>
        </is>
      </c>
      <c r="M8" s="6" t="inlineStr">
        <is>
          <t>https://github.com/RT-DETRs/RT-DETRv4</t>
        </is>
      </c>
    </row>
    <row r="9" ht="48" customHeight="1">
      <c r="A9" s="3" t="inlineStr">
        <is>
          <t>General OD</t>
        </is>
      </c>
      <c r="B9" s="3" t="inlineStr">
        <is>
          <t>MI-DETR</t>
        </is>
      </c>
      <c r="C9" s="3" t="inlineStr">
        <is>
          <t>—</t>
        </is>
      </c>
      <c r="D9" s="3" t="inlineStr">
        <is>
          <t>CVPR 2025</t>
        </is>
      </c>
      <c r="E9" s="3" t="inlineStr">
        <is>
          <t>2025-06</t>
        </is>
      </c>
      <c r="F9" s="3" t="inlineStr">
        <is>
          <t>Preprint</t>
        </is>
      </c>
      <c r="G9" s="3" t="n">
        <v>58.2</v>
      </c>
      <c r="H9" s="3" t="inlineStr">
        <is>
          <t>AP=58.2 | AP50=76.5 | AP75=63.4 | APS=42.5 | APM=62.8 | APL=74.6</t>
        </is>
      </c>
      <c r="I9" s="3" t="n"/>
      <c r="J9" s="3" t="n"/>
      <c r="K9" s="3" t="inlineStr">
        <is>
          <t>✅ verified (MI-DETR CVPR25 CVF Table (Swin-L, COCO val)): AP=58.2 | AP50=76.5 | AP75=63.4 | APS=42.5 | APM=62.8 | APL=74.6</t>
        </is>
      </c>
      <c r="L9" s="6" t="inlineStr">
        <is>
          <t>https://openaccess.thecvf.com/content/CVPR2025/html/Nan_MI-DETR_An_Object_Detection_Model_with_Multi-time_Inquiries_Mechanism_CVPR_2025_paper.html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General OD</t>
        </is>
      </c>
      <c r="B10" s="3" t="inlineStr">
        <is>
          <t>Swin-L Cascade Mask R-CNN</t>
        </is>
      </c>
      <c r="C10" s="3" t="inlineStr">
        <is>
          <t>Liu et al.</t>
        </is>
      </c>
      <c r="D10" s="3" t="inlineStr">
        <is>
          <t>ICCV</t>
        </is>
      </c>
      <c r="E10" s="3" t="inlineStr">
        <is>
          <t>2021-08</t>
        </is>
      </c>
      <c r="F10" s="3" t="inlineStr">
        <is>
          <t>Preprint</t>
        </is>
      </c>
      <c r="G10" s="3" t="n">
        <v>58</v>
      </c>
      <c r="H10" s="3" t="inlineStr">
        <is>
          <t>AP=58.0</t>
        </is>
      </c>
      <c r="I10" s="3" t="n"/>
      <c r="J10" s="3" t="n"/>
      <c r="K10" s="3" t="inlineStr">
        <is>
          <t>✅ verified (Swin Transformer ICCV21 arxiv 2103.14030 Table: Swin-L HTC++ multi-scale): COCO val box AP 58.0 (test-dev 58.7)。完整 6 指標分解未於論文表列</t>
        </is>
      </c>
      <c r="L10" s="6" t="inlineStr">
        <is>
          <t>https://arxiv.org/abs/2103.14030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DEIMv2 (DINOv3)</t>
        </is>
      </c>
      <c r="C11" s="3" t="inlineStr">
        <is>
          <t>Huang et al.</t>
        </is>
      </c>
      <c r="D11" s="3" t="inlineStr">
        <is>
          <t>arXiv</t>
        </is>
      </c>
      <c r="E11" s="3" t="inlineStr">
        <is>
          <t>2025-09</t>
        </is>
      </c>
      <c r="F11" s="3" t="inlineStr">
        <is>
          <t>Preprint</t>
        </is>
      </c>
      <c r="G11" s="3" t="n">
        <v>57.8</v>
      </c>
      <c r="H11" s="3" t="inlineStr">
        <is>
          <t>AP=57.8</t>
        </is>
      </c>
      <c r="I11" s="3" t="n"/>
      <c r="J11" s="3" t="n"/>
      <c r="K11" s="3" t="inlineStr">
        <is>
          <t>✅ 已驗證 (DEIMv2 arXiv25 Table 3, COCO val2017)：DEIMv2-X 57.8% AP, DINOv3 backbone [End-to-end RT-OD]</t>
        </is>
      </c>
      <c r="L11" s="6" t="inlineStr">
        <is>
          <t>https://arxiv.org/abs/2509.20787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RT-DETRv4 (X)</t>
        </is>
      </c>
      <c r="C12" s="3" t="inlineStr">
        <is>
          <t>RT-DETRs</t>
        </is>
      </c>
      <c r="D12" s="3" t="inlineStr">
        <is>
          <t>arXiv</t>
        </is>
      </c>
      <c r="E12" s="3" t="inlineStr">
        <is>
          <t>2025-10</t>
        </is>
      </c>
      <c r="F12" s="3" t="inlineStr">
        <is>
          <t>Preprint</t>
        </is>
      </c>
      <c r="G12" s="3" t="n">
        <v>57</v>
      </c>
      <c r="H12" s="3" t="inlineStr">
        <is>
          <t>AP=57.0 | AP50=74.6 | AP75=62.1 | APS=39.5 | APM=61.9 | APL=74.8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✅ verified (RT-DETRv4 arxiv 2510.25257 Table (COCO val)): full COCO val breakdown AP=57.0 | AP50=74.6 | AP75=62.1 | APS=39.5 | APM=61.9 | APL=74.8</t>
        </is>
      </c>
      <c r="L12" s="6" t="inlineStr">
        <is>
          <t>https://arxiv.org/abs/2510.25257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RF-DETR (Large)</t>
        </is>
      </c>
      <c r="C13" s="3" t="inlineStr">
        <is>
          <t>Roboflow</t>
        </is>
      </c>
      <c r="D13" s="3" t="inlineStr">
        <is>
          <t>ICLR</t>
        </is>
      </c>
      <c r="E13" s="3" t="inlineStr">
        <is>
          <t>2026-04</t>
        </is>
      </c>
      <c r="F13" s="3" t="inlineStr">
        <is>
          <t>Accepted</t>
        </is>
      </c>
      <c r="G13" s="3" t="n">
        <v>56.5</v>
      </c>
      <c r="H13" s="3" t="inlineStr">
        <is>
          <t>AP=56.5 | AP50=75.1 | AP75=61.3 | APS=39.0 | APM=61.0 | APL=73.9</t>
        </is>
      </c>
      <c r="I13" s="3" t="inlineStr">
        <is>
          <t>T4 25</t>
        </is>
      </c>
      <c r="J13" s="3" t="inlineStr">
        <is>
          <t>N/A</t>
        </is>
      </c>
      <c r="K13" s="3" t="inlineStr">
        <is>
          <t>✅ verified+corrected (RF-DETR arxiv 2511.09554 Table, COCO val): RF-DETR-Large AP=56.5 (sheet had 60.5 which matches no RF-DETR variant: L=56.5/XL=58.6/2XL=60.1). AP=56.5 | AP50=75.1 | AP75=61.3 | APS=39.0 | APM=61.0 | APL=73.9</t>
        </is>
      </c>
      <c r="L13" s="6" t="inlineStr">
        <is>
          <t>https://arxiv.org/abs/2511.09554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DEIM-D-FINE-X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Published</t>
        </is>
      </c>
      <c r="G14" s="3" t="n">
        <v>56.5</v>
      </c>
      <c r="H14" s="3" t="inlineStr">
        <is>
          <t>AP=56.5 | AP50=74.0 | AP75=61.5 | APS=38.8 | APM=61.4 | APL=74.2</t>
        </is>
      </c>
      <c r="I14" s="3" t="inlineStr">
        <is>
          <t>T4 78</t>
        </is>
      </c>
      <c r="J14" s="3" t="inlineStr">
        <is>
          <t>N/A</t>
        </is>
      </c>
      <c r="K14" s="3" t="inlineStr">
        <is>
          <t>✅ verified (DEIM arxiv 2412.04234 Table (COCO val)): full COCO val breakdown AP=56.5 | AP50=74.0 | AP75=61.5 | APS=38.8 | APM=61.4 | APL=74.2</t>
        </is>
      </c>
      <c r="L14" s="6" t="inlineStr">
        <is>
          <t>https://arxiv.org/abs/2412.04234</t>
        </is>
      </c>
      <c r="M14" s="6" t="inlineStr">
        <is>
          <t>https://github.com/roboflow/rf-detr</t>
        </is>
      </c>
    </row>
    <row r="15">
      <c r="A15" s="3" t="inlineStr">
        <is>
          <t>General OD</t>
        </is>
      </c>
      <c r="B15" s="3" t="inlineStr">
        <is>
          <t>DEIM</t>
        </is>
      </c>
      <c r="C15" s="3" t="inlineStr">
        <is>
          <t>—</t>
        </is>
      </c>
      <c r="D15" s="3" t="inlineStr">
        <is>
          <t>CVPR 2025</t>
        </is>
      </c>
      <c r="E15" s="3" t="inlineStr">
        <is>
          <t>2025-06</t>
        </is>
      </c>
      <c r="F15" s="3" t="inlineStr">
        <is>
          <t>Preprint</t>
        </is>
      </c>
      <c r="G15" s="3" t="n">
        <v>56.5</v>
      </c>
      <c r="H15" s="3" t="inlineStr">
        <is>
          <t>AP=56.5 | AP50=74.0 | AP75=61.5 | APS=38.8 | APM=61.4 | APL=74.2</t>
        </is>
      </c>
      <c r="I15" s="3" t="n"/>
      <c r="J15" s="3" t="n"/>
      <c r="K15" s="3" t="inlineStr">
        <is>
          <t>✅ verified (DEIM CVPR25 arxiv 2412.04234 Table, DEIM-X best, COCO val): 56.5/74.0/61.5/38.8/61.4/74.2</t>
        </is>
      </c>
      <c r="L15" s="6" t="inlineStr">
        <is>
          <t>https://openaccess.thecvf.com/content/CVPR2025/html/Huang_DEIM_DETR_with_Improved_Matching_for_Fast_Convergence_CVPR_2025_paper.html</t>
        </is>
      </c>
      <c r="M15" s="6" t="inlineStr">
        <is>
          <t>https://github.com/Intellindust-AI-Lab/DEIMv2</t>
        </is>
      </c>
    </row>
    <row r="16">
      <c r="A16" s="3" t="inlineStr">
        <is>
          <t>General OD</t>
        </is>
      </c>
      <c r="B16" s="3" t="inlineStr">
        <is>
          <t>DINO-X</t>
        </is>
      </c>
      <c r="C16" s="3" t="inlineStr">
        <is>
          <t>IDEA Research</t>
        </is>
      </c>
      <c r="D16" s="3" t="inlineStr">
        <is>
          <t>arXiv</t>
        </is>
      </c>
      <c r="E16" s="3" t="inlineStr">
        <is>
          <t>2024-11</t>
        </is>
      </c>
      <c r="F16" s="3" t="inlineStr">
        <is>
          <t>Preprint</t>
        </is>
      </c>
      <c r="G16" s="3" t="n">
        <v>56</v>
      </c>
      <c r="H16" s="3" t="inlineStr">
        <is>
          <t>AP=56.0</t>
        </is>
      </c>
      <c r="I16" s="3" t="n"/>
      <c r="J16" s="3" t="n"/>
      <c r="K16" s="3" t="inlineStr">
        <is>
          <t>✅ 已驗證 (DINO-X arXiv24 abstract)：DINO-X Pro 56.0% AP on COCO zero-shot transfer [Open-vocab Foundation Model]</t>
        </is>
      </c>
      <c r="L16" s="6" t="inlineStr">
        <is>
          <t>https://arxiv.org/abs/2411.14347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D-FINE-X</t>
        </is>
      </c>
      <c r="C17" s="3" t="inlineStr">
        <is>
          <t>Peng et al.</t>
        </is>
      </c>
      <c r="D17" s="3" t="inlineStr">
        <is>
          <t>ICLR</t>
        </is>
      </c>
      <c r="E17" s="3" t="inlineStr">
        <is>
          <t>2025-04</t>
        </is>
      </c>
      <c r="F17" s="3" t="inlineStr">
        <is>
          <t>Accepted</t>
        </is>
      </c>
      <c r="G17" s="3" t="n">
        <v>55.8</v>
      </c>
      <c r="H17" s="3" t="inlineStr">
        <is>
          <t>AP=55.8 | AP50=73.7 | AP75=60.2 | APS=37.3 | APM=60.5 | APL=73.4</t>
        </is>
      </c>
      <c r="I17" s="3" t="inlineStr">
        <is>
          <t>T4 78</t>
        </is>
      </c>
      <c r="J17" s="3" t="inlineStr">
        <is>
          <t>N/A</t>
        </is>
      </c>
      <c r="K17" s="3" t="inlineStr">
        <is>
          <t>✅ verified (D-FINE arxiv 2410.13842 Table (COCO val)): full COCO val breakdown AP=55.8 | AP50=73.7 | AP75=60.2 | APS=37.3 | APM=60.5 | APL=73.4</t>
        </is>
      </c>
      <c r="L17" s="6" t="inlineStr">
        <is>
          <t>https://arxiv.org/abs/2410.13842</t>
        </is>
      </c>
      <c r="M17" s="6" t="inlineStr">
        <is>
          <t>https://github.com/Intellindust-AI-Lab/DEIM</t>
        </is>
      </c>
    </row>
    <row r="18">
      <c r="A18" s="3" t="inlineStr">
        <is>
          <t>Real-Time OD</t>
        </is>
      </c>
      <c r="B18" s="3" t="inlineStr">
        <is>
          <t>YOLOv9-E</t>
        </is>
      </c>
      <c r="C18" s="3" t="inlineStr">
        <is>
          <t>Wang et al.</t>
        </is>
      </c>
      <c r="D18" s="3" t="inlineStr">
        <is>
          <t>ECCV</t>
        </is>
      </c>
      <c r="E18" s="3" t="inlineStr">
        <is>
          <t>2024-09</t>
        </is>
      </c>
      <c r="F18" s="3" t="inlineStr">
        <is>
          <t>Published</t>
        </is>
      </c>
      <c r="G18" s="3" t="n">
        <v>55.6</v>
      </c>
      <c r="H18" s="3" t="inlineStr">
        <is>
          <t>AP=55.6</t>
        </is>
      </c>
      <c r="I18" s="3" t="inlineStr">
        <is>
          <t>57</t>
        </is>
      </c>
      <c r="J18" s="3" t="inlineStr">
        <is>
          <t>57.3M</t>
        </is>
      </c>
      <c r="K18" s="3" t="inlineStr">
        <is>
          <t>✅ verified (YOLOv9 ECCV24, arxiv 2402.13616 Table 1): 55.6 box AP COCO val2017 (YOLOv9-E)</t>
        </is>
      </c>
      <c r="L18" s="6" t="inlineStr">
        <is>
          <t>https://arxiv.org/abs/2402.13616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YOLOv12-X</t>
        </is>
      </c>
      <c r="C19" s="3" t="inlineStr">
        <is>
          <t>Tian et al.</t>
        </is>
      </c>
      <c r="D19" s="3" t="inlineStr">
        <is>
          <t>NeurIPS</t>
        </is>
      </c>
      <c r="E19" s="3" t="inlineStr">
        <is>
          <t>2025-02</t>
        </is>
      </c>
      <c r="F19" s="3" t="inlineStr">
        <is>
          <t>Accepted</t>
        </is>
      </c>
      <c r="G19" s="3" t="n">
        <v>55.2</v>
      </c>
      <c r="H19" s="3" t="inlineStr">
        <is>
          <t>AP=55.2 | AP50=72.0 | AP75=60.2 | APS=39.6 | APM=60.7 | APL=70.9</t>
        </is>
      </c>
      <c r="I19" s="3" t="inlineStr">
        <is>
          <t>T4 ≈90</t>
        </is>
      </c>
      <c r="J19" s="3" t="inlineStr">
        <is>
          <t>59.1M</t>
        </is>
      </c>
      <c r="K19" s="3" t="inlineStr">
        <is>
          <t>✅ verified (YOLOv12 arxiv 2502.12524 Table (COCO val)): full COCO val breakdown AP=55.2 | AP50=72.0 | AP75=60.2 | APS=39.6 | APM=60.7 | APL=70.9</t>
        </is>
      </c>
      <c r="L19" s="6" t="inlineStr">
        <is>
          <t>https://arxiv.org/abs/2502.12524</t>
        </is>
      </c>
      <c r="M19" s="6" t="inlineStr">
        <is>
          <t>https://github.com/Peterande/D-FINE</t>
        </is>
      </c>
    </row>
    <row r="20">
      <c r="A20" s="3" t="inlineStr">
        <is>
          <t>General OD</t>
        </is>
      </c>
      <c r="B20" s="3" t="inlineStr">
        <is>
          <t>ConvNeXt-XL Cascade</t>
        </is>
      </c>
      <c r="C20" s="3" t="inlineStr">
        <is>
          <t>Liu et al.</t>
        </is>
      </c>
      <c r="D20" s="3" t="inlineStr">
        <is>
          <t>CVPR</t>
        </is>
      </c>
      <c r="E20" s="3" t="inlineStr">
        <is>
          <t>2022-03</t>
        </is>
      </c>
      <c r="F20" s="3" t="inlineStr">
        <is>
          <t>Preprint</t>
        </is>
      </c>
      <c r="G20" s="3" t="n">
        <v>55.2</v>
      </c>
      <c r="H20" s="3" t="inlineStr">
        <is>
          <t>AP=55.2</t>
        </is>
      </c>
      <c r="I20" s="3" t="n"/>
      <c r="J20" s="3" t="n"/>
      <c r="K20" s="3" t="inlineStr">
        <is>
          <t>✅ 已驗證 (ConvNeXt CVPR22 Table 8)：ConvNeXt-XL with Cascade Mask R-CNN 55.2 box AP COCO test-dev</t>
        </is>
      </c>
      <c r="L20" s="6" t="inlineStr">
        <is>
          <t>https://arxiv.org/abs/2201.03545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EfficientDet-D7</t>
        </is>
      </c>
      <c r="C21" s="3" t="inlineStr">
        <is>
          <t>Tan et al.</t>
        </is>
      </c>
      <c r="D21" s="3" t="inlineStr">
        <is>
          <t>CVPR</t>
        </is>
      </c>
      <c r="E21" s="3" t="inlineStr">
        <is>
          <t>2020-06</t>
        </is>
      </c>
      <c r="F21" s="3" t="inlineStr">
        <is>
          <t>Preprint</t>
        </is>
      </c>
      <c r="G21" s="3" t="n">
        <v>55.1</v>
      </c>
      <c r="H21" s="3" t="inlineStr">
        <is>
          <t>AP=55.1</t>
        </is>
      </c>
      <c r="I21" s="3" t="n"/>
      <c r="J21" s="3" t="n"/>
      <c r="K21" s="3" t="inlineStr">
        <is>
          <t>✅ 已驗證 (EfficientDet CVPR20 paper abstract)：EfficientDet-D7 55.1% AP on COCO test-dev, single-model single-scale [Real-Time OD]</t>
        </is>
      </c>
      <c r="L21" s="6" t="inlineStr">
        <is>
          <t>https://arxiv.org/abs/1911.09070</t>
        </is>
      </c>
      <c r="M21" s="6" t="inlineStr">
        <is>
          <t>https://github.com/THU-MIG/yolov10</t>
        </is>
      </c>
    </row>
    <row r="22">
      <c r="A22" s="3" t="inlineStr">
        <is>
          <t>Real-Time OD</t>
        </is>
      </c>
      <c r="B22" s="3" t="inlineStr">
        <is>
          <t>YOLOv13-X</t>
        </is>
      </c>
      <c r="C22" s="3" t="inlineStr">
        <is>
          <t>iMoonLab</t>
        </is>
      </c>
      <c r="D22" s="3" t="inlineStr">
        <is>
          <t>arXiv</t>
        </is>
      </c>
      <c r="E22" s="3" t="inlineStr">
        <is>
          <t>2025-06</t>
        </is>
      </c>
      <c r="F22" s="3" t="inlineStr">
        <is>
          <t>Preprint</t>
        </is>
      </c>
      <c r="G22" s="3" t="n">
        <v>54.8</v>
      </c>
      <c r="H22" s="3" t="inlineStr">
        <is>
          <t>AP=54.8</t>
        </is>
      </c>
      <c r="I22" s="3" t="n"/>
      <c r="J22" s="3" t="n"/>
      <c r="K22" s="3" t="inlineStr">
        <is>
          <t>✅ 已驗證 (YOLOv13 Table I, COCO val2017)：YOLOv13-X 54.8% AP [Real-Time OD]</t>
        </is>
      </c>
      <c r="L22" s="6" t="inlineStr">
        <is>
          <t>https://arxiv.org/abs/2506.17733</t>
        </is>
      </c>
      <c r="M22" s="6" t="inlineStr">
        <is>
          <t>https://github.com/IDEA-Research/DINO-X-API</t>
        </is>
      </c>
    </row>
    <row r="23">
      <c r="A23" s="3" t="inlineStr">
        <is>
          <t>Real-Time OD</t>
        </is>
      </c>
      <c r="B23" s="3" t="inlineStr">
        <is>
          <t>YOLO11x</t>
        </is>
      </c>
      <c r="C23" s="3" t="inlineStr">
        <is>
          <t>Ultralytics</t>
        </is>
      </c>
      <c r="D23" s="3" t="inlineStr">
        <is>
          <t>Official Docs</t>
        </is>
      </c>
      <c r="E23" s="3" t="inlineStr">
        <is>
          <t>2024-09</t>
        </is>
      </c>
      <c r="F23" s="3" t="inlineStr">
        <is>
          <t>Official Docs</t>
        </is>
      </c>
      <c r="G23" s="3" t="n">
        <v>54.7</v>
      </c>
      <c r="H23" s="3" t="inlineStr">
        <is>
          <t>AP=54.7</t>
        </is>
      </c>
      <c r="I23" s="3" t="inlineStr">
        <is>
          <t>T4 ≈110</t>
        </is>
      </c>
      <c r="J23" s="3" t="inlineStr">
        <is>
          <t>56.9M</t>
        </is>
      </c>
      <c r="K23" s="3" t="inlineStr">
        <is>
          <t>✅ verified (Ultralytics YOLO11 official docs): 54.7 box AP COCO val2017 (YOLO11x)</t>
        </is>
      </c>
      <c r="L23" s="6" t="inlineStr">
        <is>
          <t>https://docs.ultralytics.com/models/yolo11/</t>
        </is>
      </c>
      <c r="M23" s="6" t="inlineStr">
        <is>
          <t>https://github.com/IDEA-Research/GroundingDINO</t>
        </is>
      </c>
    </row>
    <row r="24">
      <c r="A24" s="3" t="inlineStr">
        <is>
          <t>Real-Time OD</t>
        </is>
      </c>
      <c r="B24" s="3" t="inlineStr">
        <is>
          <t>DEIM-D-FINE-L</t>
        </is>
      </c>
      <c r="C24" s="3" t="inlineStr">
        <is>
          <t>Huang et al.</t>
        </is>
      </c>
      <c r="D24" s="3" t="inlineStr">
        <is>
          <t>CVPR</t>
        </is>
      </c>
      <c r="E24" s="3" t="inlineStr">
        <is>
          <t>2025-06</t>
        </is>
      </c>
      <c r="F24" s="3" t="inlineStr">
        <is>
          <t>Preprint</t>
        </is>
      </c>
      <c r="G24" s="3" t="n">
        <v>54.7</v>
      </c>
      <c r="H24" s="3" t="inlineStr">
        <is>
          <t>AP=54.7</t>
        </is>
      </c>
      <c r="I24" s="3" t="n"/>
      <c r="J24" s="3" t="n"/>
      <c r="K24" s="3" t="inlineStr">
        <is>
          <t>✅ 已驗證 (DEIM CVPR25 Table 1, COCO val2017)：DEIM-D-FINE-L 54.7% AP [End-to-end RT-OD]</t>
        </is>
      </c>
      <c r="L24" s="6" t="inlineStr">
        <is>
          <t>https://arxiv.org/abs/2412.04234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PP-YOLOE+ (X)</t>
        </is>
      </c>
      <c r="C25" s="3" t="inlineStr">
        <is>
          <t>Xu et al.</t>
        </is>
      </c>
      <c r="D25" s="3" t="inlineStr">
        <is>
          <t>arXiv</t>
        </is>
      </c>
      <c r="E25" s="3" t="inlineStr">
        <is>
          <t>2022-07</t>
        </is>
      </c>
      <c r="F25" s="3" t="inlineStr">
        <is>
          <t>Preprint</t>
        </is>
      </c>
      <c r="G25" s="3" t="n">
        <v>54.7</v>
      </c>
      <c r="H25" s="3" t="inlineStr">
        <is>
          <t>AP=54.7</t>
        </is>
      </c>
      <c r="I25" s="3" t="n"/>
      <c r="J25" s="3" t="n"/>
      <c r="K25" s="3" t="inlineStr">
        <is>
          <t>✅ 已驗證 (PP-YOLOE+ arXiv22 Table 1)：PP-YOLOE+-X 54.7% AP COCO test-dev [Real-Time OD]</t>
        </is>
      </c>
      <c r="L25" s="6" t="inlineStr">
        <is>
          <t>https://arxiv.org/abs/2203.16250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RT-DETRv3-R101</t>
        </is>
      </c>
      <c r="C26" s="3" t="inlineStr">
        <is>
          <t>Wang et al.</t>
        </is>
      </c>
      <c r="D26" s="3" t="inlineStr">
        <is>
          <t>WACV</t>
        </is>
      </c>
      <c r="E26" s="3" t="inlineStr">
        <is>
          <t>2025-02</t>
        </is>
      </c>
      <c r="F26" s="3" t="inlineStr">
        <is>
          <t>Preprint</t>
        </is>
      </c>
      <c r="G26" s="3" t="n">
        <v>54.6</v>
      </c>
      <c r="H26" s="3" t="inlineStr">
        <is>
          <t>AP=54.6</t>
        </is>
      </c>
      <c r="I26" s="3" t="n"/>
      <c r="J26" s="3" t="n"/>
      <c r="K26" s="3" t="inlineStr">
        <is>
          <t>✅ 已驗證 (RT-DETRv3 Table 1, COCO val2017 6x)：RT-DETRv3-R101 54.6% AP [End-to-end RT-OD]</t>
        </is>
      </c>
      <c r="L26" s="6" t="inlineStr">
        <is>
          <t>https://arxiv.org/abs/2409.08475</t>
        </is>
      </c>
      <c r="M26" s="6" t="inlineStr">
        <is>
          <t>https://github.com/lyuwenyu/RT-DETR</t>
        </is>
      </c>
    </row>
    <row r="27">
      <c r="A27" s="3" t="inlineStr">
        <is>
          <t>Real-Time OD</t>
        </is>
      </c>
      <c r="B27" s="3" t="inlineStr">
        <is>
          <t>RT-DETRv3</t>
        </is>
      </c>
      <c r="C27" s="3" t="inlineStr">
        <is>
          <t>—</t>
        </is>
      </c>
      <c r="D27" s="3" t="inlineStr">
        <is>
          <t>WACV 2025</t>
        </is>
      </c>
      <c r="E27" s="3" t="inlineStr">
        <is>
          <t>2025-01</t>
        </is>
      </c>
      <c r="F27" s="3" t="inlineStr">
        <is>
          <t>Preprint</t>
        </is>
      </c>
      <c r="G27" s="3" t="n">
        <v>54.6</v>
      </c>
      <c r="H27" s="3" t="inlineStr">
        <is>
          <t>AP=54.6</t>
        </is>
      </c>
      <c r="I27" s="3" t="n"/>
      <c r="J27" s="3" t="n"/>
      <c r="K27" s="3" t="inlineStr">
        <is>
          <t>✅ 已驗證 (RT-DETRv3 Table 1)：headline number from R101 6x setting [End-to-end RT-OD]</t>
        </is>
      </c>
      <c r="L27" s="6" t="inlineStr">
        <is>
          <t>https://openaccess.thecvf.com/content/WACV2025/html/Wang_RT-DETRv3_Real-Time_End-to-End_Object_Detection_with_Hierarchical_Dense_Positive_Supervision_WACV_2025_paper.html</t>
        </is>
      </c>
      <c r="M27" s="6" t="inlineStr">
        <is>
          <t>https://github.com/IDEA-Research/Grounding-DINO-1.5-API</t>
        </is>
      </c>
    </row>
    <row r="28">
      <c r="A28" s="3" t="inlineStr">
        <is>
          <t>Real-Time OD</t>
        </is>
      </c>
      <c r="B28" s="3" t="inlineStr">
        <is>
          <t>YOLOv10-X</t>
        </is>
      </c>
      <c r="C28" s="3" t="inlineStr">
        <is>
          <t>Wang et al.</t>
        </is>
      </c>
      <c r="D28" s="3" t="inlineStr">
        <is>
          <t>NeurIPS</t>
        </is>
      </c>
      <c r="E28" s="3" t="inlineStr">
        <is>
          <t>2024-12</t>
        </is>
      </c>
      <c r="F28" s="3" t="inlineStr">
        <is>
          <t>Preprint</t>
        </is>
      </c>
      <c r="G28" s="3" t="n">
        <v>54.4</v>
      </c>
      <c r="H28" s="3" t="inlineStr">
        <is>
          <t>AP=54.4</t>
        </is>
      </c>
      <c r="I28" s="3" t="n"/>
      <c r="J28" s="3" t="n"/>
      <c r="K28" s="3" t="inlineStr">
        <is>
          <t>✅ 已驗證 (YOLOv13 Table I, COCO val2017)：YOLOv10-X 54.4% AP [Real-Time OD]</t>
        </is>
      </c>
      <c r="L28" s="6" t="inlineStr">
        <is>
          <t>https://arxiv.org/abs/2405.14458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RT-DETRv2-R101</t>
        </is>
      </c>
      <c r="C29" s="3" t="inlineStr">
        <is>
          <t>Lv et al.</t>
        </is>
      </c>
      <c r="D29" s="3" t="inlineStr">
        <is>
          <t>arXiv</t>
        </is>
      </c>
      <c r="E29" s="3" t="inlineStr">
        <is>
          <t>2024-07</t>
        </is>
      </c>
      <c r="F29" s="3" t="inlineStr">
        <is>
          <t>Preprint</t>
        </is>
      </c>
      <c r="G29" s="3" t="n">
        <v>54.3</v>
      </c>
      <c r="H29" s="3" t="inlineStr">
        <is>
          <t>AP=54.3</t>
        </is>
      </c>
      <c r="I29" s="3" t="n"/>
      <c r="J29" s="3" t="n"/>
      <c r="K29" s="3" t="inlineStr">
        <is>
          <t>✅ 已驗證 (D-FINE Table 1, COCO val2017)：RT-DETRv2-R101 54.3% AP [Real-Time OD]</t>
        </is>
      </c>
      <c r="L29" s="6" t="inlineStr">
        <is>
          <t>https://arxiv.org/abs/2407.17140</t>
        </is>
      </c>
      <c r="M29" s="6" t="inlineStr">
        <is>
          <t>https://github.com/WongKinYiu/yolov7</t>
        </is>
      </c>
    </row>
    <row r="30">
      <c r="A30" s="3" t="inlineStr">
        <is>
          <t>Real-Time OD</t>
        </is>
      </c>
      <c r="B30" s="3" t="inlineStr">
        <is>
          <t>RT-DETR-R101</t>
        </is>
      </c>
      <c r="C30" s="3" t="inlineStr">
        <is>
          <t>Zhao et al.</t>
        </is>
      </c>
      <c r="D30" s="3" t="inlineStr">
        <is>
          <t>CVPR</t>
        </is>
      </c>
      <c r="E30" s="3" t="inlineStr">
        <is>
          <t>2024-06</t>
        </is>
      </c>
      <c r="F30" s="3" t="inlineStr">
        <is>
          <t>Preprint</t>
        </is>
      </c>
      <c r="G30" s="3" t="n">
        <v>54.3</v>
      </c>
      <c r="H30" s="3" t="inlineStr">
        <is>
          <t>AP=54.3</t>
        </is>
      </c>
      <c r="I30" s="3" t="n"/>
      <c r="J30" s="3" t="n"/>
      <c r="K30" s="3" t="inlineStr">
        <is>
          <t>✅ 已驗證 (D-FINE Table 1, COCO val2017)：RT-DETR-R101 54.3% AP [Real-Time OD]</t>
        </is>
      </c>
      <c r="L30" s="6" t="inlineStr">
        <is>
          <t>https://arxiv.org/abs/2304.08069</t>
        </is>
      </c>
      <c r="M30" s="6" t="inlineStr">
        <is>
          <t>https://github.com/zhenyuw16/UniDetector</t>
        </is>
      </c>
    </row>
    <row r="31">
      <c r="A31" s="3" t="inlineStr">
        <is>
          <t>General OD</t>
        </is>
      </c>
      <c r="B31" s="3" t="inlineStr">
        <is>
          <t>Grounding DINO 1.5 Pro</t>
        </is>
      </c>
      <c r="C31" s="3" t="inlineStr">
        <is>
          <t>Ren et al.</t>
        </is>
      </c>
      <c r="D31" s="3" t="inlineStr">
        <is>
          <t>arXiv</t>
        </is>
      </c>
      <c r="E31" s="3" t="inlineStr">
        <is>
          <t>2024-05</t>
        </is>
      </c>
      <c r="F31" s="3" t="inlineStr">
        <is>
          <t>Preprint</t>
        </is>
      </c>
      <c r="G31" s="3" t="n">
        <v>54.3</v>
      </c>
      <c r="H31" s="3" t="inlineStr">
        <is>
          <t>AP=54.3</t>
        </is>
      </c>
      <c r="I31" s="3" t="n"/>
      <c r="J31" s="3" t="n"/>
      <c r="K31" s="3" t="inlineStr">
        <is>
          <t>✅ 已驗證 (Grounding DINO 1.5 Pro Table 1)：54.3 AP zero-shot COCO transfer (paper text "achieves a 54.3 AP, improving upon GD Swin-L by 1.8 AP") [Open-set OD]</t>
        </is>
      </c>
      <c r="L31" s="6" t="inlineStr">
        <is>
          <t>https://arxiv.org/abs/2405.10300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D-FINE-L</t>
        </is>
      </c>
      <c r="C32" s="3" t="inlineStr">
        <is>
          <t>Peng et al.</t>
        </is>
      </c>
      <c r="D32" s="3" t="inlineStr">
        <is>
          <t>ICLR</t>
        </is>
      </c>
      <c r="E32" s="3" t="inlineStr">
        <is>
          <t>2025-04</t>
        </is>
      </c>
      <c r="F32" s="3" t="inlineStr">
        <is>
          <t>Preprint</t>
        </is>
      </c>
      <c r="G32" s="3" t="n">
        <v>54</v>
      </c>
      <c r="H32" s="3" t="inlineStr">
        <is>
          <t>AP=54.0</t>
        </is>
      </c>
      <c r="I32" s="3" t="n"/>
      <c r="J32" s="3" t="n"/>
      <c r="K32" s="3" t="inlineStr">
        <is>
          <t>✅ 已驗證 (D-FINE Table 1, COCO val2017)：D-FINE-L 54.0% AP [Real-Time OD]</t>
        </is>
      </c>
      <c r="L32" s="6" t="inlineStr">
        <is>
          <t>https://arxiv.org/abs/2410.13842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MaxViT-XL Cascade</t>
        </is>
      </c>
      <c r="C33" s="3" t="inlineStr">
        <is>
          <t>Tu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>
        <v>53.4</v>
      </c>
      <c r="H33" s="3" t="inlineStr">
        <is>
          <t>AP=53.4 | AP50=72.9 | AP75=58.1</t>
        </is>
      </c>
      <c r="I33" s="3" t="n"/>
      <c r="J33" s="3" t="n"/>
      <c r="K33" s="3" t="inlineStr">
        <is>
          <t>✅ verified+corrected (MaxViT ECCV22 arxiv 2204.01697 Table, Cascade Mask R-CNN, COCO val): box AP 53.4/AP50 72.9/AP75 58.1. 註：偵測用 MaxViT-B（非 XL；XL 僅分類）；原 45.7/70.3/50.0 為 mask 指標非 APS/APM/APL</t>
        </is>
      </c>
      <c r="L33" s="6" t="inlineStr">
        <is>
          <t>https://arxiv.org/abs/2204.01697</t>
        </is>
      </c>
      <c r="M33" s="6" t="inlineStr">
        <is>
          <t>https://github.com/facebookresearch/detectron2</t>
        </is>
      </c>
    </row>
    <row r="34">
      <c r="A34" s="3" t="inlineStr">
        <is>
          <t>Real-Time OD</t>
        </is>
      </c>
      <c r="B34" s="3" t="inlineStr">
        <is>
          <t>YOLOv7-X</t>
        </is>
      </c>
      <c r="C34" s="3" t="inlineStr">
        <is>
          <t>Wang et al.</t>
        </is>
      </c>
      <c r="D34" s="3" t="inlineStr">
        <is>
          <t>CVPR</t>
        </is>
      </c>
      <c r="E34" s="3" t="inlineStr">
        <is>
          <t>2023-06</t>
        </is>
      </c>
      <c r="F34" s="3" t="inlineStr">
        <is>
          <t>Preprint</t>
        </is>
      </c>
      <c r="G34" s="3" t="n">
        <v>52.9</v>
      </c>
      <c r="H34" s="3" t="inlineStr">
        <is>
          <t>AP=52.9</t>
        </is>
      </c>
      <c r="I34" s="3" t="n"/>
      <c r="J34" s="3" t="n"/>
      <c r="K34" s="3" t="inlineStr">
        <is>
          <t>✅ 已驗證 (D-FINE Table 1, COCO val2017)：YOLOv7-X 52.9% AP [Real-Time OD]</t>
        </is>
      </c>
      <c r="L34" s="6" t="inlineStr">
        <is>
          <t>https://arxiv.org/abs/2207.02696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RTMDet-X</t>
        </is>
      </c>
      <c r="C35" s="3" t="inlineStr">
        <is>
          <t>Lyu et al.</t>
        </is>
      </c>
      <c r="D35" s="3" t="inlineStr">
        <is>
          <t>arXiv</t>
        </is>
      </c>
      <c r="E35" s="3" t="inlineStr">
        <is>
          <t>2022-12</t>
        </is>
      </c>
      <c r="F35" s="3" t="inlineStr">
        <is>
          <t>Preprint</t>
        </is>
      </c>
      <c r="G35" s="3" t="n">
        <v>52.8</v>
      </c>
      <c r="H35" s="3" t="inlineStr">
        <is>
          <t>AP=52.8</t>
        </is>
      </c>
      <c r="I35" s="3" t="n"/>
      <c r="J35" s="3" t="n"/>
      <c r="K35" s="3" t="inlineStr">
        <is>
          <t>✅ 已驗證 (D-FINE Table 1, COCO val2017)：RTMDet-X 52.8% AP [Real-Time OD]</t>
        </is>
      </c>
      <c r="L35" s="6" t="inlineStr">
        <is>
          <t>https://arxiv.org/abs/2212.07784</t>
        </is>
      </c>
      <c r="M35" s="6" t="inlineStr">
        <is>
          <t>https://github.com/meituan/YOLOv6</t>
        </is>
      </c>
    </row>
    <row r="36">
      <c r="A36" s="3" t="inlineStr">
        <is>
          <t>Real-Time OD</t>
        </is>
      </c>
      <c r="B36" s="3" t="inlineStr">
        <is>
          <t>YOLOv6-L</t>
        </is>
      </c>
      <c r="C36" s="3" t="inlineStr">
        <is>
          <t>Li et al.</t>
        </is>
      </c>
      <c r="D36" s="3" t="inlineStr">
        <is>
          <t>arXiv</t>
        </is>
      </c>
      <c r="E36" s="3" t="inlineStr">
        <is>
          <t>2022-09</t>
        </is>
      </c>
      <c r="F36" s="3" t="inlineStr">
        <is>
          <t>Preprint</t>
        </is>
      </c>
      <c r="G36" s="3" t="n">
        <v>52.8</v>
      </c>
      <c r="H36" s="3" t="inlineStr">
        <is>
          <t>AP=52.8</t>
        </is>
      </c>
      <c r="I36" s="3" t="n"/>
      <c r="J36" s="3" t="n"/>
      <c r="K36" s="3" t="inlineStr">
        <is>
          <t>✅ 已驗證 (D-FINE Table 1, COCO val2017)：YOLOv6-L 52.8% AP [Real-Time OD]</t>
        </is>
      </c>
      <c r="L36" s="6" t="inlineStr">
        <is>
          <t>https://arxiv.org/abs/2209.02976</t>
        </is>
      </c>
      <c r="M36" s="6" t="inlineStr">
        <is>
          <t>https://github.com/ZhangGongjie/Meta-DETR</t>
        </is>
      </c>
    </row>
    <row r="37">
      <c r="A37" s="3" t="inlineStr">
        <is>
          <t>Few-Shot OD</t>
        </is>
      </c>
      <c r="B37" s="3" t="inlineStr">
        <is>
          <t>Grounding DINO</t>
        </is>
      </c>
      <c r="C37" s="3" t="inlineStr">
        <is>
          <t>Liu et al.</t>
        </is>
      </c>
      <c r="D37" s="3" t="inlineStr">
        <is>
          <t>ECCV</t>
        </is>
      </c>
      <c r="E37" s="3" t="inlineStr">
        <is>
          <t>2024-10</t>
        </is>
      </c>
      <c r="F37" s="3" t="inlineStr">
        <is>
          <t>Preprint</t>
        </is>
      </c>
      <c r="G37" s="3" t="n">
        <v>52.5</v>
      </c>
      <c r="H37" s="3" t="inlineStr">
        <is>
          <t>AP=52.5</t>
        </is>
      </c>
      <c r="I37" s="3" t="n"/>
      <c r="J37" s="3" t="n"/>
      <c r="K37" s="3" t="inlineStr">
        <is>
          <t>✅ 已驗證 (Grounding DINO ECCV24 paper)：52.5 AP on COCO zero-shot transfer [Open-set OD]</t>
        </is>
      </c>
      <c r="L37" s="6" t="inlineStr">
        <is>
          <t>https://arxiv.org/abs/2303.05499</t>
        </is>
      </c>
      <c r="M37" s="6" t="inlineStr">
        <is>
          <t>https://github.com/PaddlePaddle/PaddleDetection</t>
        </is>
      </c>
    </row>
    <row r="38">
      <c r="A38" s="3" t="inlineStr">
        <is>
          <t>Real-Time OD</t>
        </is>
      </c>
      <c r="B38" s="3" t="inlineStr">
        <is>
          <t>YOLOX-X</t>
        </is>
      </c>
      <c r="C38" s="3" t="inlineStr">
        <is>
          <t>Ge et al.</t>
        </is>
      </c>
      <c r="D38" s="3" t="inlineStr">
        <is>
          <t>arXiv</t>
        </is>
      </c>
      <c r="E38" s="3" t="inlineStr">
        <is>
          <t>2021-08</t>
        </is>
      </c>
      <c r="F38" s="3" t="inlineStr">
        <is>
          <t>Preprint</t>
        </is>
      </c>
      <c r="G38" s="3" t="n">
        <v>51.2</v>
      </c>
      <c r="H38" s="3" t="inlineStr">
        <is>
          <t>AP=51.2</t>
        </is>
      </c>
      <c r="I38" s="3" t="n"/>
      <c r="J38" s="3" t="n"/>
      <c r="K38" s="3" t="inlineStr">
        <is>
          <t>✅ 已驗證 (YOLOX arXiv21 Table 3, COCO val)：YOLOX-X 51.2% AP, 99.1M params [Real-Time OD]</t>
        </is>
      </c>
      <c r="L38" s="6" t="inlineStr">
        <is>
          <t>https://arxiv.org/abs/2107.08430</t>
        </is>
      </c>
      <c r="M38" s="6" t="inlineStr">
        <is>
          <t>https://github.com/amirbar/DETReg</t>
        </is>
      </c>
    </row>
    <row r="39">
      <c r="A39" s="3" t="inlineStr">
        <is>
          <t>Real-Time OD</t>
        </is>
      </c>
      <c r="B39" s="3" t="inlineStr">
        <is>
          <t>DAMO-YOLO-l</t>
        </is>
      </c>
      <c r="C39" s="3" t="inlineStr">
        <is>
          <t>Xu et al.</t>
        </is>
      </c>
      <c r="D39" s="3" t="inlineStr">
        <is>
          <t>arXiv</t>
        </is>
      </c>
      <c r="E39" s="3" t="inlineStr">
        <is>
          <t>2022-12</t>
        </is>
      </c>
      <c r="F39" s="3" t="inlineStr">
        <is>
          <t>Preprint</t>
        </is>
      </c>
      <c r="G39" s="3" t="n">
        <v>50.8</v>
      </c>
      <c r="H39" s="3" t="inlineStr">
        <is>
          <t>AP=50.8</t>
        </is>
      </c>
      <c r="I39" s="3" t="n"/>
      <c r="J39" s="3" t="n"/>
      <c r="K39" s="3" t="inlineStr">
        <is>
          <t>✅ 已驗證 (DAMO-YOLO arXiv22 Table 1)：DAMO-YOLO-L 50.8% AP COCO test-dev, 42ms@T4 [Real-Time OD]</t>
        </is>
      </c>
      <c r="L39" s="6" t="inlineStr">
        <is>
          <t>https://arxiv.org/abs/2211.15444</t>
        </is>
      </c>
      <c r="M39" s="6" t="inlineStr">
        <is>
          <t>https://github.com/facebookresearch/ConvNeXt</t>
        </is>
      </c>
    </row>
    <row r="40">
      <c r="A40" s="3" t="inlineStr">
        <is>
          <t>Few-Shot OD</t>
        </is>
      </c>
      <c r="B40" s="3" t="inlineStr">
        <is>
          <t>UniFS (UniDetector)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Preprint</t>
        </is>
      </c>
      <c r="G40" s="3" t="n">
        <v>49.3</v>
      </c>
      <c r="H40" s="3" t="inlineStr">
        <is>
          <t>AP=49.3</t>
        </is>
      </c>
      <c r="I40" s="3" t="n"/>
      <c r="J40" s="3" t="n"/>
      <c r="K40" s="3" t="inlineStr">
        <is>
          <t>✅ 已驗證 (UniDetector CVPR23 Table 2)：UniDetector ResNet-50 1× → 49.3 AP COCO val [Universal OD]</t>
        </is>
      </c>
      <c r="L40" s="6" t="inlineStr">
        <is>
          <t>https://arxiv.org/abs/2303.11749</t>
        </is>
      </c>
      <c r="M40" s="6" t="inlineStr">
        <is>
          <t>https://github.com/IDEA-Research/DN-DETR</t>
        </is>
      </c>
    </row>
    <row r="41">
      <c r="A41" s="3" t="inlineStr">
        <is>
          <t>Real-Time OD</t>
        </is>
      </c>
      <c r="B41" s="3" t="inlineStr">
        <is>
          <t>RF-DETR (Nano)</t>
        </is>
      </c>
      <c r="C41" s="3" t="inlineStr">
        <is>
          <t>Roboflow</t>
        </is>
      </c>
      <c r="D41" s="3" t="inlineStr">
        <is>
          <t>ICLR</t>
        </is>
      </c>
      <c r="E41" s="3" t="inlineStr">
        <is>
          <t>2026-04</t>
        </is>
      </c>
      <c r="F41" s="3" t="inlineStr">
        <is>
          <t>Preprint</t>
        </is>
      </c>
      <c r="G41" s="3" t="n">
        <v>48</v>
      </c>
      <c r="H41" s="3" t="inlineStr">
        <is>
          <t>AP=48.0</t>
        </is>
      </c>
      <c r="I41" s="3" t="n"/>
      <c r="J41" s="3" t="n"/>
      <c r="K41" s="3" t="inlineStr">
        <is>
          <t>✅ 已驗證 (RF-DETR arXiv25 abstract)：RF-DETR nano 48.0 AP COCO, beats D-FINE nano by 5.0 [End-to-end RT-OD]</t>
        </is>
      </c>
      <c r="L41" s="6" t="inlineStr">
        <is>
          <t>https://arxiv.org/abs/2511.09554</t>
        </is>
      </c>
      <c r="M41" s="6" t="inlineStr">
        <is>
          <t>https://github.com/IDEA-Research/DAB-DETR</t>
        </is>
      </c>
    </row>
    <row r="42">
      <c r="A42" s="3" t="inlineStr">
        <is>
          <t>General OD</t>
        </is>
      </c>
      <c r="B42" s="3" t="inlineStr">
        <is>
          <t>Deformable DETR (R50)</t>
        </is>
      </c>
      <c r="C42" s="3" t="inlineStr">
        <is>
          <t>Zhu et al.</t>
        </is>
      </c>
      <c r="D42" s="3" t="inlineStr">
        <is>
          <t>ICLR</t>
        </is>
      </c>
      <c r="E42" s="3" t="inlineStr">
        <is>
          <t>2021-05</t>
        </is>
      </c>
      <c r="F42" s="3" t="inlineStr">
        <is>
          <t>Preprint</t>
        </is>
      </c>
      <c r="G42" s="3" t="n">
        <v>46.9</v>
      </c>
      <c r="H42" s="3" t="inlineStr">
        <is>
          <t>AP=46.9</t>
        </is>
      </c>
      <c r="I42" s="3" t="n"/>
      <c r="J42" s="3" t="n"/>
      <c r="K42" s="3" t="inlineStr">
        <is>
          <t>✅ 已驗證 (Deformable DETR ICLR21 Table 3)：R50 backbone, 46.9% AP, end-to-end transformer detector [DETR-based]</t>
        </is>
      </c>
      <c r="L42" s="6" t="inlineStr">
        <is>
          <t>https://arxiv.org/abs/2010.04159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DAB-DETR</t>
        </is>
      </c>
      <c r="C43" s="3" t="inlineStr">
        <is>
          <t>Liu et al.</t>
        </is>
      </c>
      <c r="D43" s="3" t="inlineStr">
        <is>
          <t>ICLR</t>
        </is>
      </c>
      <c r="E43" s="3" t="inlineStr">
        <is>
          <t>2022-03</t>
        </is>
      </c>
      <c r="F43" s="3" t="inlineStr">
        <is>
          <t>Preprint</t>
        </is>
      </c>
      <c r="G43" s="3" t="n">
        <v>46.8</v>
      </c>
      <c r="H43" s="3" t="inlineStr">
        <is>
          <t>AP=46.8</t>
        </is>
      </c>
      <c r="I43" s="3" t="n"/>
      <c r="J43" s="3" t="n"/>
      <c r="K43" s="3" t="inlineStr">
        <is>
          <t>✅ 已驗證 (DAB-DETR ICLR22 Table 2)：DAB-Deformable-DETR-R50 46.8% AP COCO val (50 epochs) [DETR variant]</t>
        </is>
      </c>
      <c r="L43" s="6" t="inlineStr">
        <is>
          <t>https://arxiv.org/abs/2201.12329</t>
        </is>
      </c>
      <c r="M43" s="6" t="inlineStr">
        <is>
          <t>https://github.com/microsoft/Swin-Transformer</t>
        </is>
      </c>
    </row>
    <row r="44">
      <c r="A44" s="3" t="inlineStr">
        <is>
          <t>Few-Shot OD</t>
        </is>
      </c>
      <c r="B44" s="3" t="inlineStr">
        <is>
          <t>DETReg</t>
        </is>
      </c>
      <c r="C44" s="3" t="inlineStr">
        <is>
          <t>Bar et al.</t>
        </is>
      </c>
      <c r="D44" s="3" t="inlineStr">
        <is>
          <t>CVPR</t>
        </is>
      </c>
      <c r="E44" s="3" t="inlineStr">
        <is>
          <t>2022-06</t>
        </is>
      </c>
      <c r="F44" s="3" t="inlineStr">
        <is>
          <t>Preprint</t>
        </is>
      </c>
      <c r="G44" s="3" t="n">
        <v>45.5</v>
      </c>
      <c r="H44" s="3" t="inlineStr">
        <is>
          <t>AP=45.5</t>
        </is>
      </c>
      <c r="I44" s="3" t="n"/>
      <c r="J44" s="3" t="n"/>
      <c r="K44" s="3" t="inlineStr">
        <is>
          <t>✅ 已驗證 (DETReg CVPR22 Table 1)：DETReg 45.5 AP COCO val under semi-supervised fine-tuning [Self-supervised pre-train OD]</t>
        </is>
      </c>
      <c r="L44" s="6" t="inlineStr">
        <is>
          <t>https://arxiv.org/abs/2106.04550</t>
        </is>
      </c>
      <c r="M44" s="6" t="inlineStr">
        <is>
          <t>https://github.com/Megvii-BaseDetection/YOLOX</t>
        </is>
      </c>
    </row>
    <row r="45">
      <c r="A45" s="3" t="inlineStr">
        <is>
          <t>General OD</t>
        </is>
      </c>
      <c r="B45" s="3" t="inlineStr">
        <is>
          <t>Brain-Inspired Spiking Neural Networks for Energy-Efficient</t>
        </is>
      </c>
      <c r="C45" s="3" t="inlineStr">
        <is>
          <t>—</t>
        </is>
      </c>
      <c r="D45" s="3" t="inlineStr">
        <is>
          <t>CVPR 2025</t>
        </is>
      </c>
      <c r="E45" s="3" t="inlineStr">
        <is>
          <t>2025-06</t>
        </is>
      </c>
      <c r="F45" s="3" t="inlineStr">
        <is>
          <t>Preprint</t>
        </is>
      </c>
      <c r="G45" s="3" t="n">
        <v>45.3</v>
      </c>
      <c r="H45" s="3" t="inlineStr">
        <is>
          <t>AP=45.3 | AP50=62.0</t>
        </is>
      </c>
      <c r="I45" s="3" t="n"/>
      <c r="J45" s="3" t="n"/>
      <c r="K45" s="3" t="inlineStr">
        <is>
          <t>✅ verified (Brain-Inspired Spiking NN CVPR25 CVF PDF): COCO val mAP@0.5:0.95=45.3 / mAP@50=62.0。註：脈衝神經網路 (SNN) 節能設定，與標準 ANN 偵測器非完全可比</t>
        </is>
      </c>
      <c r="L45" s="6" t="inlineStr">
        <is>
          <t>https://openaccess.thecvf.com/content/CVPR2025/html/Li_Brain-Inspired_Spiking_Neural_Networks_for_Energy-Efficient_Object_Detection_CVPR_2025_paper.html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Sparse R-CNN (R101)</t>
        </is>
      </c>
      <c r="C46" s="3" t="inlineStr">
        <is>
          <t>Sun et al.</t>
        </is>
      </c>
      <c r="D46" s="3" t="inlineStr">
        <is>
          <t>CVPR</t>
        </is>
      </c>
      <c r="E46" s="3" t="inlineStr">
        <is>
          <t>2021-01</t>
        </is>
      </c>
      <c r="F46" s="3" t="inlineStr">
        <is>
          <t>Preprint</t>
        </is>
      </c>
      <c r="G46" s="3" t="n">
        <v>44.1</v>
      </c>
      <c r="H46" s="3" t="inlineStr">
        <is>
          <t>AP=44.1</t>
        </is>
      </c>
      <c r="I46" s="3" t="n"/>
      <c r="J46" s="3" t="n"/>
      <c r="K46" s="3" t="inlineStr">
        <is>
          <t>✅ 已驗證 (Sparse R-CNN CVPR21 Table 1)：R101-FPN 44.1% AP [Sparse Query OD]</t>
        </is>
      </c>
      <c r="L46" s="6" t="inlineStr">
        <is>
          <t>https://arxiv.org/abs/2011.12450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DETR (R101)</t>
        </is>
      </c>
      <c r="C47" s="3" t="inlineStr">
        <is>
          <t>Carion et al.</t>
        </is>
      </c>
      <c r="D47" s="3" t="inlineStr">
        <is>
          <t>ECCV</t>
        </is>
      </c>
      <c r="E47" s="3" t="inlineStr">
        <is>
          <t>2020-09</t>
        </is>
      </c>
      <c r="F47" s="3" t="inlineStr">
        <is>
          <t>Preprint</t>
        </is>
      </c>
      <c r="G47" s="3" t="n">
        <v>43.5</v>
      </c>
      <c r="H47" s="3" t="inlineStr">
        <is>
          <t>AP=43.5</t>
        </is>
      </c>
      <c r="I47" s="3" t="n"/>
      <c r="J47" s="3" t="n"/>
      <c r="K47" s="3" t="inlineStr">
        <is>
          <t>✅ 已驗證 (DETR ECCV20 Table 1)：DETR-R101 43.5% AP on COCO 2017 val [DETR-based OD]</t>
        </is>
      </c>
      <c r="L47" s="6" t="inlineStr">
        <is>
          <t>https://arxiv.org/abs/2005.12872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DN-DETR</t>
        </is>
      </c>
      <c r="C48" s="3" t="inlineStr">
        <is>
          <t>Li et al.</t>
        </is>
      </c>
      <c r="D48" s="3" t="inlineStr">
        <is>
          <t>CVPR</t>
        </is>
      </c>
      <c r="E48" s="3" t="inlineStr">
        <is>
          <t>2022-03</t>
        </is>
      </c>
      <c r="F48" s="3" t="inlineStr">
        <is>
          <t>Preprint</t>
        </is>
      </c>
      <c r="G48" s="3" t="n">
        <v>43.4</v>
      </c>
      <c r="H48" s="3" t="inlineStr">
        <is>
          <t>AP=43.4</t>
        </is>
      </c>
      <c r="I48" s="3" t="n"/>
      <c r="J48" s="3" t="n"/>
      <c r="K48" s="3" t="inlineStr">
        <is>
          <t>✅ 已驗證 (DN-DETR CVPR22 Table 1)：DN-Deformable-DETR-R50 43.4% AP COCO val (12 epochs) [DETR denoising training]</t>
        </is>
      </c>
      <c r="L48" s="6" t="inlineStr">
        <is>
          <t>https://arxiv.org/abs/2203.01305</t>
        </is>
      </c>
      <c r="M48" s="6" t="inlineStr">
        <is>
          <t>https://github.com/facebookresearch/detr</t>
        </is>
      </c>
    </row>
    <row r="49">
      <c r="A49" s="3" t="inlineStr">
        <is>
          <t>General OD</t>
        </is>
      </c>
      <c r="B49" s="3" t="inlineStr">
        <is>
          <t>Cascade R-CNN (R101-FPN)</t>
        </is>
      </c>
      <c r="C49" s="3" t="inlineStr">
        <is>
          <t>Cai &amp; Vasconcelos</t>
        </is>
      </c>
      <c r="D49" s="3" t="inlineStr">
        <is>
          <t>CVPR</t>
        </is>
      </c>
      <c r="E49" s="3" t="inlineStr">
        <is>
          <t>2018-06</t>
        </is>
      </c>
      <c r="F49" s="3" t="inlineStr">
        <is>
          <t>Preprint</t>
        </is>
      </c>
      <c r="G49" s="3" t="n">
        <v>42.8</v>
      </c>
      <c r="H49" s="3" t="inlineStr">
        <is>
          <t>AP=42.8</t>
        </is>
      </c>
      <c r="I49" s="3" t="n"/>
      <c r="J49" s="3" t="n"/>
      <c r="K49" s="3" t="inlineStr">
        <is>
          <t>✅ 已驗證 (Cascade R-CNN CVPR18 Table 5)：ResNet-101 42.8% AP [Two-Stage Cascade OD]</t>
        </is>
      </c>
      <c r="L49" s="6" t="inlineStr">
        <is>
          <t>https://arxiv.org/abs/1712.00726</t>
        </is>
      </c>
      <c r="M49" s="6" t="inlineStr">
        <is>
          <t>https://github.com/jiaxi-wu/MPSR</t>
        </is>
      </c>
    </row>
    <row r="50">
      <c r="A50" s="3" t="inlineStr">
        <is>
          <t>General OD</t>
        </is>
      </c>
      <c r="B50" s="3" t="inlineStr">
        <is>
          <t>CenterNet</t>
        </is>
      </c>
      <c r="C50" s="3" t="inlineStr">
        <is>
          <t>Zhou et al.</t>
        </is>
      </c>
      <c r="D50" s="3" t="inlineStr">
        <is>
          <t>arXiv</t>
        </is>
      </c>
      <c r="E50" s="3" t="inlineStr">
        <is>
          <t>2019-04</t>
        </is>
      </c>
      <c r="F50" s="3" t="inlineStr">
        <is>
          <t>Preprint</t>
        </is>
      </c>
      <c r="G50" s="3" t="n">
        <v>42.1</v>
      </c>
      <c r="H50" s="3" t="inlineStr">
        <is>
          <t>AP=42.1</t>
        </is>
      </c>
      <c r="I50" s="3" t="n"/>
      <c r="J50" s="3" t="n"/>
      <c r="K50" s="3" t="inlineStr">
        <is>
          <t>✅ 已驗證 (CenterNet ICCV19 Table 2)：Hourglass-104 42.1% AP [Anchor-free OD]</t>
        </is>
      </c>
      <c r="L50" s="6" t="inlineStr">
        <is>
          <t>https://arxiv.org/abs/1904.07850</t>
        </is>
      </c>
      <c r="M50" s="6" t="inlineStr">
        <is>
          <t>https://github.com/ucbdrive/few-shot-object-detection</t>
        </is>
      </c>
    </row>
    <row r="51">
      <c r="A51" s="3" t="inlineStr">
        <is>
          <t>General OD</t>
        </is>
      </c>
      <c r="B51" s="3" t="inlineStr">
        <is>
          <t>FCOS (R101)</t>
        </is>
      </c>
      <c r="C51" s="3" t="inlineStr">
        <is>
          <t>Tian et al.</t>
        </is>
      </c>
      <c r="D51" s="3" t="inlineStr">
        <is>
          <t>ICCV</t>
        </is>
      </c>
      <c r="E51" s="3" t="inlineStr">
        <is>
          <t>2019-04</t>
        </is>
      </c>
      <c r="F51" s="3" t="inlineStr">
        <is>
          <t>Preprint</t>
        </is>
      </c>
      <c r="G51" s="3" t="n">
        <v>41.5</v>
      </c>
      <c r="H51" s="3" t="inlineStr">
        <is>
          <t>AP=41.5</t>
        </is>
      </c>
      <c r="I51" s="3" t="n"/>
      <c r="J51" s="3" t="n"/>
      <c r="K51" s="3" t="inlineStr">
        <is>
          <t>✅ 已驗證 (FCOS ICCV19 Table 4)：FCOS ResNet-101-FPN 41.5 AP COCO test-dev [Anchor-free OD]</t>
        </is>
      </c>
      <c r="L51" s="6" t="inlineStr">
        <is>
          <t>https://arxiv.org/abs/1904.01355</t>
        </is>
      </c>
      <c r="M51" s="6" t="inlineStr">
        <is>
          <t>https://github.com/google/automl/tree/master/efficientdet</t>
        </is>
      </c>
    </row>
    <row r="52">
      <c r="A52" s="3" t="inlineStr">
        <is>
          <t>General OD</t>
        </is>
      </c>
      <c r="B52" s="3" t="inlineStr">
        <is>
          <t>Faster R-CNN (R50-FPN)</t>
        </is>
      </c>
      <c r="C52" s="3" t="inlineStr">
        <is>
          <t>Ren et al.</t>
        </is>
      </c>
      <c r="D52" s="3" t="inlineStr">
        <is>
          <t>NeurIPS</t>
        </is>
      </c>
      <c r="E52" s="3" t="inlineStr">
        <is>
          <t>2015-06</t>
        </is>
      </c>
      <c r="F52" s="3" t="inlineStr">
        <is>
          <t>Preprint</t>
        </is>
      </c>
      <c r="G52" s="3" t="n">
        <v>40.2</v>
      </c>
      <c r="H52" s="3" t="inlineStr">
        <is>
          <t>AP=40.2</t>
        </is>
      </c>
      <c r="I52" s="3" t="n"/>
      <c r="J52" s="3" t="n"/>
      <c r="K52" s="3" t="inlineStr">
        <is>
          <t>✅ 已驗證 (DETR Table 1 cites Detectron2 baseline)：Faster R-CNN R50-FPN 40.2% AP on COCO 2017 val [Two-Stage OD baseline]</t>
        </is>
      </c>
      <c r="L52" s="6" t="inlineStr">
        <is>
          <t>https://arxiv.org/abs/1506.01497</t>
        </is>
      </c>
      <c r="M52" s="6" t="inlineStr">
        <is>
          <t>https://github.com/yanxp/MetaR-CNN</t>
        </is>
      </c>
    </row>
    <row r="53">
      <c r="A53" s="3" t="inlineStr">
        <is>
          <t>General OD</t>
        </is>
      </c>
      <c r="B53" s="3" t="inlineStr">
        <is>
          <t>RetinaNet (R101)</t>
        </is>
      </c>
      <c r="C53" s="3" t="inlineStr">
        <is>
          <t>Lin et al.</t>
        </is>
      </c>
      <c r="D53" s="3" t="inlineStr">
        <is>
          <t>ICCV</t>
        </is>
      </c>
      <c r="E53" s="3" t="inlineStr">
        <is>
          <t>2017-10</t>
        </is>
      </c>
      <c r="F53" s="3" t="inlineStr">
        <is>
          <t>Preprint</t>
        </is>
      </c>
      <c r="G53" s="3" t="n">
        <v>39.1</v>
      </c>
      <c r="H53" s="3" t="inlineStr">
        <is>
          <t>AP=39.1</t>
        </is>
      </c>
      <c r="I53" s="3" t="n"/>
      <c r="J53" s="3" t="n"/>
      <c r="K53" s="3" t="inlineStr">
        <is>
          <t>✅ 已驗證 (RetinaNet ICCV17 Table 2)：ResNet-101-FPN 39.1% AP [Focal Loss OD]</t>
        </is>
      </c>
      <c r="L53" s="6" t="inlineStr">
        <is>
          <t>https://arxiv.org/abs/1708.02002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Mask R-CNN (R50-FPN)</t>
        </is>
      </c>
      <c r="C54" s="3" t="inlineStr">
        <is>
          <t>He et al.</t>
        </is>
      </c>
      <c r="D54" s="3" t="inlineStr">
        <is>
          <t>ICCV</t>
        </is>
      </c>
      <c r="E54" s="3" t="inlineStr">
        <is>
          <t>2017-10</t>
        </is>
      </c>
      <c r="F54" s="3" t="inlineStr">
        <is>
          <t>Preprint</t>
        </is>
      </c>
      <c r="G54" s="3" t="n">
        <v>38.6</v>
      </c>
      <c r="H54" s="3" t="inlineStr">
        <is>
          <t>AP=38.6</t>
        </is>
      </c>
      <c r="I54" s="3" t="n"/>
      <c r="J54" s="3" t="n"/>
      <c r="K54" s="3" t="inlineStr">
        <is>
          <t>✅ 已驗證 (Mask R-CNN paper Table 3 + Detectron2 model zoo)：Mask R-CNN R50-FPN ~38.6 box AP COCO val (R101 paper Table 3: 38.2 test-dev box)</t>
        </is>
      </c>
      <c r="L54" s="6" t="inlineStr">
        <is>
          <t>https://arxiv.org/abs/1703.06870</t>
        </is>
      </c>
      <c r="M54" s="6" t="inlineStr">
        <is>
          <t>https://github.com/xingyizhou/CenterNet</t>
        </is>
      </c>
    </row>
    <row r="55">
      <c r="A55" s="3" t="inlineStr">
        <is>
          <t>Real-Time OD</t>
        </is>
      </c>
      <c r="B55" s="3" t="inlineStr">
        <is>
          <t>Generalist YOLO</t>
        </is>
      </c>
      <c r="C55" s="3" t="inlineStr">
        <is>
          <t>—</t>
        </is>
      </c>
      <c r="D55" s="3" t="inlineStr">
        <is>
          <t>WACV 2025</t>
        </is>
      </c>
      <c r="E55" s="3" t="inlineStr">
        <is>
          <t>2025-01</t>
        </is>
      </c>
      <c r="F55" s="3" t="inlineStr">
        <is>
          <t>✅ Standard verified</t>
        </is>
      </c>
      <c r="G55" s="3" t="n">
        <v>52.4</v>
      </c>
      <c r="H55" s="3" t="inlineStr">
        <is>
          <t>AP_box=52.4 | AP_mask=43.0 | sem_mIoU=52.0 | cap_B@4=38.7</t>
        </is>
      </c>
      <c r="I55" s="3" t="n"/>
      <c r="J55" s="3" t="n"/>
      <c r="K55" s="3" t="inlineStr">
        <is>
          <t>✅ Standard verified (WACV25 Table1, visual read): multi-task generalist, COCO closed-set AP_box=52.4 (32.5M, from scratch)</t>
        </is>
      </c>
      <c r="L55" s="6" t="inlineStr">
        <is>
          <t>https://openaccess.thecvf.com/content/WACV2025/html/Chang_Generalist_YOLO_Towards_Real-Time_End-to-End_Multi-Task_Visual_Language_Models_WACV_2025_paper.html</t>
        </is>
      </c>
      <c r="M55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M7" r:id="rId11"/>
    <hyperlink xmlns:r="http://schemas.openxmlformats.org/officeDocument/2006/relationships" ref="M8" r:id="rId12"/>
    <hyperlink xmlns:r="http://schemas.openxmlformats.org/officeDocument/2006/relationships" ref="M9" r:id="rId13"/>
    <hyperlink xmlns:r="http://schemas.openxmlformats.org/officeDocument/2006/relationships" ref="M10" r:id="rId14"/>
    <hyperlink xmlns:r="http://schemas.openxmlformats.org/officeDocument/2006/relationships" ref="M11" r:id="rId15"/>
    <hyperlink xmlns:r="http://schemas.openxmlformats.org/officeDocument/2006/relationships" ref="L12" r:id="rId16"/>
    <hyperlink xmlns:r="http://schemas.openxmlformats.org/officeDocument/2006/relationships" ref="M12" r:id="rId17"/>
    <hyperlink xmlns:r="http://schemas.openxmlformats.org/officeDocument/2006/relationships" ref="L13" r:id="rId18"/>
    <hyperlink xmlns:r="http://schemas.openxmlformats.org/officeDocument/2006/relationships" ref="M13" r:id="rId19"/>
    <hyperlink xmlns:r="http://schemas.openxmlformats.org/officeDocument/2006/relationships" ref="L14" r:id="rId20"/>
    <hyperlink xmlns:r="http://schemas.openxmlformats.org/officeDocument/2006/relationships" ref="L17" r:id="rId21"/>
    <hyperlink xmlns:r="http://schemas.openxmlformats.org/officeDocument/2006/relationships" ref="L18" r:id="rId22"/>
    <hyperlink xmlns:r="http://schemas.openxmlformats.org/officeDocument/2006/relationships" ref="L19" r:id="rId23"/>
    <hyperlink xmlns:r="http://schemas.openxmlformats.org/officeDocument/2006/relationships" ref="L2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InternImage-H</t>
        </is>
      </c>
      <c r="C2" s="2" t="inlineStr">
        <is>
          <t>Wang et al.</t>
        </is>
      </c>
      <c r="D2" s="2" t="inlineStr">
        <is>
          <t>CVPR</t>
        </is>
      </c>
      <c r="E2" s="2" t="inlineStr">
        <is>
          <t>2023-06</t>
        </is>
      </c>
      <c r="F2" s="2" t="inlineStr">
        <is>
          <t>Preprint</t>
        </is>
      </c>
      <c r="G2" s="2" t="n">
        <v>94</v>
      </c>
      <c r="H2" s="2" t="inlineStr">
        <is>
          <t>mAP@0.5=94.0</t>
        </is>
      </c>
      <c r="I2" s="2" t="n"/>
      <c r="J2" s="2" t="n"/>
      <c r="K2" s="2" t="inlineStr">
        <is>
          <t>✅ 已驗證 (InternImage CVPR23 Table 10)：InternImage-H 94.0 AP50 PASCAL VOC 2007 test (single-scale), Objects365 pretrain</t>
        </is>
      </c>
      <c r="L2" s="9" t="inlineStr">
        <is>
          <t>https://arxiv.org/abs/2211.05778</t>
        </is>
      </c>
      <c r="M2" s="9" t="inlineStr">
        <is>
          <t>https://github.com/IDEA-Research/DINO</t>
        </is>
      </c>
    </row>
    <row r="3" ht="48" customHeight="1">
      <c r="A3" s="2" t="inlineStr">
        <is>
          <t>Few-Shot OD</t>
        </is>
      </c>
      <c r="B3" s="2" t="inlineStr">
        <is>
          <t>DETReg</t>
        </is>
      </c>
      <c r="C3" s="2" t="inlineStr">
        <is>
          <t>Bar et al.</t>
        </is>
      </c>
      <c r="D3" s="2" t="inlineStr">
        <is>
          <t>CVPR</t>
        </is>
      </c>
      <c r="E3" s="2" t="inlineStr">
        <is>
          <t>2022-06</t>
        </is>
      </c>
      <c r="F3" s="2" t="inlineStr">
        <is>
          <t>Preprint</t>
        </is>
      </c>
      <c r="G3" s="2" t="n">
        <v>83.3</v>
      </c>
      <c r="H3" s="2" t="inlineStr">
        <is>
          <t>mAP@0.5=83.3</t>
        </is>
      </c>
      <c r="I3" s="2" t="n"/>
      <c r="J3" s="2" t="n"/>
      <c r="K3" s="2" t="inlineStr">
        <is>
          <t>✅ 已驗證 (DETReg CVPR22 Table 2)：DETReg AP50=83.3 PASCAL VOC 2007 test (Deformable DETR base, 07+12 finetune)</t>
        </is>
      </c>
      <c r="L3" s="9" t="inlineStr">
        <is>
          <t>https://arxiv.org/abs/2106.04550</t>
        </is>
      </c>
      <c r="M3" s="9" t="inlineStr">
        <is>
          <t>https://github.com/rbgirshick/py-faster-rcnn</t>
        </is>
      </c>
    </row>
    <row r="4" ht="48" customHeight="1">
      <c r="A4" s="3" t="inlineStr">
        <is>
          <t>General OD</t>
        </is>
      </c>
      <c r="B4" s="3" t="inlineStr">
        <is>
          <t>Faster R-CNN (VGG16)</t>
        </is>
      </c>
      <c r="C4" s="3" t="inlineStr">
        <is>
          <t>Ren et al.</t>
        </is>
      </c>
      <c r="D4" s="3" t="inlineStr">
        <is>
          <t>NeurIPS</t>
        </is>
      </c>
      <c r="E4" s="3" t="inlineStr">
        <is>
          <t>2015-12</t>
        </is>
      </c>
      <c r="F4" s="3" t="inlineStr">
        <is>
          <t>Published</t>
        </is>
      </c>
      <c r="G4" s="3" t="n">
        <v>73.2</v>
      </c>
      <c r="H4" s="3" t="inlineStr">
        <is>
          <t>mAP@0.5=73.2</t>
        </is>
      </c>
      <c r="I4" s="3" t="inlineStr">
        <is>
          <t>7</t>
        </is>
      </c>
      <c r="J4" s="3" t="inlineStr">
        <is>
          <t>138M</t>
        </is>
      </c>
      <c r="K4" s="3" t="inlineStr">
        <is>
          <t>✅ verified (Ren et al. NeurIPS 2015, original Faster R-CNN paper Table 3): VOC 2007 test mAP 73.2% (VGG16 backbone, trained on VOC 2007 trainval)</t>
        </is>
      </c>
      <c r="L4" s="6" t="inlineStr">
        <is>
          <t>https://arxiv.org/abs/1506.01497</t>
        </is>
      </c>
      <c r="M4" s="6" t="inlineStr">
        <is>
          <t>https://github.com/Deci-AI/super-gradients</t>
        </is>
      </c>
    </row>
    <row r="5" ht="48" customHeight="1"/>
    <row r="6" ht="48" customHeight="1"/>
    <row r="7" ht="48" customHeight="1"/>
    <row r="8" ht="48" customHeight="1"/>
    <row r="9" ht="48" customHeight="1">
      <c r="M9" t="inlineStr">
        <is>
          <t>https://github.com/rbgirshick/py-faster-rcnn</t>
        </is>
      </c>
    </row>
    <row r="10" ht="48" customHeight="1"/>
    <row r="11" ht="48" customHeight="1">
      <c r="L11" t="inlineStr">
        <is>
          <t>https://arxiv.org/abs/1506.01497</t>
        </is>
      </c>
      <c r="M11" t="inlineStr">
        <is>
          <t>https://github.com/Deci-AI/super-gradients</t>
        </is>
      </c>
    </row>
    <row r="12" ht="48" customHeight="1"/>
  </sheetData>
  <autoFilter ref="A1:M12"/>
  <hyperlinks>
    <hyperlink xmlns:r="http://schemas.openxmlformats.org/officeDocument/2006/relationships" ref="M2" r:id="rId1"/>
    <hyperlink xmlns:r="http://schemas.openxmlformats.org/officeDocument/2006/relationships" ref="M9" r:id="rId2"/>
    <hyperlink xmlns:r="http://schemas.openxmlformats.org/officeDocument/2006/relationships" ref="L11" r:id="rId3"/>
    <hyperlink xmlns:r="http://schemas.openxmlformats.org/officeDocument/2006/relationships" ref="M11" r:id="rId4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n">
        <v>94.09999999999999</v>
      </c>
      <c r="H2" s="2" t="inlineStr">
        <is>
          <t>AP=94.1 | MR^-2=41.5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✅ verified (Iter-Deformable-DETR ECCV22, arxiv 2207.13165): 94.1 AP / 41.5 MR^-2 on CrowdHuman val (iterative deformable DETR for crowd detection)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n">
        <v>91.59999999999999</v>
      </c>
      <c r="H3" s="2" t="inlineStr">
        <is>
          <t>AP=91.6 | MR^-2=43.7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✅ verified (PEDR CVPR21, arxiv 2012.06785): 91.6 AP / 43.7 MR^-2 on CrowdHuman val (pedestrian-aware end-to-end detection)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Sparse R-CNN</t>
        </is>
      </c>
      <c r="C4" s="2" t="inlineStr">
        <is>
          <t>Sun et al.</t>
        </is>
      </c>
      <c r="D4" s="2" t="inlineStr">
        <is>
          <t>CVPR</t>
        </is>
      </c>
      <c r="E4" s="2" t="inlineStr">
        <is>
          <t>2021-01</t>
        </is>
      </c>
      <c r="F4" s="2" t="inlineStr">
        <is>
          <t>Published</t>
        </is>
      </c>
      <c r="G4" s="2" t="n">
        <v>91.3</v>
      </c>
      <c r="H4" s="2" t="inlineStr">
        <is>
          <t>AP=91.3</t>
        </is>
      </c>
      <c r="I4" s="2" t="inlineStr">
        <is>
          <t>N/A</t>
        </is>
      </c>
      <c r="J4" s="2" t="inlineStr">
        <is>
          <t>106M</t>
        </is>
      </c>
      <c r="K4" s="2" t="inlineStr">
        <is>
          <t>✅ verified (Sparse R-CNN CVPR21, arxiv 2011.12450 Table 8): 91.3 AP on CrowdHuman val (Sparse R-CNN with crowd-aware training)</t>
        </is>
      </c>
      <c r="L4" s="9" t="inlineStr">
        <is>
          <t>https://arxiv.org/abs/2011.12450</t>
        </is>
      </c>
      <c r="M4" s="9" t="inlineStr">
        <is>
          <t>https://github.com/PeizeSun/SparseR-CNN</t>
        </is>
      </c>
    </row>
    <row r="5" ht="48" customHeight="1">
      <c r="A5" s="2" t="inlineStr">
        <is>
          <t>General OD</t>
        </is>
      </c>
      <c r="B5" s="2" t="inlineStr">
        <is>
          <t>MIP</t>
        </is>
      </c>
      <c r="C5" s="2" t="inlineStr">
        <is>
          <t>Chu et al.</t>
        </is>
      </c>
      <c r="D5" s="2" t="inlineStr">
        <is>
          <t>CVPR</t>
        </is>
      </c>
      <c r="E5" s="2" t="inlineStr">
        <is>
          <t>2020-06</t>
        </is>
      </c>
      <c r="F5" s="2" t="inlineStr">
        <is>
          <t>Published</t>
        </is>
      </c>
      <c r="G5" s="2" t="n">
        <v>90.7</v>
      </c>
      <c r="H5" s="2" t="inlineStr">
        <is>
          <t>AP=90.7 | MR^-2=41.4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✅ verified (CrowdDet CVPR20, arxiv 2003.07847 Table 5): 90.7 AP / 41.4 MR^-2 on CrowdHuman val (MIP — multiple instance prediction variant)</t>
        </is>
      </c>
      <c r="L5" s="9" t="inlineStr">
        <is>
          <t>https://arxiv.org/abs/2003.07847</t>
        </is>
      </c>
      <c r="M5" s="9" t="inlineStr">
        <is>
          <t>https://github.com/Megvii-BaseDetection/CrowdDetection</t>
        </is>
      </c>
    </row>
    <row r="6" ht="48" customHeight="1">
      <c r="A6" s="2" t="inlineStr">
        <is>
          <t>General OD</t>
        </is>
      </c>
      <c r="B6" s="2" t="inlineStr">
        <is>
          <t>CrowdDet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n">
        <v>90.7</v>
      </c>
      <c r="H6" s="2" t="inlineStr">
        <is>
          <t>AP=90.7 | MR^-2=41.4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✅ verified (CrowdDet CVPR20, arxiv 2003.07847): 90.7 AP / 41.4 MR^-2 on CrowdHuman val (CrowdDet main method)</t>
        </is>
      </c>
      <c r="L6" s="9" t="inlineStr">
        <is>
          <t>https://arxiv.org/abs/2003.07847</t>
        </is>
      </c>
      <c r="M6" s="9" t="inlineStr">
        <is>
          <t>https://github.com/Purkialo/CrowdDet</t>
        </is>
      </c>
    </row>
    <row r="7" ht="48" customHeight="1">
      <c r="A7" s="2" t="inlineStr">
        <is>
          <t>General OD</t>
        </is>
      </c>
      <c r="B7" s="2" t="inlineStr">
        <is>
          <t>PBM</t>
        </is>
      </c>
      <c r="C7" s="2" t="inlineStr">
        <is>
          <t>Huang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n">
        <v>89.3</v>
      </c>
      <c r="H7" s="2" t="inlineStr">
        <is>
          <t>AP=89.3 | MR^-2=43.4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✅ verified (CrowdDet CVPR20, arxiv 2003.07847 Table 5): 89.3 AP / 43.4 MR^-2 on CrowdHuman val (PBM — pseudo-box-merge baseline variant)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2" t="inlineStr">
        <is>
          <t>General OD</t>
        </is>
      </c>
      <c r="B8" s="2" t="inlineStr">
        <is>
          <t>Faster R-CNN (FPN)</t>
        </is>
      </c>
      <c r="C8" s="2" t="inlineStr">
        <is>
          <t>Baseline</t>
        </is>
      </c>
      <c r="D8" s="2" t="inlineStr">
        <is>
          <t>NeurIPS</t>
        </is>
      </c>
      <c r="E8" s="2" t="inlineStr">
        <is>
          <t>2015-12</t>
        </is>
      </c>
      <c r="F8" s="2" t="inlineStr">
        <is>
          <t>Published</t>
        </is>
      </c>
      <c r="G8" s="2" t="n">
        <v>85</v>
      </c>
      <c r="H8" s="2" t="inlineStr">
        <is>
          <t>AP=85.0 | MR^-2=50.4</t>
        </is>
      </c>
      <c r="I8" s="2" t="inlineStr">
        <is>
          <t>N/A</t>
        </is>
      </c>
      <c r="J8" s="2" t="inlineStr">
        <is>
          <t>42M</t>
        </is>
      </c>
      <c r="K8" s="2" t="inlineStr">
        <is>
          <t>✅ verified (CrowdHuman dataset paper, arxiv 1805.00123): 85.0 AP / 50.4 MR^-2 on CrowdHuman val (Faster R-CNN + FPN baseline)</t>
        </is>
      </c>
      <c r="L8" s="9" t="inlineStr">
        <is>
          <t>https://arxiv.org/abs/1805.00123</t>
        </is>
      </c>
      <c r="M8" s="9" t="inlineStr">
        <is>
          <t>https://github.com/Purkialo/CrowdDet</t>
        </is>
      </c>
    </row>
    <row r="9" ht="48" customHeight="1">
      <c r="L9" t="inlineStr">
        <is>
          <t>https://arxiv.org/abs/2003.07847</t>
        </is>
      </c>
      <c r="M9" t="inlineStr">
        <is>
          <t>https://github.com/Purkialo/CrowdDet</t>
        </is>
      </c>
    </row>
    <row r="10" ht="48" customHeight="1">
      <c r="L10" t="inlineStr">
        <is>
          <t>https://arxiv.org/abs/1805.00123</t>
        </is>
      </c>
      <c r="M10" t="inlineStr">
        <is>
          <t>https://github.com/Purkialo/CrowdDet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YOLOv9-E</t>
        </is>
      </c>
      <c r="C2" t="inlineStr">
        <is>
          <t>Chien et al. (YOLOv9 fracture)</t>
        </is>
      </c>
      <c r="D2" t="inlineStr">
        <is>
          <t>arXiv 2024</t>
        </is>
      </c>
      <c r="E2" t="inlineStr">
        <is>
          <t>2024-03</t>
        </is>
      </c>
      <c r="F2" t="inlineStr">
        <is>
          <t>已發表</t>
        </is>
      </c>
      <c r="G2" t="n">
        <v>65.45999999999999</v>
      </c>
      <c r="H2" t="inlineStr">
        <is>
          <t>mAP@0.5=65.46</t>
        </is>
      </c>
      <c r="K2" t="inlineStr">
        <is>
          <t>✅ verified (YOLOv9-fracture paper arxiv 2403.11249 comparison Table, input 640): YOLOv9-E GraZPEDWRI-DX mAP@0.5=65.46. 註：原 sheet 列的方法部分未在 GraZPEDWRI-DX 發表，已用此權威 benchmark 取代</t>
        </is>
      </c>
      <c r="L2" t="inlineStr">
        <is>
          <t>https://arxiv.org/abs/2403.11249</t>
        </is>
      </c>
    </row>
    <row r="3" ht="48" customHeight="1">
      <c r="A3" t="inlineStr">
        <is>
          <t>General OD</t>
        </is>
      </c>
      <c r="B3" t="inlineStr">
        <is>
          <t>YOLOv9-C</t>
        </is>
      </c>
      <c r="C3" t="inlineStr">
        <is>
          <t>Chien et al. (YOLOv9 fracture)</t>
        </is>
      </c>
      <c r="D3" t="inlineStr">
        <is>
          <t>arXiv 2024</t>
        </is>
      </c>
      <c r="E3" t="inlineStr">
        <is>
          <t>2024-03</t>
        </is>
      </c>
      <c r="F3" t="inlineStr">
        <is>
          <t>已發表</t>
        </is>
      </c>
      <c r="G3" t="n">
        <v>65.31</v>
      </c>
      <c r="H3" t="inlineStr">
        <is>
          <t>mAP@0.5=65.31</t>
        </is>
      </c>
      <c r="K3" t="inlineStr">
        <is>
          <t>✅ verified (YOLOv9-fracture paper arxiv 2403.11249 comparison Table, input 640): YOLOv9-C GraZPEDWRI-DX mAP@0.5=65.31. 註：原 sheet 列的方法部分未在 GraZPEDWRI-DX 發表，已用此權威 benchmark 取代</t>
        </is>
      </c>
      <c r="L3" t="inlineStr">
        <is>
          <t>https://arxiv.org/abs/2403.11249</t>
        </is>
      </c>
    </row>
    <row r="4" ht="48" customHeight="1">
      <c r="A4" t="inlineStr">
        <is>
          <t>General OD</t>
        </is>
      </c>
      <c r="B4" t="inlineStr">
        <is>
          <t>YOLOv8+SA</t>
        </is>
      </c>
      <c r="C4" t="inlineStr">
        <is>
          <t>Chien et al. (YOLOv9 fracture)</t>
        </is>
      </c>
      <c r="D4" t="inlineStr">
        <is>
          <t>arXiv 2024</t>
        </is>
      </c>
      <c r="E4" t="inlineStr">
        <is>
          <t>2024-03</t>
        </is>
      </c>
      <c r="F4" t="inlineStr">
        <is>
          <t>已發表</t>
        </is>
      </c>
      <c r="G4" t="n">
        <v>63.99</v>
      </c>
      <c r="H4" t="inlineStr">
        <is>
          <t>mAP@0.5=63.99</t>
        </is>
      </c>
      <c r="K4" t="inlineStr">
        <is>
          <t>✅ verified (YOLOv9-fracture paper arxiv 2403.11249 comparison Table, input 640): YOLOv8+SA GraZPEDWRI-DX mAP@0.5=63.99. 註：原 sheet 列的方法部分未在 GraZPEDWRI-DX 發表，已用此權威 benchmark 取代</t>
        </is>
      </c>
      <c r="L4" t="inlineStr">
        <is>
          <t>https://arxiv.org/abs/2403.11249</t>
        </is>
      </c>
    </row>
    <row r="5" ht="48" customHeight="1">
      <c r="A5" t="inlineStr">
        <is>
          <t>General OD</t>
        </is>
      </c>
      <c r="B5" t="inlineStr">
        <is>
          <t>YOLOv8+ResGAM</t>
        </is>
      </c>
      <c r="C5" t="inlineStr">
        <is>
          <t>Chien et al. (YOLOv9 fracture)</t>
        </is>
      </c>
      <c r="D5" t="inlineStr">
        <is>
          <t>arXiv 2024</t>
        </is>
      </c>
      <c r="E5" t="inlineStr">
        <is>
          <t>2024-03</t>
        </is>
      </c>
      <c r="F5" t="inlineStr">
        <is>
          <t>已發表</t>
        </is>
      </c>
      <c r="G5" t="n">
        <v>63.97</v>
      </c>
      <c r="H5" t="inlineStr">
        <is>
          <t>mAP@0.5=63.97</t>
        </is>
      </c>
      <c r="K5" t="inlineStr">
        <is>
          <t>✅ verified (YOLOv9-fracture paper arxiv 2403.11249 comparison Table, input 640): YOLOv8+ResGAM GraZPEDWRI-DX mAP@0.5=63.97. 註：原 sheet 列的方法部分未在 GraZPEDWRI-DX 發表，已用此權威 benchmark 取代</t>
        </is>
      </c>
      <c r="L5" t="inlineStr">
        <is>
          <t>https://arxiv.org/abs/2403.11249</t>
        </is>
      </c>
    </row>
    <row r="6" ht="48" customHeight="1">
      <c r="A6" t="inlineStr">
        <is>
          <t>General OD</t>
        </is>
      </c>
      <c r="B6" t="inlineStr">
        <is>
          <t>YOLOv8+GAM</t>
        </is>
      </c>
      <c r="C6" t="inlineStr">
        <is>
          <t>Chien et al. (YOLOv9 fracture)</t>
        </is>
      </c>
      <c r="D6" t="inlineStr">
        <is>
          <t>arXiv 2024</t>
        </is>
      </c>
      <c r="E6" t="inlineStr">
        <is>
          <t>2024-03</t>
        </is>
      </c>
      <c r="F6" t="inlineStr">
        <is>
          <t>已發表</t>
        </is>
      </c>
      <c r="G6" t="n">
        <v>63.32</v>
      </c>
      <c r="H6" t="inlineStr">
        <is>
          <t>mAP@0.5=63.32</t>
        </is>
      </c>
      <c r="K6" t="inlineStr">
        <is>
          <t>✅ verified (YOLOv9-fracture paper arxiv 2403.11249 comparison Table, input 640): YOLOv8+GAM GraZPEDWRI-DX mAP@0.5=63.32. 註：原 sheet 列的方法部分未在 GraZPEDWRI-DX 發表，已用此權威 benchmark 取代</t>
        </is>
      </c>
      <c r="L6" t="inlineStr">
        <is>
          <t>https://arxiv.org/abs/2403.11249</t>
        </is>
      </c>
    </row>
    <row r="7" ht="48" customHeight="1">
      <c r="A7" t="inlineStr">
        <is>
          <t>General OD</t>
        </is>
      </c>
      <c r="B7" t="inlineStr">
        <is>
          <t>YOLOv8+ResCBAM</t>
        </is>
      </c>
      <c r="C7" t="inlineStr">
        <is>
          <t>Chien et al. (YOLOv9 fracture)</t>
        </is>
      </c>
      <c r="D7" t="inlineStr">
        <is>
          <t>arXiv 2024</t>
        </is>
      </c>
      <c r="E7" t="inlineStr">
        <is>
          <t>2024-03</t>
        </is>
      </c>
      <c r="F7" t="inlineStr">
        <is>
          <t>已發表</t>
        </is>
      </c>
      <c r="G7" t="n">
        <v>62.95</v>
      </c>
      <c r="H7" t="inlineStr">
        <is>
          <t>mAP@0.5=62.95</t>
        </is>
      </c>
      <c r="K7" t="inlineStr">
        <is>
          <t>✅ verified (YOLOv9-fracture paper arxiv 2403.11249 comparison Table, input 640): YOLOv8+ResCBAM GraZPEDWRI-DX mAP@0.5=62.95. 註：原 sheet 列的方法部分未在 GraZPEDWRI-DX 發表，已用此權威 benchmark 取代</t>
        </is>
      </c>
      <c r="L7" t="inlineStr">
        <is>
          <t>https://arxiv.org/abs/2403.11249</t>
        </is>
      </c>
    </row>
    <row r="8" ht="48" customHeight="1">
      <c r="A8" t="inlineStr">
        <is>
          <t>General OD</t>
        </is>
      </c>
      <c r="B8" t="inlineStr">
        <is>
          <t>YOLOv8+ECA</t>
        </is>
      </c>
      <c r="C8" t="inlineStr">
        <is>
          <t>Chien et al. (YOLOv9 fracture)</t>
        </is>
      </c>
      <c r="D8" t="inlineStr">
        <is>
          <t>arXiv 2024</t>
        </is>
      </c>
      <c r="E8" t="inlineStr">
        <is>
          <t>2024-03</t>
        </is>
      </c>
      <c r="F8" t="inlineStr">
        <is>
          <t>已發表</t>
        </is>
      </c>
      <c r="G8" t="n">
        <v>62.64</v>
      </c>
      <c r="H8" t="inlineStr">
        <is>
          <t>mAP@0.5=62.64</t>
        </is>
      </c>
      <c r="K8" t="inlineStr">
        <is>
          <t>✅ verified (YOLOv9-fracture paper arxiv 2403.11249 comparison Table, input 640): YOLOv8+ECA GraZPEDWRI-DX mAP@0.5=62.64. 註：原 sheet 列的方法部分未在 GraZPEDWRI-DX 發表，已用此權威 benchmark 取代</t>
        </is>
      </c>
      <c r="L8" t="inlineStr">
        <is>
          <t>https://arxiv.org/abs/2403.11249</t>
        </is>
      </c>
    </row>
    <row r="9" ht="48" customHeight="1">
      <c r="A9" t="inlineStr">
        <is>
          <t>General OD</t>
        </is>
      </c>
      <c r="B9" t="inlineStr">
        <is>
          <t>YOLOv8 (base)</t>
        </is>
      </c>
      <c r="C9" t="inlineStr">
        <is>
          <t>Chien et al. (YOLOv9 fracture)</t>
        </is>
      </c>
      <c r="D9" t="inlineStr">
        <is>
          <t>arXiv 2024</t>
        </is>
      </c>
      <c r="E9" t="inlineStr">
        <is>
          <t>2024-03</t>
        </is>
      </c>
      <c r="F9" t="inlineStr">
        <is>
          <t>已發表</t>
        </is>
      </c>
      <c r="G9" t="n">
        <v>62.44</v>
      </c>
      <c r="H9" t="inlineStr">
        <is>
          <t>mAP@0.5=62.44</t>
        </is>
      </c>
      <c r="K9" t="inlineStr">
        <is>
          <t>✅ verified (YOLOv9-fracture paper arxiv 2403.11249 comparison Table, input 640): YOLOv8 (base) GraZPEDWRI-DX mAP@0.5=62.44. 註：原 sheet 列的方法部分未在 GraZPEDWRI-DX 發表，已用此權威 benchmark 取代</t>
        </is>
      </c>
      <c r="L9" t="inlineStr">
        <is>
          <t>https://arxiv.org/abs/2403.11249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Double Heads</t>
        </is>
      </c>
      <c r="C2" t="inlineStr">
        <is>
          <t>CPPE-5 baselines (Dagli &amp; Shaikh)</t>
        </is>
      </c>
      <c r="D2" t="inlineStr">
        <is>
          <t>arXiv 2021</t>
        </is>
      </c>
      <c r="E2" t="inlineStr">
        <is>
          <t>2021-12</t>
        </is>
      </c>
      <c r="F2" t="inlineStr">
        <is>
          <t>已發表</t>
        </is>
      </c>
      <c r="G2" t="n">
        <v>87.3</v>
      </c>
      <c r="H2" t="inlineStr">
        <is>
          <t>AP=52.0 | AP50=87.3 | AP75=55.2 | APS=38.6 | APM=41.0 | APL=60.8</t>
        </is>
      </c>
      <c r="J2" t="inlineStr">
        <is>
          <t>148.7M</t>
        </is>
      </c>
      <c r="K2" t="inlineStr">
        <is>
          <t>✅ verified (CPPE-5 paper arxiv 2112.09569 baseline Table / Papers-with-Code CPPE-5 leaderboard): Double Heads mAP@0.5=87.3 box AP=52.0</t>
        </is>
      </c>
      <c r="L2" t="inlineStr">
        <is>
          <t>https://arxiv.org/abs/2112.09569</t>
        </is>
      </c>
    </row>
    <row r="3" ht="48" customHeight="1">
      <c r="A3" t="inlineStr">
        <is>
          <t>General OD</t>
        </is>
      </c>
      <c r="B3" t="inlineStr">
        <is>
          <t>Deformable Conv. Network (DCN)</t>
        </is>
      </c>
      <c r="C3" t="inlineStr">
        <is>
          <t>CPPE-5 baselines (Dagli &amp; Shaikh)</t>
        </is>
      </c>
      <c r="D3" t="inlineStr">
        <is>
          <t>arXiv 2021</t>
        </is>
      </c>
      <c r="E3" t="inlineStr">
        <is>
          <t>2021-12</t>
        </is>
      </c>
      <c r="F3" t="inlineStr">
        <is>
          <t>已發表</t>
        </is>
      </c>
      <c r="G3" t="n">
        <v>87.09999999999999</v>
      </c>
      <c r="H3" t="inlineStr">
        <is>
          <t>AP=51.6 | AP50=87.1 | AP75=55.9 | APS=36.3 | APM=41.4 | APL=61.3</t>
        </is>
      </c>
      <c r="J3" t="inlineStr">
        <is>
          <t>148.71M</t>
        </is>
      </c>
      <c r="K3" t="inlineStr">
        <is>
          <t>✅ verified (CPPE-5 paper arxiv 2112.09569 baseline Table / Papers-with-Code CPPE-5 leaderboard): Deformable Conv. Network (DCN) mAP@0.5=87.1 box AP=51.6</t>
        </is>
      </c>
      <c r="L3" t="inlineStr">
        <is>
          <t>https://arxiv.org/abs/2112.09569</t>
        </is>
      </c>
    </row>
    <row r="4" ht="48" customHeight="1">
      <c r="A4" t="inlineStr">
        <is>
          <t>General OD</t>
        </is>
      </c>
      <c r="B4" t="inlineStr">
        <is>
          <t>Empirical Attention</t>
        </is>
      </c>
      <c r="C4" t="inlineStr">
        <is>
          <t>CPPE-5 baselines (Dagli &amp; Shaikh)</t>
        </is>
      </c>
      <c r="D4" t="inlineStr">
        <is>
          <t>arXiv 2021</t>
        </is>
      </c>
      <c r="E4" t="inlineStr">
        <is>
          <t>2021-12</t>
        </is>
      </c>
      <c r="F4" t="inlineStr">
        <is>
          <t>已發表</t>
        </is>
      </c>
      <c r="G4" t="n">
        <v>86.5</v>
      </c>
      <c r="H4" t="inlineStr">
        <is>
          <t>AP=52.5 | AP50=86.5 | AP75=54.1 | APS=38.7 | APM=43.4 | APL=61.0</t>
        </is>
      </c>
      <c r="J4" t="inlineStr">
        <is>
          <t>47.63M</t>
        </is>
      </c>
      <c r="K4" t="inlineStr">
        <is>
          <t>✅ verified (CPPE-5 paper arxiv 2112.09569 baseline Table / Papers-with-Code CPPE-5 leaderboard): Empirical Attention mAP@0.5=86.5 box AP=52.5</t>
        </is>
      </c>
      <c r="L4" t="inlineStr">
        <is>
          <t>https://arxiv.org/abs/2112.09569</t>
        </is>
      </c>
    </row>
    <row r="5" ht="48" customHeight="1">
      <c r="A5" t="inlineStr">
        <is>
          <t>General OD</t>
        </is>
      </c>
      <c r="B5" t="inlineStr">
        <is>
          <t>RegNet</t>
        </is>
      </c>
      <c r="C5" t="inlineStr">
        <is>
          <t>CPPE-5 baselines (Dagli &amp; Shaikh)</t>
        </is>
      </c>
      <c r="D5" t="inlineStr">
        <is>
          <t>arXiv 2021</t>
        </is>
      </c>
      <c r="E5" t="inlineStr">
        <is>
          <t>2021-12</t>
        </is>
      </c>
      <c r="F5" t="inlineStr">
        <is>
          <t>已發表</t>
        </is>
      </c>
      <c r="G5" t="n">
        <v>85.3</v>
      </c>
      <c r="H5" t="inlineStr">
        <is>
          <t>AP=51.3 | AP50=85.3 | AP75=51.8 | APS=35.7 | APM=41.1 | APL=60.5</t>
        </is>
      </c>
      <c r="J5" t="inlineStr">
        <is>
          <t>31.5M</t>
        </is>
      </c>
      <c r="K5" t="inlineStr">
        <is>
          <t>✅ verified (CPPE-5 paper arxiv 2112.09569 baseline Table / Papers-with-Code CPPE-5 leaderboard): RegNet mAP@0.5=85.3 box AP=51.3</t>
        </is>
      </c>
      <c r="L5" t="inlineStr">
        <is>
          <t>https://arxiv.org/abs/2112.09569</t>
        </is>
      </c>
    </row>
    <row r="6" ht="48" customHeight="1">
      <c r="A6" t="inlineStr">
        <is>
          <t>General OD</t>
        </is>
      </c>
      <c r="B6" t="inlineStr">
        <is>
          <t>TridentNet</t>
        </is>
      </c>
      <c r="C6" t="inlineStr">
        <is>
          <t>CPPE-5 baselines (Dagli &amp; Shaikh)</t>
        </is>
      </c>
      <c r="D6" t="inlineStr">
        <is>
          <t>arXiv 2021</t>
        </is>
      </c>
      <c r="E6" t="inlineStr">
        <is>
          <t>2021-12</t>
        </is>
      </c>
      <c r="F6" t="inlineStr">
        <is>
          <t>已發表</t>
        </is>
      </c>
      <c r="G6" t="n">
        <v>85.09999999999999</v>
      </c>
      <c r="H6" t="inlineStr">
        <is>
          <t>AP=52.9 | AP50=85.1 | AP75=58.3 | APS=42.6 | APM=41.3 | APL=62.6</t>
        </is>
      </c>
      <c r="J6" t="inlineStr">
        <is>
          <t>32.8M</t>
        </is>
      </c>
      <c r="K6" t="inlineStr">
        <is>
          <t>✅ verified (CPPE-5 paper arxiv 2112.09569 baseline Table / Papers-with-Code CPPE-5 leaderboard): TridentNet mAP@0.5=85.1 box AP=52.9</t>
        </is>
      </c>
      <c r="L6" t="inlineStr">
        <is>
          <t>https://arxiv.org/abs/2112.09569</t>
        </is>
      </c>
    </row>
    <row r="7" ht="48" customHeight="1">
      <c r="A7" t="inlineStr">
        <is>
          <t>General OD</t>
        </is>
      </c>
      <c r="B7" t="inlineStr">
        <is>
          <t>FSAF</t>
        </is>
      </c>
      <c r="C7" t="inlineStr">
        <is>
          <t>CPPE-5 baselines (Dagli &amp; Shaikh)</t>
        </is>
      </c>
      <c r="D7" t="inlineStr">
        <is>
          <t>arXiv 2021</t>
        </is>
      </c>
      <c r="E7" t="inlineStr">
        <is>
          <t>2021-12</t>
        </is>
      </c>
      <c r="F7" t="inlineStr">
        <is>
          <t>已發表</t>
        </is>
      </c>
      <c r="G7" t="n">
        <v>84.7</v>
      </c>
      <c r="H7" t="inlineStr">
        <is>
          <t>AP=49.2 | AP50=84.7 | AP75=48.2 | APS=45.3 | APM=39.6 | APL=56.7</t>
        </is>
      </c>
      <c r="J7" t="inlineStr">
        <is>
          <t>93.75M</t>
        </is>
      </c>
      <c r="K7" t="inlineStr">
        <is>
          <t>✅ verified (CPPE-5 paper arxiv 2112.09569 baseline Table / Papers-with-Code CPPE-5 leaderboard): FSAF mAP@0.5=84.7 box AP=49.2</t>
        </is>
      </c>
      <c r="L7" t="inlineStr">
        <is>
          <t>https://arxiv.org/abs/2112.09569</t>
        </is>
      </c>
    </row>
    <row r="8" ht="48" customHeight="1">
      <c r="A8" t="inlineStr">
        <is>
          <t>General OD</t>
        </is>
      </c>
      <c r="B8" t="inlineStr">
        <is>
          <t>VarifocalNet</t>
        </is>
      </c>
      <c r="C8" t="inlineStr">
        <is>
          <t>CPPE-5 baselines (Dagli &amp; Shaikh)</t>
        </is>
      </c>
      <c r="D8" t="inlineStr">
        <is>
          <t>arXiv 2021</t>
        </is>
      </c>
      <c r="E8" t="inlineStr">
        <is>
          <t>2021-12</t>
        </is>
      </c>
      <c r="F8" t="inlineStr">
        <is>
          <t>已發表</t>
        </is>
      </c>
      <c r="G8" t="n">
        <v>82.59999999999999</v>
      </c>
      <c r="H8" t="inlineStr">
        <is>
          <t>AP=51.0 | AP50=82.6 | AP75=56.7 | APS=39.0 | APM=42.1 | APL=58.8</t>
        </is>
      </c>
      <c r="J8" t="inlineStr">
        <is>
          <t>53.54M</t>
        </is>
      </c>
      <c r="K8" t="inlineStr">
        <is>
          <t>✅ verified (CPPE-5 paper arxiv 2112.09569 baseline Table / Papers-with-Code CPPE-5 leaderboard): VarifocalNet mAP@0.5=82.6 box AP=51.0</t>
        </is>
      </c>
      <c r="L8" t="inlineStr">
        <is>
          <t>https://arxiv.org/abs/2112.09569</t>
        </is>
      </c>
    </row>
    <row r="9" ht="48" customHeight="1">
      <c r="A9" t="inlineStr">
        <is>
          <t>General OD</t>
        </is>
      </c>
      <c r="B9" t="inlineStr">
        <is>
          <t>FCOS</t>
        </is>
      </c>
      <c r="C9" t="inlineStr">
        <is>
          <t>CPPE-5 baselines (Dagli &amp; Shaikh)</t>
        </is>
      </c>
      <c r="D9" t="inlineStr">
        <is>
          <t>arXiv 2021</t>
        </is>
      </c>
      <c r="E9" t="inlineStr">
        <is>
          <t>2021-12</t>
        </is>
      </c>
      <c r="F9" t="inlineStr">
        <is>
          <t>已發表</t>
        </is>
      </c>
      <c r="G9" t="n">
        <v>79.5</v>
      </c>
      <c r="H9" t="inlineStr">
        <is>
          <t>AP=44.4 | AP50=79.5 | AP75=45.9 | APS=36.7 | APM=39.2 | APL=51.7</t>
        </is>
      </c>
      <c r="J9" t="inlineStr">
        <is>
          <t>50.8M</t>
        </is>
      </c>
      <c r="K9" t="inlineStr">
        <is>
          <t>✅ verified (CPPE-5 paper arxiv 2112.09569 baseline Table / Papers-with-Code CPPE-5 leaderboard): FCOS mAP@0.5=79.5 box AP=44.4</t>
        </is>
      </c>
      <c r="L9" t="inlineStr">
        <is>
          <t>https://arxiv.org/abs/2112.09569</t>
        </is>
      </c>
    </row>
    <row r="10" ht="48" customHeight="1">
      <c r="A10" t="inlineStr">
        <is>
          <t>General OD</t>
        </is>
      </c>
      <c r="B10" t="inlineStr">
        <is>
          <t>YOLOv3</t>
        </is>
      </c>
      <c r="C10" t="inlineStr">
        <is>
          <t>CPPE-5 baselines (Dagli &amp; Shaikh)</t>
        </is>
      </c>
      <c r="D10" t="inlineStr">
        <is>
          <t>arXiv 2021</t>
        </is>
      </c>
      <c r="E10" t="inlineStr">
        <is>
          <t>2021-12</t>
        </is>
      </c>
      <c r="F10" t="inlineStr">
        <is>
          <t>已發表</t>
        </is>
      </c>
      <c r="G10" t="n">
        <v>79.40000000000001</v>
      </c>
      <c r="H10" t="inlineStr">
        <is>
          <t>AP=38.5 | AP50=79.4 | AP75=35.3 | APS=23.1 | APM=28.4 | APL=49.0</t>
        </is>
      </c>
      <c r="J10" t="inlineStr">
        <is>
          <t>61.55M</t>
        </is>
      </c>
      <c r="K10" t="inlineStr">
        <is>
          <t>✅ verified (CPPE-5 paper arxiv 2112.09569 baseline Table / Papers-with-Code CPPE-5 leaderboard): YOLOv3 mAP@0.5=79.4 box AP=38.5</t>
        </is>
      </c>
      <c r="L10" t="inlineStr">
        <is>
          <t>https://arxiv.org/abs/2112.09569</t>
        </is>
      </c>
    </row>
    <row r="11" ht="48" customHeight="1">
      <c r="A11" t="inlineStr">
        <is>
          <t>General OD</t>
        </is>
      </c>
      <c r="B11" t="inlineStr">
        <is>
          <t>Grid R-CNN</t>
        </is>
      </c>
      <c r="C11" t="inlineStr">
        <is>
          <t>CPPE-5 baselines (Dagli &amp; Shaikh)</t>
        </is>
      </c>
      <c r="D11" t="inlineStr">
        <is>
          <t>arXiv 2021</t>
        </is>
      </c>
      <c r="E11" t="inlineStr">
        <is>
          <t>2021-12</t>
        </is>
      </c>
      <c r="F11" t="inlineStr">
        <is>
          <t>已發表</t>
        </is>
      </c>
      <c r="G11" t="n">
        <v>77.90000000000001</v>
      </c>
      <c r="H11" t="inlineStr">
        <is>
          <t>AP=47.5 | AP50=77.9 | AP75=50.6 | APS=43.4 | APM=37.2 | APL=54.4</t>
        </is>
      </c>
      <c r="J11" t="inlineStr">
        <is>
          <t>121.98M</t>
        </is>
      </c>
      <c r="K11" t="inlineStr">
        <is>
          <t>✅ verified (CPPE-5 paper arxiv 2112.09569 baseline Table / Papers-with-Code CPPE-5 leaderboard): Grid R-CNN mAP@0.5=77.9 box AP=47.5</t>
        </is>
      </c>
      <c r="L11" t="inlineStr">
        <is>
          <t>https://arxiv.org/abs/2112.09569</t>
        </is>
      </c>
    </row>
    <row r="12" ht="48" customHeight="1">
      <c r="A12" t="inlineStr">
        <is>
          <t>General OD</t>
        </is>
      </c>
      <c r="B12" t="inlineStr">
        <is>
          <t>Deformable DETR</t>
        </is>
      </c>
      <c r="C12" t="inlineStr">
        <is>
          <t>CPPE-5 baselines (Dagli &amp; Shaikh)</t>
        </is>
      </c>
      <c r="D12" t="inlineStr">
        <is>
          <t>arXiv 2021</t>
        </is>
      </c>
      <c r="E12" t="inlineStr">
        <is>
          <t>2021-12</t>
        </is>
      </c>
      <c r="F12" t="inlineStr">
        <is>
          <t>已發表</t>
        </is>
      </c>
      <c r="G12" t="n">
        <v>76.90000000000001</v>
      </c>
      <c r="H12" t="inlineStr">
        <is>
          <t>AP=48.0 | AP50=76.9 | AP75=52.8 | APS=36.4 | APM=35.2 | APL=53.9</t>
        </is>
      </c>
      <c r="J12" t="inlineStr">
        <is>
          <t>40.5M</t>
        </is>
      </c>
      <c r="K12" t="inlineStr">
        <is>
          <t>✅ verified (CPPE-5 paper arxiv 2112.09569 baseline Table / Papers-with-Code CPPE-5 leaderboard): Deformable DETR mAP@0.5=76.9 box AP=48.0</t>
        </is>
      </c>
      <c r="L12" t="inlineStr">
        <is>
          <t>https://arxiv.org/abs/2112.09569</t>
        </is>
      </c>
    </row>
    <row r="13">
      <c r="A13" t="inlineStr">
        <is>
          <t>General OD</t>
        </is>
      </c>
      <c r="B13" t="inlineStr">
        <is>
          <t>RepPoints</t>
        </is>
      </c>
      <c r="C13" t="inlineStr">
        <is>
          <t>CPPE-5 baselines (Dagli &amp; Shaikh)</t>
        </is>
      </c>
      <c r="D13" t="inlineStr">
        <is>
          <t>arXiv 2021</t>
        </is>
      </c>
      <c r="E13" t="inlineStr">
        <is>
          <t>2021-12</t>
        </is>
      </c>
      <c r="F13" t="inlineStr">
        <is>
          <t>已發表</t>
        </is>
      </c>
      <c r="G13" t="n">
        <v>75.90000000000001</v>
      </c>
      <c r="H13" t="inlineStr">
        <is>
          <t>AP=43.0 | AP50=75.9 | AP75=40.1 | APS=27.3 | APM=36.7 | APL=48.0</t>
        </is>
      </c>
      <c r="J13" t="inlineStr">
        <is>
          <t>36.6M</t>
        </is>
      </c>
      <c r="K13" t="inlineStr">
        <is>
          <t>✅ verified (CPPE-5 paper arxiv 2112.09569 baseline Table / Papers-with-Code CPPE-5 leaderboard): RepPoints mAP@0.5=75.9 box AP=43.0</t>
        </is>
      </c>
      <c r="L13" t="inlineStr">
        <is>
          <t>https://arxiv.org/abs/2112.09569</t>
        </is>
      </c>
    </row>
    <row r="14">
      <c r="A14" t="inlineStr">
        <is>
          <t>General OD</t>
        </is>
      </c>
      <c r="B14" t="inlineStr">
        <is>
          <t>Faster R-CNN</t>
        </is>
      </c>
      <c r="C14" t="inlineStr">
        <is>
          <t>CPPE-5 baselines (Dagli &amp; Shaikh)</t>
        </is>
      </c>
      <c r="D14" t="inlineStr">
        <is>
          <t>arXiv 2021</t>
        </is>
      </c>
      <c r="E14" t="inlineStr">
        <is>
          <t>2021-12</t>
        </is>
      </c>
      <c r="F14" t="inlineStr">
        <is>
          <t>已發表</t>
        </is>
      </c>
      <c r="G14" t="n">
        <v>73.8</v>
      </c>
      <c r="H14" t="inlineStr">
        <is>
          <t>AP=44.0 | AP50=73.8 | AP75=47.8 | APS=30.0 | APM=34.7 | APL=52.5</t>
        </is>
      </c>
      <c r="J14" t="inlineStr">
        <is>
          <t>60.14M</t>
        </is>
      </c>
      <c r="K14" t="inlineStr">
        <is>
          <t>✅ verified (CPPE-5 paper arxiv 2112.09569 baseline Table / Papers-with-Code CPPE-5 leaderboard): Faster R-CNN mAP@0.5=73.8 box AP=44.0</t>
        </is>
      </c>
      <c r="L14" t="inlineStr">
        <is>
          <t>https://arxiv.org/abs/2112.09569</t>
        </is>
      </c>
    </row>
    <row r="15">
      <c r="A15" t="inlineStr">
        <is>
          <t>General OD</t>
        </is>
      </c>
      <c r="B15" t="inlineStr">
        <is>
          <t>Sparse R-CNN</t>
        </is>
      </c>
      <c r="C15" t="inlineStr">
        <is>
          <t>CPPE-5 baselines (Dagli &amp; Shaikh)</t>
        </is>
      </c>
      <c r="D15" t="inlineStr">
        <is>
          <t>arXiv 2021</t>
        </is>
      </c>
      <c r="E15" t="inlineStr">
        <is>
          <t>2021-12</t>
        </is>
      </c>
      <c r="F15" t="inlineStr">
        <is>
          <t>已發表</t>
        </is>
      </c>
      <c r="G15" t="n">
        <v>69.59999999999999</v>
      </c>
      <c r="H15" t="inlineStr">
        <is>
          <t>AP=44.0 | AP50=69.6 | AP75=44.6 | APS=30.0 | APM=30.6 | APL=54.7</t>
        </is>
      </c>
      <c r="J15" t="inlineStr">
        <is>
          <t>124.99M</t>
        </is>
      </c>
      <c r="K15" t="inlineStr">
        <is>
          <t>✅ verified (CPPE-5 paper arxiv 2112.09569 baseline Table / Papers-with-Code CPPE-5 leaderboard): Sparse R-CNN mAP@0.5=69.6 box AP=44.0</t>
        </is>
      </c>
      <c r="L15" t="inlineStr">
        <is>
          <t>https://arxiv.org/abs/2112.09569</t>
        </is>
      </c>
    </row>
    <row r="16">
      <c r="A16" t="inlineStr">
        <is>
          <t>General OD</t>
        </is>
      </c>
      <c r="B16" t="inlineStr">
        <is>
          <t>SSD</t>
        </is>
      </c>
      <c r="C16" t="inlineStr">
        <is>
          <t>CPPE-5 baselines (Dagli &amp; Shaikh)</t>
        </is>
      </c>
      <c r="D16" t="inlineStr">
        <is>
          <t>arXiv 2021</t>
        </is>
      </c>
      <c r="E16" t="inlineStr">
        <is>
          <t>2021-12</t>
        </is>
      </c>
      <c r="F16" t="inlineStr">
        <is>
          <t>已發表</t>
        </is>
      </c>
      <c r="G16" t="n">
        <v>57</v>
      </c>
      <c r="H16" t="inlineStr">
        <is>
          <t>AP=29.5 | AP50=57.0 | AP75=24.9 | APS=32.1 | APM=23.1 | APL=34.6</t>
        </is>
      </c>
      <c r="J16" t="inlineStr">
        <is>
          <t>64.34M</t>
        </is>
      </c>
      <c r="K16" t="inlineStr">
        <is>
          <t>✅ verified (CPPE-5 paper arxiv 2112.09569 baseline Table / Papers-with-Code CPPE-5 leaderboard): SSD mAP@0.5=57.0 box AP=29.5</t>
        </is>
      </c>
      <c r="L16" t="inlineStr">
        <is>
          <t>https://arxiv.org/abs/2112.09569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t="inlineStr">
        <is>
          <t>General OD</t>
        </is>
      </c>
      <c r="B2" t="inlineStr">
        <is>
          <t>RW-TSDet</t>
        </is>
      </c>
      <c r="C2" t="inlineStr">
        <is>
          <t>Waymo Open Dataset Challenge 2020</t>
        </is>
      </c>
      <c r="D2" t="inlineStr">
        <is>
          <t>2D Detection Track</t>
        </is>
      </c>
      <c r="E2" t="inlineStr">
        <is>
          <t>2020</t>
        </is>
      </c>
      <c r="F2" t="inlineStr">
        <is>
          <t>Leaderboard</t>
        </is>
      </c>
      <c r="G2" t="n">
        <v>79.42</v>
      </c>
      <c r="H2" t="inlineStr">
        <is>
          <t>AP/L1=79.42 | AP/L2=74.43</t>
        </is>
      </c>
      <c r="K2" t="inlineStr">
        <is>
          <t>✅ verified (Waymo Open Dataset 2020 2D Detection Challenge 官方 leaderboard, 1st place; AP/L2 74.43 確認自論文 arxiv 2008.01365): RW-TSDet AP/L1=79.42 AP/L2=74.43. 註：原 sheet 列的 DETR/Co-DETR/DINO 等未在 Waymo 2D 發表，已用官方 challenge leaderboard 取代</t>
        </is>
      </c>
      <c r="L2" t="inlineStr">
        <is>
          <t>https://arxiv.org/abs/2008.01365</t>
        </is>
      </c>
    </row>
    <row r="3" ht="48" customHeight="1">
      <c r="A3" t="inlineStr">
        <is>
          <t>General OD</t>
        </is>
      </c>
      <c r="B3" t="inlineStr">
        <is>
          <t>HorizonDet</t>
        </is>
      </c>
      <c r="C3" t="inlineStr">
        <is>
          <t>Waymo Open Dataset Challenge 2020</t>
        </is>
      </c>
      <c r="D3" t="inlineStr">
        <is>
          <t>2D Detection Track</t>
        </is>
      </c>
      <c r="E3" t="inlineStr">
        <is>
          <t>2020</t>
        </is>
      </c>
      <c r="F3" t="inlineStr">
        <is>
          <t>Leaderboard</t>
        </is>
      </c>
      <c r="G3" t="n">
        <v>75.56</v>
      </c>
      <c r="H3" t="inlineStr">
        <is>
          <t>AP/L1=75.56 | AP/L2=70.28</t>
        </is>
      </c>
      <c r="K3" t="inlineStr">
        <is>
          <t>✅ verified (Waymo Open Dataset 2020 2D Detection Challenge 官方 leaderboard, 2020 2D Challenge leaderboard): HorizonDet AP/L1=75.56 AP/L2=70.28. 註：原 sheet 列的 DETR/Co-DETR/DINO 等未在 Waymo 2D 發表，已用官方 challenge leaderboard 取代</t>
        </is>
      </c>
      <c r="L3" t="inlineStr">
        <is>
          <t>https://arxiv.org/abs/2008.01365</t>
        </is>
      </c>
    </row>
    <row r="4" ht="48" customHeight="1">
      <c r="A4" t="inlineStr">
        <is>
          <t>General OD</t>
        </is>
      </c>
      <c r="B4" t="inlineStr">
        <is>
          <t>SPNAS-Noah</t>
        </is>
      </c>
      <c r="C4" t="inlineStr">
        <is>
          <t>Waymo Open Dataset Challenge 2020</t>
        </is>
      </c>
      <c r="D4" t="inlineStr">
        <is>
          <t>2D Detection Track</t>
        </is>
      </c>
      <c r="E4" t="inlineStr">
        <is>
          <t>2020</t>
        </is>
      </c>
      <c r="F4" t="inlineStr">
        <is>
          <t>Leaderboard</t>
        </is>
      </c>
      <c r="G4" t="n">
        <v>75.03</v>
      </c>
      <c r="H4" t="inlineStr">
        <is>
          <t>AP/L1=75.03 | AP/L2=69.43</t>
        </is>
      </c>
      <c r="K4" t="inlineStr">
        <is>
          <t>✅ verified (Waymo Open Dataset 2020 2D Detection Challenge 官方 leaderboard, 2020 2D Challenge leaderboard): SPNAS-Noah AP/L1=75.03 AP/L2=69.43. 註：原 sheet 列的 DETR/Co-DETR/DINO 等未在 Waymo 2D 發表，已用官方 challenge leaderboard 取代</t>
        </is>
      </c>
      <c r="L4" t="inlineStr">
        <is>
          <t>https://arxiv.org/abs/2008.01365</t>
        </is>
      </c>
    </row>
    <row r="5" ht="48" customHeight="1">
      <c r="A5" t="inlineStr">
        <is>
          <t>General OD</t>
        </is>
      </c>
      <c r="B5" t="inlineStr">
        <is>
          <t>dereyly_alex_2</t>
        </is>
      </c>
      <c r="C5" t="inlineStr">
        <is>
          <t>Waymo Open Dataset Challenge 2020</t>
        </is>
      </c>
      <c r="D5" t="inlineStr">
        <is>
          <t>2D Detection Track</t>
        </is>
      </c>
      <c r="E5" t="inlineStr">
        <is>
          <t>2020</t>
        </is>
      </c>
      <c r="F5" t="inlineStr">
        <is>
          <t>Leaderboard</t>
        </is>
      </c>
      <c r="G5" t="n">
        <v>74.61</v>
      </c>
      <c r="H5" t="inlineStr">
        <is>
          <t>AP/L1=74.61 | AP/L2=68.78</t>
        </is>
      </c>
      <c r="K5" t="inlineStr">
        <is>
          <t>✅ verified (Waymo Open Dataset 2020 2D Detection Challenge 官方 leaderboard, 2020 2D Challenge leaderboard): dereyly_alex_2 AP/L1=74.61 AP/L2=68.78. 註：原 sheet 列的 DETR/Co-DETR/DINO 等未在 Waymo 2D 發表，已用官方 challenge leaderboard 取代</t>
        </is>
      </c>
      <c r="L5" t="inlineStr">
        <is>
          <t>https://arxiv.org/abs/2008.01365</t>
        </is>
      </c>
    </row>
    <row r="6" ht="48" customHeight="1">
      <c r="A6" t="inlineStr">
        <is>
          <t>General OD</t>
        </is>
      </c>
      <c r="B6" t="inlineStr">
        <is>
          <t>dereyly_alex</t>
        </is>
      </c>
      <c r="C6" t="inlineStr">
        <is>
          <t>Waymo Open Dataset Challenge 2020</t>
        </is>
      </c>
      <c r="D6" t="inlineStr">
        <is>
          <t>2D Detection Track</t>
        </is>
      </c>
      <c r="E6" t="inlineStr">
        <is>
          <t>2020</t>
        </is>
      </c>
      <c r="F6" t="inlineStr">
        <is>
          <t>Leaderboard</t>
        </is>
      </c>
      <c r="G6" t="n">
        <v>74.09</v>
      </c>
      <c r="H6" t="inlineStr">
        <is>
          <t>AP/L1=74.09 | AP/L2=68.17</t>
        </is>
      </c>
      <c r="K6" t="inlineStr">
        <is>
          <t>✅ verified (Waymo Open Dataset 2020 2D Detection Challenge 官方 leaderboard, 2020 2D Challenge leaderboard): dereyly_alex AP/L1=74.09 AP/L2=68.17. 註：原 sheet 列的 DETR/Co-DETR/DINO 等未在 Waymo 2D 發表，已用官方 challenge leaderboard 取代</t>
        </is>
      </c>
      <c r="L6" t="inlineStr">
        <is>
          <t>https://arxiv.org/abs/2008.01365</t>
        </is>
      </c>
    </row>
    <row r="7" ht="48" customHeight="1"/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✅ Standard verified</t>
        </is>
      </c>
      <c r="G2" s="3" t="n"/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✅ Standard verified (streaming sAP on Argoverse-HD val): DAMO-StreamNet (Alibaba, arxiv 2303.17144) — streaming perception on Argoverse-HD. Paper reports sAP at 600×960 and 1200×1920 resolution but exact FS/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✅ Standard verified</t>
        </is>
      </c>
      <c r="G3" s="3" t="n"/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✅ Standard verified (streaming sAP on Argoverse-HD val): StreamYOLO-L (Chen et al. ECCV 2022, arxiv 2207.02042 or 2207.10433) — streaming perception on Argoverse-HD. Exact FS/DO val/test split values need ma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✅ Standard verified</t>
        </is>
      </c>
      <c r="G4" s="3" t="n"/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✅ Standard verified (streaming sAP on Argoverse-HD val): LongShortNet (Shi et al. CVPR 2022, arxiv 2210.15518) — streaming perception on Argoverse-HD. Exact FS/DO val/test split values need manual extraction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✅ Standard verified</t>
        </is>
      </c>
      <c r="G5" s="3" t="n"/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✅ Standard verified (streaming sAP on Argoverse-HD val): StreamYOLO (Chen et al. ECCV 2022, arxiv 2207.02042 or 2207.10433) — streaming perception on Argoverse-HD. Exact FS/DO val/test split values need manu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✅ Standard verified</t>
        </is>
      </c>
      <c r="G6" s="3" t="n"/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✅ Standard verified (streaming sAP on Argoverse-HD val): YOLOX-Streaming — YOLOX adapted for streaming perception (CVPR 2021 Streaming Perception Challenge winner). Exact FS/DO val/test values need manual ex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✅ Standard verified</t>
        </is>
      </c>
      <c r="G7" s="3" t="n"/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✅ Standard verified (streaming sAP on Argoverse-HD val): Streaming Mask R-CNN — baseline from "Towards Streaming Perception" (Li et al. ECCV 2020, arxiv 2005.10420). Exact FS/DO val/test split values need ma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/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0.944</v>
      </c>
      <c r="H2" s="4" t="inlineStr">
        <is>
          <t>Sα 0.944 / Fmax 0.943 / Em 0.962 / MAE 0.018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DUTS-TE Sα=0.944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0.931</v>
      </c>
      <c r="H3" s="4" t="inlineStr">
        <is>
          <t>Sα 0.931 / Fmax 0.927 / MAE 0.024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DUTS-TE Sα=0.931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0.927</v>
      </c>
      <c r="H4" s="4" t="inlineStr">
        <is>
          <t>Sα 0.927 / MAE 0.024 / Em 0.960 / Fw 0.902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DUTS-TE Sα=0.927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0.917</v>
      </c>
      <c r="H5" s="4" t="inlineStr">
        <is>
          <t>Sα 0.917 / MAE 0.025 / Em 0.960 / Fw 0.886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DUTS-TE Sα=0.917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0.896</v>
      </c>
      <c r="H6" s="4" t="inlineStr">
        <is>
          <t>Sα 0.896 / Fmax 0.878 / MAE 0.037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DUTS-TE Sα=0.896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0.892</v>
      </c>
      <c r="H7" s="4" t="inlineStr">
        <is>
          <t>Sα 0.892 / Fm 0.893 / Em 0.933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DUTS-TE Sα=0.892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0.89</v>
      </c>
      <c r="H8" s="4" t="inlineStr">
        <is>
          <t>Sα 0.890 / MAE 0.039 / Fβ 0.894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DUTS-TE Sα=0.89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0.884</v>
      </c>
      <c r="H9" s="4" t="inlineStr">
        <is>
          <t>Sα 0.884 / MAE 0.037 / Em 0.927 / Fw 0.825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DUTS-TE Sα=0.884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0.873</v>
      </c>
      <c r="H10" s="4" t="inlineStr">
        <is>
          <t>Sα 0.873 / MAE 0.047 / Fβ 0.842 (U²-Net 176MB model)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DUTS-TE Sα=0.873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0.866</v>
      </c>
      <c r="H11" s="4" t="inlineStr">
        <is>
          <t>Sα 0.866 / Fmax 0.838 / MAE 0.048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DUTS-TE Sα=0.866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0.938 / Fm 0.937 / Em 0.962 / MAE 0.020</t>
        </is>
      </c>
      <c r="I12" s="4" t="n"/>
      <c r="J12" s="4" t="n"/>
      <c r="K12" s="4" t="inlineStr">
        <is>
          <t>✅ 已驗證 (S3OD arXiv25 Table 2, S3ODNet trained on S3OD)：DUTS-TE Sα=0.938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VSCode</t>
        </is>
      </c>
      <c r="C13" s="4" t="inlineStr">
        <is>
          <t>Luo et al.</t>
        </is>
      </c>
      <c r="D13" s="4" t="inlineStr">
        <is>
          <t>CVPR</t>
        </is>
      </c>
      <c r="E13" s="4" t="inlineStr">
        <is>
          <t>2024-06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0.926 / Fm 0.922 / Em 0.960</t>
        </is>
      </c>
      <c r="I13" s="4" t="n"/>
      <c r="J13" s="4" t="n"/>
      <c r="K13" s="4" t="inlineStr">
        <is>
          <t>✅ 已驗證 (VSCode CVPR24 Table 3, Swin-S)：DUTS-TE Sα=0.926 [Multi-modal SOD unified]</t>
        </is>
      </c>
      <c r="L13" s="7" t="inlineStr">
        <is>
          <t>https://arxiv.org/abs/2311.15011</t>
        </is>
      </c>
      <c r="M13" s="7" t="inlineStr">
        <is>
          <t>https://github.com/Sssssuperior/VSCode</t>
        </is>
      </c>
    </row>
    <row r="14">
      <c r="A14" s="4" t="inlineStr">
        <is>
          <t>RGB Salient OD</t>
        </is>
      </c>
      <c r="B14" s="4" t="inlineStr">
        <is>
          <t>CPD-R</t>
        </is>
      </c>
      <c r="C14" s="4" t="inlineStr">
        <is>
          <t>Wu et al.</t>
        </is>
      </c>
      <c r="D14" s="4" t="inlineStr">
        <is>
          <t>CVPR</t>
        </is>
      </c>
      <c r="E14" s="4" t="inlineStr">
        <is>
          <t>2019-06</t>
        </is>
      </c>
      <c r="F14" s="4" t="inlineStr">
        <is>
          <t>Preprint</t>
        </is>
      </c>
      <c r="G14" s="4" t="inlineStr">
        <is>
          <t>N/A</t>
        </is>
      </c>
      <c r="H14" s="4" t="inlineStr">
        <is>
          <t>S 0.865 / Fβ 0.805 / MAE 0.043</t>
        </is>
      </c>
      <c r="I14" s="4" t="n"/>
      <c r="J14" s="4" t="n"/>
      <c r="K14" s="4" t="inlineStr">
        <is>
          <t>✅ 已驗證 (CPD CVPR19 Table 1, ResNet50)：Cascaded Partial Decoder for fast SOD；S 0.865 / Fβ 0.805 / MAE 0.043 [SOD]</t>
        </is>
      </c>
      <c r="L14" s="7" t="inlineStr">
        <is>
          <t>https://arxiv.org/abs/1904.08739</t>
        </is>
      </c>
      <c r="M14" s="7" t="inlineStr">
        <is>
          <t>https://github.com/wuzhe71/CPD</t>
        </is>
      </c>
    </row>
    <row r="15">
      <c r="A15" s="4" t="inlineStr">
        <is>
          <t>RGB Salient OD</t>
        </is>
      </c>
      <c r="B15" s="4" t="inlineStr">
        <is>
          <t>Samba</t>
        </is>
      </c>
      <c r="C15" s="4" t="inlineStr">
        <is>
          <t>—</t>
        </is>
      </c>
      <c r="D15" s="4" t="inlineStr">
        <is>
          <t>CVPR 2025</t>
        </is>
      </c>
      <c r="E15" s="4" t="inlineStr">
        <is>
          <t>2025-06</t>
        </is>
      </c>
      <c r="F15" s="4" t="inlineStr">
        <is>
          <t>Preprint</t>
        </is>
      </c>
      <c r="G15" s="4" t="n">
        <v>0.9320000000000001</v>
      </c>
      <c r="H15" s="4" t="inlineStr">
        <is>
          <t>Sα 0.932 / Fm 0.935 / Em 0.958</t>
        </is>
      </c>
      <c r="I15" s="4" t="n"/>
      <c r="J15" s="4" t="n"/>
      <c r="K15" s="4" t="inlineStr">
        <is>
          <t>✅ verified (Samba CVPR25, Samba+ arxiv 2602.01593 Table I): DUTS-TE Sα=0.932</t>
        </is>
      </c>
      <c r="L15" s="7" t="inlineStr">
        <is>
          <t>https://openaccess.thecvf.com/content/CVPR2025/html/He_Samba_A_Unified_Mamba-based_Framework_for_General_Salient_Object_Detection_CVPR_2025_paper.html</t>
        </is>
      </c>
      <c r="M15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0.882</v>
      </c>
      <c r="H2" s="4" t="inlineStr">
        <is>
          <t>Sα 0.882 / Fmax 0.839 / Em 0.896 / MAE 0.038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DUT-OMRON Sα=0.882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0.875</v>
      </c>
      <c r="H3" s="4" t="inlineStr">
        <is>
          <t>Sα 0.875 / Fmax 0.832 / MAE 0.045 (InSPyReNet SwinB, paper Table 2)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DUT-OMRON Sα=0.875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M3Net</t>
        </is>
      </c>
      <c r="C4" s="4" t="inlineStr">
        <is>
          <t>Yuan et al.</t>
        </is>
      </c>
      <c r="D4" s="4" t="inlineStr">
        <is>
          <t>ICCV</t>
        </is>
      </c>
      <c r="E4" s="4" t="inlineStr">
        <is>
          <t>2023-10</t>
        </is>
      </c>
      <c r="F4" s="4" t="inlineStr">
        <is>
          <t>Published</t>
        </is>
      </c>
      <c r="G4" s="4" t="n">
        <v>0.872</v>
      </c>
      <c r="H4" s="4" t="inlineStr">
        <is>
          <t>Sα 0.872 / MAE 0.045 / Em 0.903 / Fw 0.811</t>
        </is>
      </c>
      <c r="I4" s="4" t="inlineStr">
        <is>
          <t>20</t>
        </is>
      </c>
      <c r="J4" s="4" t="inlineStr">
        <is>
          <t>79M</t>
        </is>
      </c>
      <c r="K4" s="4" t="inlineStr">
        <is>
          <t>✅ verified (M3Net-S SwinB 384², M3Net arxiv 2309.08365 Table I/III): DUT-OMRON Sα=0.872</t>
        </is>
      </c>
      <c r="L4" s="7" t="inlineStr">
        <is>
          <t>https://arxiv.org/abs/2309.08365</t>
        </is>
      </c>
      <c r="M4" s="7" t="inlineStr">
        <is>
          <t>https://github.com/I2-Multimedia-Lab/M3Net</t>
        </is>
      </c>
    </row>
    <row r="5" ht="48" customHeight="1">
      <c r="A5" s="4" t="inlineStr">
        <is>
          <t>RGB Salient OD</t>
        </is>
      </c>
      <c r="B5" s="4" t="inlineStr">
        <is>
          <t>ICON-S</t>
        </is>
      </c>
      <c r="C5" s="4" t="inlineStr">
        <is>
          <t>Zhuge et al.</t>
        </is>
      </c>
      <c r="D5" s="4" t="inlineStr">
        <is>
          <t>TPAMI</t>
        </is>
      </c>
      <c r="E5" s="4" t="inlineStr">
        <is>
          <t>2023-03</t>
        </is>
      </c>
      <c r="F5" s="4" t="inlineStr">
        <is>
          <t>Published</t>
        </is>
      </c>
      <c r="G5" s="4" t="n">
        <v>0.869</v>
      </c>
      <c r="H5" s="4" t="inlineStr">
        <is>
          <t>Sα 0.869 / MAE 0.043 / Em 0.906 / Fw 0.804</t>
        </is>
      </c>
      <c r="I5" s="4" t="inlineStr">
        <is>
          <t>23</t>
        </is>
      </c>
      <c r="J5" s="4" t="inlineStr">
        <is>
          <t>94M</t>
        </is>
      </c>
      <c r="K5" s="4" t="inlineStr">
        <is>
          <t>✅ verified (ICON-S Swin-B, M3Net arxiv 2309.08365 Table I): DUT-OMRON Sα=0.869</t>
        </is>
      </c>
      <c r="L5" s="7" t="inlineStr">
        <is>
          <t>https://arxiv.org/abs/2111.13409</t>
        </is>
      </c>
      <c r="M5" s="7" t="inlineStr">
        <is>
          <t>https://github.com/mczhuge/ICON</t>
        </is>
      </c>
    </row>
    <row r="6" ht="48" customHeight="1">
      <c r="A6" s="4" t="inlineStr">
        <is>
          <t>RGB Salient OD</t>
        </is>
      </c>
      <c r="B6" s="4" t="inlineStr">
        <is>
          <t>VST</t>
        </is>
      </c>
      <c r="C6" s="4" t="inlineStr">
        <is>
          <t>Liu et al.</t>
        </is>
      </c>
      <c r="D6" s="4" t="inlineStr">
        <is>
          <t>ICCV</t>
        </is>
      </c>
      <c r="E6" s="4" t="inlineStr">
        <is>
          <t>2021-10</t>
        </is>
      </c>
      <c r="F6" s="4" t="inlineStr">
        <is>
          <t>Published</t>
        </is>
      </c>
      <c r="G6" s="4" t="n">
        <v>0.85</v>
      </c>
      <c r="H6" s="4" t="inlineStr">
        <is>
          <t>Sα 0.850 / Fmax 0.800 / MAE 0.058 (VST T2T-ViT-14, cited in InSPyReNet Table 2)</t>
        </is>
      </c>
      <c r="I6" s="4" t="inlineStr">
        <is>
          <t>18</t>
        </is>
      </c>
      <c r="J6" s="4" t="inlineStr">
        <is>
          <t>44M</t>
        </is>
      </c>
      <c r="K6" s="4" t="inlineStr">
        <is>
          <t>✅ verified (VST ICCV21, values cited in InSPyReNet Table 2): DUT-OMRON Sα=0.85</t>
        </is>
      </c>
      <c r="L6" s="7" t="inlineStr">
        <is>
          <t>https://arxiv.org/abs/2104.12099</t>
        </is>
      </c>
      <c r="M6" s="7" t="inlineStr">
        <is>
          <t>https://github.com/nnizhang/VST</t>
        </is>
      </c>
    </row>
    <row r="7" ht="48" customHeight="1">
      <c r="A7" s="4" t="inlineStr">
        <is>
          <t>RGB Salient OD</t>
        </is>
      </c>
      <c r="B7" s="4" t="inlineStr">
        <is>
          <t>EDN</t>
        </is>
      </c>
      <c r="C7" s="4" t="inlineStr">
        <is>
          <t>Wu et al.</t>
        </is>
      </c>
      <c r="D7" s="4" t="inlineStr">
        <is>
          <t>TIP</t>
        </is>
      </c>
      <c r="E7" s="4" t="inlineStr">
        <is>
          <t>2022-08</t>
        </is>
      </c>
      <c r="F7" s="4" t="inlineStr">
        <is>
          <t>Published</t>
        </is>
      </c>
      <c r="G7" s="4" t="n">
        <v>0.849</v>
      </c>
      <c r="H7" s="4" t="inlineStr">
        <is>
          <t>Sα 0.849 / Fm 0.821 / Em 0.884</t>
        </is>
      </c>
      <c r="I7" s="4" t="inlineStr">
        <is>
          <t>22</t>
        </is>
      </c>
      <c r="J7" s="4" t="inlineStr">
        <is>
          <t>42M</t>
        </is>
      </c>
      <c r="K7" s="4" t="inlineStr">
        <is>
          <t>✅ verified (EDN TIP22, Samba+ arxiv 2602.01593 Table I): DUT-OMRON Sα=0.849</t>
        </is>
      </c>
      <c r="L7" s="7" t="inlineStr">
        <is>
          <t>https://arxiv.org/abs/2012.13093</t>
        </is>
      </c>
      <c r="M7" s="7" t="inlineStr">
        <is>
          <t>https://github.com/yuhuan-wu/EDN</t>
        </is>
      </c>
    </row>
    <row r="8" ht="48" customHeight="1">
      <c r="A8" s="4" t="inlineStr">
        <is>
          <t>RGB Salient OD</t>
        </is>
      </c>
      <c r="B8" s="4" t="inlineStr">
        <is>
          <t>PoolNet+</t>
        </is>
      </c>
      <c r="C8" s="4" t="inlineStr">
        <is>
          <t>Liu et al.</t>
        </is>
      </c>
      <c r="D8" s="4" t="inlineStr">
        <is>
          <t>TPAMI</t>
        </is>
      </c>
      <c r="E8" s="4" t="inlineStr">
        <is>
          <t>2021-04</t>
        </is>
      </c>
      <c r="F8" s="4" t="inlineStr">
        <is>
          <t>Published</t>
        </is>
      </c>
      <c r="G8" s="4" t="n">
        <v>0.842</v>
      </c>
      <c r="H8" s="4" t="inlineStr">
        <is>
          <t>Sα 0.842 / MAE 0.056 / Fβ 0.831</t>
        </is>
      </c>
      <c r="I8" s="4" t="inlineStr">
        <is>
          <t>32</t>
        </is>
      </c>
      <c r="J8" s="4" t="inlineStr">
        <is>
          <t>68.3M</t>
        </is>
      </c>
      <c r="K8" s="4" t="inlineStr">
        <is>
          <t>✅ verified (PoolNet-R+ ResNet50, PoolNet+ TPAMI22 Table 5): DUT-OMRON Sα=0.842</t>
        </is>
      </c>
      <c r="L8" s="7" t="inlineStr">
        <is>
          <t>https://arxiv.org/abs/1904.09569</t>
        </is>
      </c>
      <c r="M8" s="7" t="inlineStr">
        <is>
          <t>https://github.com/backseason/PoolNet</t>
        </is>
      </c>
    </row>
    <row r="9" ht="48" customHeight="1">
      <c r="A9" s="4" t="inlineStr">
        <is>
          <t>RGB Salient OD</t>
        </is>
      </c>
      <c r="B9" s="4" t="inlineStr">
        <is>
          <t>MINet</t>
        </is>
      </c>
      <c r="C9" s="4" t="inlineStr">
        <is>
          <t>Pang et al.</t>
        </is>
      </c>
      <c r="D9" s="4" t="inlineStr">
        <is>
          <t>CVPR</t>
        </is>
      </c>
      <c r="E9" s="4" t="inlineStr">
        <is>
          <t>2020-06</t>
        </is>
      </c>
      <c r="F9" s="4" t="inlineStr">
        <is>
          <t>Published</t>
        </is>
      </c>
      <c r="G9" s="4" t="n">
        <v>0.833</v>
      </c>
      <c r="H9" s="4" t="inlineStr">
        <is>
          <t>Sα 0.833 / MAE 0.056 / Em 0.869 / Fw 0.738</t>
        </is>
      </c>
      <c r="I9" s="4" t="inlineStr">
        <is>
          <t>30</t>
        </is>
      </c>
      <c r="J9" s="4" t="inlineStr">
        <is>
          <t>162M</t>
        </is>
      </c>
      <c r="K9" s="4" t="inlineStr">
        <is>
          <t>✅ verified (MINet-R ResNet50, M3Net arxiv 2309.08365 Table I): DUT-OMRON Sα=0.833</t>
        </is>
      </c>
      <c r="L9" s="7" t="inlineStr">
        <is>
          <t>https://arxiv.org/abs/2007.09062</t>
        </is>
      </c>
      <c r="M9" s="7" t="inlineStr">
        <is>
          <t>https://github.com/lartpang/MINet</t>
        </is>
      </c>
    </row>
    <row r="10" ht="48" customHeight="1">
      <c r="A10" s="4" t="inlineStr">
        <is>
          <t>RGB Salient OD</t>
        </is>
      </c>
      <c r="B10" s="4" t="inlineStr">
        <is>
          <t>U^2-Net</t>
        </is>
      </c>
      <c r="C10" s="4" t="inlineStr">
        <is>
          <t>Qin et al.</t>
        </is>
      </c>
      <c r="D10" s="4" t="inlineStr">
        <is>
          <t>PR</t>
        </is>
      </c>
      <c r="E10" s="4" t="inlineStr">
        <is>
          <t>2020-05</t>
        </is>
      </c>
      <c r="F10" s="4" t="inlineStr">
        <is>
          <t>Published</t>
        </is>
      </c>
      <c r="G10" s="4" t="n">
        <v>0.844</v>
      </c>
      <c r="H10" s="4" t="inlineStr">
        <is>
          <t>Sα 0.844 / MAE 0.054 / Fβ 0.779</t>
        </is>
      </c>
      <c r="I10" s="4" t="inlineStr">
        <is>
          <t>30</t>
        </is>
      </c>
      <c r="J10" s="4" t="inlineStr">
        <is>
          <t>44M</t>
        </is>
      </c>
      <c r="K10" s="4" t="inlineStr">
        <is>
          <t>✅ verified (U²-Net PR 2020 Table 2): DUT-OMRON Sα=0.844</t>
        </is>
      </c>
      <c r="L10" s="7" t="inlineStr">
        <is>
          <t>https://arxiv.org/abs/2005.09007</t>
        </is>
      </c>
      <c r="M10" s="7" t="inlineStr">
        <is>
          <t>https://github.com/xuebinqin/U-2-Net</t>
        </is>
      </c>
    </row>
    <row r="11" ht="48" customHeight="1">
      <c r="A11" s="4" t="inlineStr">
        <is>
          <t>RGB Salient OD</t>
        </is>
      </c>
      <c r="B11" s="4" t="inlineStr">
        <is>
          <t>BASNet</t>
        </is>
      </c>
      <c r="C11" s="4" t="inlineStr">
        <is>
          <t>Qin et al.</t>
        </is>
      </c>
      <c r="D11" s="4" t="inlineStr">
        <is>
          <t>CVPR</t>
        </is>
      </c>
      <c r="E11" s="4" t="inlineStr">
        <is>
          <t>2019-06</t>
        </is>
      </c>
      <c r="F11" s="4" t="inlineStr">
        <is>
          <t>Published</t>
        </is>
      </c>
      <c r="G11" s="4" t="n">
        <v>0.836</v>
      </c>
      <c r="H11" s="4" t="inlineStr">
        <is>
          <t>Sα 0.836 / Fmax 0.779 / MAE 0.056 (BASNet ResNet-34, cited in InSPyReNet Table 2)</t>
        </is>
      </c>
      <c r="I11" s="4" t="inlineStr">
        <is>
          <t>25</t>
        </is>
      </c>
      <c r="J11" s="4" t="inlineStr">
        <is>
          <t>87.1M</t>
        </is>
      </c>
      <c r="K11" s="4" t="inlineStr">
        <is>
          <t>✅ verified (BASNet CVPR19, values cited in InSPyReNet Table 2): DUT-OMRON Sα=0.836</t>
        </is>
      </c>
      <c r="L11" s="7" t="inlineStr">
        <is>
          <t>https://arxiv.org/abs/1904.07857</t>
        </is>
      </c>
      <c r="M11" s="7" t="inlineStr">
        <is>
          <t>https://github.com/xuebinqin/BASNet</t>
        </is>
      </c>
    </row>
    <row r="12" ht="48" customHeight="1">
      <c r="A12" s="4" t="inlineStr">
        <is>
          <t>RGB Salient OD</t>
        </is>
      </c>
      <c r="B12" s="4" t="inlineStr">
        <is>
          <t>S3OD (synthetic)</t>
        </is>
      </c>
      <c r="C12" s="4" t="inlineStr">
        <is>
          <t>Various</t>
        </is>
      </c>
      <c r="D12" s="4" t="inlineStr">
        <is>
          <t>arXiv</t>
        </is>
      </c>
      <c r="E12" s="4" t="inlineStr">
        <is>
          <t>2025-10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0.887 / Fm 0.860 / Em 0.911 / MAE 0.040</t>
        </is>
      </c>
      <c r="I12" s="4" t="n"/>
      <c r="J12" s="4" t="n"/>
      <c r="K12" s="4" t="inlineStr">
        <is>
          <t>✅ 已驗證 (S3OD arXiv25 Table 2)：DUT-OMRON Sα=0.887 [Synthetic-trained SOD]</t>
        </is>
      </c>
      <c r="L12" s="7" t="inlineStr">
        <is>
          <t>https://arxiv.org/abs/2510.21605</t>
        </is>
      </c>
      <c r="M12" s="7" t="inlineStr">
        <is>
          <t>https://github.com/</t>
        </is>
      </c>
    </row>
    <row r="13" ht="48" customHeight="1">
      <c r="A13" s="4" t="inlineStr">
        <is>
          <t>RGB Salient OD</t>
        </is>
      </c>
      <c r="B13" s="4" t="inlineStr">
        <is>
          <t>CPD-R</t>
        </is>
      </c>
      <c r="C13" s="4" t="inlineStr">
        <is>
          <t>Wu et al.</t>
        </is>
      </c>
      <c r="D13" s="4" t="inlineStr">
        <is>
          <t>CVPR</t>
        </is>
      </c>
      <c r="E13" s="4" t="inlineStr">
        <is>
          <t>2019-06</t>
        </is>
      </c>
      <c r="F13" s="4" t="inlineStr">
        <is>
          <t>Preprint</t>
        </is>
      </c>
      <c r="G13" s="4" t="inlineStr">
        <is>
          <t>N/A</t>
        </is>
      </c>
      <c r="H13" s="4" t="inlineStr">
        <is>
          <t>S 0.797 / Fβ 0.747 / MAE 0.056</t>
        </is>
      </c>
      <c r="I13" s="4" t="n"/>
      <c r="J13" s="4" t="n"/>
      <c r="K13" s="4" t="inlineStr">
        <is>
          <t>✅ 已驗證 (CPD CVPR19 Table 1, ResNet50)：Cascaded Partial Decoder for fast SOD；S 0.797 / Fβ 0.747 / MAE 0.056 [SOD]</t>
        </is>
      </c>
      <c r="L13" s="7" t="inlineStr">
        <is>
          <t>https://arxiv.org/abs/1904.08739</t>
        </is>
      </c>
      <c r="M13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9" r:id="rId13"/>
    <hyperlink xmlns:r="http://schemas.openxmlformats.org/officeDocument/2006/relationships" ref="M9" r:id="rId14"/>
    <hyperlink xmlns:r="http://schemas.openxmlformats.org/officeDocument/2006/relationships" ref="L10" r:id="rId15"/>
    <hyperlink xmlns:r="http://schemas.openxmlformats.org/officeDocument/2006/relationships" ref="M10" r:id="rId16"/>
    <hyperlink xmlns:r="http://schemas.openxmlformats.org/officeDocument/2006/relationships" ref="L11" r:id="rId17"/>
    <hyperlink xmlns:r="http://schemas.openxmlformats.org/officeDocument/2006/relationships" ref="M11" r:id="rId18"/>
    <hyperlink xmlns:r="http://schemas.openxmlformats.org/officeDocument/2006/relationships" ref="L12" r:id="rId19"/>
    <hyperlink xmlns:r="http://schemas.openxmlformats.org/officeDocument/2006/relationships" ref="M12" r:id="rId20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0.949</v>
      </c>
      <c r="H2" s="4" t="inlineStr">
        <is>
          <t>Sα 0.949 / Fmax 0.960 / MAE 0.023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ECSSD Sα=0.949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0.948</v>
      </c>
      <c r="H3" s="4" t="inlineStr">
        <is>
          <t>Sα 0.948 / MAE 0.021 / Em 0.974 / Fw 0.947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ECSSD Sα=0.948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0.9409999999999999</v>
      </c>
      <c r="H4" s="4" t="inlineStr">
        <is>
          <t>Sα 0.941 / MAE 0.023 / Em 0.972 / Fw 0.936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ECSSD Sα=0.941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0.9320000000000001</v>
      </c>
      <c r="H5" s="4" t="inlineStr">
        <is>
          <t>Sα 0.932 / Fmax 0.944 / MAE 0.033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ECSSD Sα=0.932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0.927</v>
      </c>
      <c r="H6" s="4" t="inlineStr">
        <is>
          <t>Sα 0.927 / Fm 0.950 / Em 0.957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ECSSD Sα=0.927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0.925</v>
      </c>
      <c r="H7" s="4" t="inlineStr">
        <is>
          <t>Sα 0.925 / MAE 0.040 / Fβ 0.949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ECSSD Sα=0.925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0.925</v>
      </c>
      <c r="H8" s="4" t="inlineStr">
        <is>
          <t>Sα 0.925 / MAE 0.033 / Em 0.957 / Fw 0.911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ECSSD Sα=0.925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0.923</v>
      </c>
      <c r="H9" s="4" t="inlineStr">
        <is>
          <t>Sα 0.923 / MAE 0.041 / Fβ 0.931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ECSSD Sα=0.923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0.916</v>
      </c>
      <c r="H10" s="4" t="inlineStr">
        <is>
          <t>Sα 0.916 / Fmax 0.931 / MAE 0.037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ECSSD Sα=0.916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0.949 / Fm 0.959 / Em 0.974</t>
        </is>
      </c>
      <c r="I11" s="4" t="n"/>
      <c r="J11" s="4" t="n"/>
      <c r="K11" s="4" t="inlineStr">
        <is>
          <t>✅ 已驗證 (VSCode CVPR24 Table 3, Swin-S)：ECSSD Sα=0.949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0.939 / Fβ 0.917 / MAE 0.037</t>
        </is>
      </c>
      <c r="I12" s="4" t="n"/>
      <c r="J12" s="4" t="n"/>
      <c r="K12" s="4" t="inlineStr">
        <is>
          <t>✅ 已驗證 (CPD CVPR19 Table 1, ResNet50)：Cascaded Partial Decoder for fast SOD；S 0.939 / Fβ 0.917 / MAE 0.037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0.953</v>
      </c>
      <c r="H13" s="4" t="inlineStr">
        <is>
          <t>Sα 0.953 / Fm 0.965 / Em 0.975</t>
        </is>
      </c>
      <c r="I13" s="4" t="n"/>
      <c r="J13" s="4" t="n"/>
      <c r="K13" s="4" t="inlineStr">
        <is>
          <t>✅ verified (Samba CVPR25, Samba+ arxiv 2602.01593 Table I): ECSSD Sα=0.953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0.944</v>
      </c>
      <c r="H2" s="4" t="inlineStr">
        <is>
          <t>Sα 0.944 / Fmax 0.955 / MAE 0.021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HKU-IS Sα=0.944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0.9429999999999999</v>
      </c>
      <c r="H3" s="4" t="inlineStr">
        <is>
          <t>Sα 0.943 / MAE 0.019 / Em 0.977 / Fw 0.937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HKU-IS Sα=0.943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0.9350000000000001</v>
      </c>
      <c r="H4" s="4" t="inlineStr">
        <is>
          <t>Sα 0.935 / MAE 0.022 / Em 0.974 / Fw 0.925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HKU-IS Sα=0.935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0.928</v>
      </c>
      <c r="H5" s="4" t="inlineStr">
        <is>
          <t>Sα 0.928 / Fmax 0.937 / MAE 0.029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HKU-IS Sα=0.928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0.924</v>
      </c>
      <c r="H6" s="4" t="inlineStr">
        <is>
          <t>Sα 0.924 / Fm 0.940 / Em 0.963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HKU-IS Sα=0.924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0.921</v>
      </c>
      <c r="H7" s="4" t="inlineStr">
        <is>
          <t>Sα 0.921 / MAE 0.034 / Fβ 0.941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HKU-IS Sα=0.921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0.919</v>
      </c>
      <c r="H8" s="4" t="inlineStr">
        <is>
          <t>Sα 0.919 / MAE 0.029 / Em 0.960 / Fw 0.897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HKU-IS Sα=0.919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0.916</v>
      </c>
      <c r="H9" s="4" t="inlineStr">
        <is>
          <t>Sα 0.916 / MAE 0.035 / Fβ 0.919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HKU-IS Sα=0.916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0.909</v>
      </c>
      <c r="H10" s="4" t="inlineStr">
        <is>
          <t>Sα 0.909 / Fmax 0.919 / MAE 0.032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HKU-IS Sα=0.909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A11" s="4" t="inlineStr">
        <is>
          <t>RGB Salient OD</t>
        </is>
      </c>
      <c r="B11" s="4" t="inlineStr">
        <is>
          <t>VSCode</t>
        </is>
      </c>
      <c r="C11" s="4" t="inlineStr">
        <is>
          <t>Luo et al.</t>
        </is>
      </c>
      <c r="D11" s="4" t="inlineStr">
        <is>
          <t>CVPR</t>
        </is>
      </c>
      <c r="E11" s="4" t="inlineStr">
        <is>
          <t>2024-06</t>
        </is>
      </c>
      <c r="F11" s="4" t="inlineStr">
        <is>
          <t>Preprint</t>
        </is>
      </c>
      <c r="G11" s="4" t="inlineStr">
        <is>
          <t>N/A</t>
        </is>
      </c>
      <c r="H11" s="4" t="inlineStr">
        <is>
          <t>S 0.940 / Fm 0.951 / Em 0.974</t>
        </is>
      </c>
      <c r="I11" s="4" t="n"/>
      <c r="J11" s="4" t="n"/>
      <c r="K11" s="4" t="inlineStr">
        <is>
          <t>✅ 已驗證 (VSCode CVPR24 Table 3, Swin-S)：HKU-IS Sα=0.940 [SOD]</t>
        </is>
      </c>
      <c r="L11" s="7" t="inlineStr">
        <is>
          <t>https://arxiv.org/abs/2311.15011</t>
        </is>
      </c>
      <c r="M11" s="7" t="inlineStr">
        <is>
          <t>https://github.com/Sssssuperior/VSCode</t>
        </is>
      </c>
    </row>
    <row r="12" ht="48" customHeight="1">
      <c r="A12" s="4" t="inlineStr">
        <is>
          <t>RGB Salient OD</t>
        </is>
      </c>
      <c r="B12" s="4" t="inlineStr">
        <is>
          <t>CPD-R</t>
        </is>
      </c>
      <c r="C12" s="4" t="inlineStr">
        <is>
          <t>Wu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Preprint</t>
        </is>
      </c>
      <c r="G12" s="4" t="inlineStr">
        <is>
          <t>N/A</t>
        </is>
      </c>
      <c r="H12" s="4" t="inlineStr">
        <is>
          <t>S 0.925 / Fβ 0.891 / MAE 0.034</t>
        </is>
      </c>
      <c r="I12" s="4" t="n"/>
      <c r="J12" s="4" t="n"/>
      <c r="K12" s="4" t="inlineStr">
        <is>
          <t>✅ 已驗證 (CPD CVPR19 Table 1, ResNet50)：Cascaded Partial Decoder for fast SOD；S 0.925 / Fβ 0.891 / MAE 0.034 [SOD]</t>
        </is>
      </c>
      <c r="L12" s="7" t="inlineStr">
        <is>
          <t>https://arxiv.org/abs/1904.08739</t>
        </is>
      </c>
      <c r="M12" s="7" t="inlineStr">
        <is>
          <t>https://github.com/wuzhe71/CPD</t>
        </is>
      </c>
    </row>
    <row r="13" ht="48" customHeight="1">
      <c r="A13" s="4" t="inlineStr">
        <is>
          <t>RGB Salient OD</t>
        </is>
      </c>
      <c r="B13" s="4" t="inlineStr">
        <is>
          <t>Samba</t>
        </is>
      </c>
      <c r="C13" s="4" t="inlineStr">
        <is>
          <t>—</t>
        </is>
      </c>
      <c r="D13" s="4" t="inlineStr">
        <is>
          <t>CVPR 2025</t>
        </is>
      </c>
      <c r="E13" s="4" t="inlineStr">
        <is>
          <t>2025-06</t>
        </is>
      </c>
      <c r="F13" s="4" t="inlineStr">
        <is>
          <t>Preprint</t>
        </is>
      </c>
      <c r="G13" s="4" t="n">
        <v>0.945</v>
      </c>
      <c r="H13" s="4" t="inlineStr">
        <is>
          <t>Sα 0.945 / Fm 0.958 / Em 0.975</t>
        </is>
      </c>
      <c r="I13" s="4" t="n"/>
      <c r="J13" s="4" t="n"/>
      <c r="K13" s="4" t="inlineStr">
        <is>
          <t>✅ verified (Samba CVPR25, Samba+ arxiv 2602.01593 Table I): HKU-IS Sα=0.945</t>
        </is>
      </c>
      <c r="L13" s="7" t="inlineStr">
        <is>
          <t>https://openaccess.thecvf.com/content/CVPR2025/html/He_Samba_A_Unified_Mamba-based_Framework_for_General_Salient_Object_Detection_CVPR_2025_paper.html</t>
        </is>
      </c>
      <c r="M13" s="7" t="inlineStr">
        <is>
          <t>N/A</t>
        </is>
      </c>
    </row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InSPyReNet</t>
        </is>
      </c>
      <c r="C2" s="4" t="inlineStr">
        <is>
          <t>Kim et al.</t>
        </is>
      </c>
      <c r="D2" s="4" t="inlineStr">
        <is>
          <t>ACCV</t>
        </is>
      </c>
      <c r="E2" s="4" t="inlineStr">
        <is>
          <t>2022-12</t>
        </is>
      </c>
      <c r="F2" s="4" t="inlineStr">
        <is>
          <t>Published</t>
        </is>
      </c>
      <c r="G2" s="4" t="n">
        <v>0.893</v>
      </c>
      <c r="H2" s="4" t="inlineStr">
        <is>
          <t>Sα 0.893 / Fmax 0.893 / MAE 0.048 (InSPyReNet SwinB, paper Table 2)</t>
        </is>
      </c>
      <c r="I2" s="4" t="inlineStr">
        <is>
          <t>≈14</t>
        </is>
      </c>
      <c r="J2" s="4" t="inlineStr">
        <is>
          <t>58.7M</t>
        </is>
      </c>
      <c r="K2" s="4" t="inlineStr">
        <is>
          <t>✅ verified (InSPyReNet ACCV22 paper Tables 2-3 (SwinB backbone)): PASCAL-S Sα=0.893</t>
        </is>
      </c>
      <c r="L2" s="7" t="inlineStr">
        <is>
          <t>https://arxiv.org/abs/2209.09475</t>
        </is>
      </c>
      <c r="M2" s="7" t="inlineStr">
        <is>
          <t>https://github.com/plemeri/InSPyReNet</t>
        </is>
      </c>
    </row>
    <row r="3" ht="48" customHeight="1">
      <c r="A3" s="4" t="inlineStr">
        <is>
          <t>RGB Salient OD</t>
        </is>
      </c>
      <c r="B3" s="4" t="inlineStr">
        <is>
          <t>M3Net</t>
        </is>
      </c>
      <c r="C3" s="4" t="inlineStr">
        <is>
          <t>Yuan et al.</t>
        </is>
      </c>
      <c r="D3" s="4" t="inlineStr">
        <is>
          <t>ICCV</t>
        </is>
      </c>
      <c r="E3" s="4" t="inlineStr">
        <is>
          <t>2023-10</t>
        </is>
      </c>
      <c r="F3" s="4" t="inlineStr">
        <is>
          <t>Published</t>
        </is>
      </c>
      <c r="G3" s="4" t="n">
        <v>0.889</v>
      </c>
      <c r="H3" s="4" t="inlineStr">
        <is>
          <t>Sα 0.889 / MAE 0.047 / Em 0.932 / Fw 0.864</t>
        </is>
      </c>
      <c r="I3" s="4" t="inlineStr">
        <is>
          <t>20</t>
        </is>
      </c>
      <c r="J3" s="4" t="inlineStr">
        <is>
          <t>79M</t>
        </is>
      </c>
      <c r="K3" s="4" t="inlineStr">
        <is>
          <t>✅ verified (M3Net-S SwinB 384², M3Net arxiv 2309.08365 Table I/III): PASCAL-S Sα=0.889</t>
        </is>
      </c>
      <c r="L3" s="7" t="inlineStr">
        <is>
          <t>https://arxiv.org/abs/2309.08365</t>
        </is>
      </c>
      <c r="M3" s="7" t="inlineStr">
        <is>
          <t>https://github.com/I2-Multimedia-Lab/M3Net</t>
        </is>
      </c>
    </row>
    <row r="4" ht="48" customHeight="1">
      <c r="A4" s="4" t="inlineStr">
        <is>
          <t>RGB Salient OD</t>
        </is>
      </c>
      <c r="B4" s="4" t="inlineStr">
        <is>
          <t>ICON-S</t>
        </is>
      </c>
      <c r="C4" s="4" t="inlineStr">
        <is>
          <t>Zhuge et al.</t>
        </is>
      </c>
      <c r="D4" s="4" t="inlineStr">
        <is>
          <t>TPAMI</t>
        </is>
      </c>
      <c r="E4" s="4" t="inlineStr">
        <is>
          <t>2023-03</t>
        </is>
      </c>
      <c r="F4" s="4" t="inlineStr">
        <is>
          <t>Published</t>
        </is>
      </c>
      <c r="G4" s="4" t="n">
        <v>0.885</v>
      </c>
      <c r="H4" s="4" t="inlineStr">
        <is>
          <t>Sα 0.885 / MAE 0.048 / Em 0.930 / Fw 0.854</t>
        </is>
      </c>
      <c r="I4" s="4" t="inlineStr">
        <is>
          <t>23</t>
        </is>
      </c>
      <c r="J4" s="4" t="inlineStr">
        <is>
          <t>94M</t>
        </is>
      </c>
      <c r="K4" s="4" t="inlineStr">
        <is>
          <t>✅ verified (ICON-S Swin-B, M3Net arxiv 2309.08365 Table I): PASCAL-S Sα=0.885</t>
        </is>
      </c>
      <c r="L4" s="7" t="inlineStr">
        <is>
          <t>https://arxiv.org/abs/2111.13409</t>
        </is>
      </c>
      <c r="M4" s="7" t="inlineStr">
        <is>
          <t>https://github.com/mczhuge/ICON</t>
        </is>
      </c>
    </row>
    <row r="5" ht="48" customHeight="1">
      <c r="A5" s="4" t="inlineStr">
        <is>
          <t>RGB Salient OD</t>
        </is>
      </c>
      <c r="B5" s="4" t="inlineStr">
        <is>
          <t>VST</t>
        </is>
      </c>
      <c r="C5" s="4" t="inlineStr">
        <is>
          <t>Liu et al.</t>
        </is>
      </c>
      <c r="D5" s="4" t="inlineStr">
        <is>
          <t>ICCV</t>
        </is>
      </c>
      <c r="E5" s="4" t="inlineStr">
        <is>
          <t>2021-10</t>
        </is>
      </c>
      <c r="F5" s="4" t="inlineStr">
        <is>
          <t>Published</t>
        </is>
      </c>
      <c r="G5" s="4" t="n">
        <v>0.872</v>
      </c>
      <c r="H5" s="4" t="inlineStr">
        <is>
          <t>Sα 0.872 / Fmax 0.864 / MAE 0.061 (VST T2T-ViT-14, cited in InSPyReNet Table 2)</t>
        </is>
      </c>
      <c r="I5" s="4" t="inlineStr">
        <is>
          <t>18</t>
        </is>
      </c>
      <c r="J5" s="4" t="inlineStr">
        <is>
          <t>44M</t>
        </is>
      </c>
      <c r="K5" s="4" t="inlineStr">
        <is>
          <t>✅ verified (VST ICCV21, values cited in InSPyReNet Table 2): PASCAL-S Sα=0.872</t>
        </is>
      </c>
      <c r="L5" s="7" t="inlineStr">
        <is>
          <t>https://arxiv.org/abs/2104.12099</t>
        </is>
      </c>
      <c r="M5" s="7" t="inlineStr">
        <is>
          <t>https://github.com/nnizhang/VST</t>
        </is>
      </c>
    </row>
    <row r="6" ht="48" customHeight="1">
      <c r="A6" s="4" t="inlineStr">
        <is>
          <t>RGB Salient OD</t>
        </is>
      </c>
      <c r="B6" s="4" t="inlineStr">
        <is>
          <t>EDN</t>
        </is>
      </c>
      <c r="C6" s="4" t="inlineStr">
        <is>
          <t>Wu et al.</t>
        </is>
      </c>
      <c r="D6" s="4" t="inlineStr">
        <is>
          <t>TIP</t>
        </is>
      </c>
      <c r="E6" s="4" t="inlineStr">
        <is>
          <t>2022-08</t>
        </is>
      </c>
      <c r="F6" s="4" t="inlineStr">
        <is>
          <t>Published</t>
        </is>
      </c>
      <c r="G6" s="4" t="n">
        <v>0.864</v>
      </c>
      <c r="H6" s="4" t="inlineStr">
        <is>
          <t>Sα 0.864 / Fm 0.879 / Em 0.907</t>
        </is>
      </c>
      <c r="I6" s="4" t="inlineStr">
        <is>
          <t>22</t>
        </is>
      </c>
      <c r="J6" s="4" t="inlineStr">
        <is>
          <t>42M</t>
        </is>
      </c>
      <c r="K6" s="4" t="inlineStr">
        <is>
          <t>✅ verified (EDN TIP22, Samba+ arxiv 2602.01593 Table I): PASCAL-S Sα=0.864</t>
        </is>
      </c>
      <c r="L6" s="7" t="inlineStr">
        <is>
          <t>https://arxiv.org/abs/2012.13093</t>
        </is>
      </c>
      <c r="M6" s="7" t="inlineStr">
        <is>
          <t>https://github.com/yuhuan-wu/EDN</t>
        </is>
      </c>
    </row>
    <row r="7" ht="48" customHeight="1">
      <c r="A7" s="4" t="inlineStr">
        <is>
          <t>RGB Salient OD</t>
        </is>
      </c>
      <c r="B7" s="4" t="inlineStr">
        <is>
          <t>PoolNet+</t>
        </is>
      </c>
      <c r="C7" s="4" t="inlineStr">
        <is>
          <t>Liu et al.</t>
        </is>
      </c>
      <c r="D7" s="4" t="inlineStr">
        <is>
          <t>TPAMI</t>
        </is>
      </c>
      <c r="E7" s="4" t="inlineStr">
        <is>
          <t>2021-04</t>
        </is>
      </c>
      <c r="F7" s="4" t="inlineStr">
        <is>
          <t>Published</t>
        </is>
      </c>
      <c r="G7" s="4" t="n">
        <v>0.864</v>
      </c>
      <c r="H7" s="4" t="inlineStr">
        <is>
          <t>Sα 0.864 / MAE 0.068 / Fβ 0.879</t>
        </is>
      </c>
      <c r="I7" s="4" t="inlineStr">
        <is>
          <t>32</t>
        </is>
      </c>
      <c r="J7" s="4" t="inlineStr">
        <is>
          <t>68.3M</t>
        </is>
      </c>
      <c r="K7" s="4" t="inlineStr">
        <is>
          <t>✅ verified (PoolNet-R+ ResNet50, PoolNet+ TPAMI22 Table 5): PASCAL-S Sα=0.864</t>
        </is>
      </c>
      <c r="L7" s="7" t="inlineStr">
        <is>
          <t>https://arxiv.org/abs/1904.09569</t>
        </is>
      </c>
      <c r="M7" s="7" t="inlineStr">
        <is>
          <t>https://github.com/backseason/PoolNet</t>
        </is>
      </c>
    </row>
    <row r="8" ht="48" customHeight="1">
      <c r="A8" s="4" t="inlineStr">
        <is>
          <t>RGB Salient OD</t>
        </is>
      </c>
      <c r="B8" s="4" t="inlineStr">
        <is>
          <t>MINet</t>
        </is>
      </c>
      <c r="C8" s="4" t="inlineStr">
        <is>
          <t>Pang et al.</t>
        </is>
      </c>
      <c r="D8" s="4" t="inlineStr">
        <is>
          <t>CVPR</t>
        </is>
      </c>
      <c r="E8" s="4" t="inlineStr">
        <is>
          <t>2020-06</t>
        </is>
      </c>
      <c r="F8" s="4" t="inlineStr">
        <is>
          <t>Published</t>
        </is>
      </c>
      <c r="G8" s="4" t="n">
        <v>0.856</v>
      </c>
      <c r="H8" s="4" t="inlineStr">
        <is>
          <t>Sα 0.856 / MAE 0.064 / Em 0.903 / Fw 0.809</t>
        </is>
      </c>
      <c r="I8" s="4" t="inlineStr">
        <is>
          <t>30</t>
        </is>
      </c>
      <c r="J8" s="4" t="inlineStr">
        <is>
          <t>162M</t>
        </is>
      </c>
      <c r="K8" s="4" t="inlineStr">
        <is>
          <t>✅ verified (MINet-R ResNet50, M3Net arxiv 2309.08365 Table I): PASCAL-S Sα=0.856</t>
        </is>
      </c>
      <c r="L8" s="7" t="inlineStr">
        <is>
          <t>https://arxiv.org/abs/2007.09062</t>
        </is>
      </c>
      <c r="M8" s="7" t="inlineStr">
        <is>
          <t>https://github.com/lartpang/MINet</t>
        </is>
      </c>
    </row>
    <row r="9" ht="48" customHeight="1">
      <c r="A9" s="4" t="inlineStr">
        <is>
          <t>RGB Salient OD</t>
        </is>
      </c>
      <c r="B9" s="4" t="inlineStr">
        <is>
          <t>U^2-Net</t>
        </is>
      </c>
      <c r="C9" s="4" t="inlineStr">
        <is>
          <t>Qin et al.</t>
        </is>
      </c>
      <c r="D9" s="4" t="inlineStr">
        <is>
          <t>PR</t>
        </is>
      </c>
      <c r="E9" s="4" t="inlineStr">
        <is>
          <t>2020-05</t>
        </is>
      </c>
      <c r="F9" s="4" t="inlineStr">
        <is>
          <t>Published</t>
        </is>
      </c>
      <c r="G9" s="4" t="n">
        <v>0.843</v>
      </c>
      <c r="H9" s="4" t="inlineStr">
        <is>
          <t>Sα 0.843 / MAE 0.074 / Fβ 0.835</t>
        </is>
      </c>
      <c r="I9" s="4" t="inlineStr">
        <is>
          <t>30</t>
        </is>
      </c>
      <c r="J9" s="4" t="inlineStr">
        <is>
          <t>44M</t>
        </is>
      </c>
      <c r="K9" s="4" t="inlineStr">
        <is>
          <t>✅ verified (U²-Net PR 2020 Table 2): PASCAL-S Sα=0.843</t>
        </is>
      </c>
      <c r="L9" s="7" t="inlineStr">
        <is>
          <t>https://arxiv.org/abs/2005.09007</t>
        </is>
      </c>
      <c r="M9" s="7" t="inlineStr">
        <is>
          <t>https://github.com/xuebinqin/U-2-Net</t>
        </is>
      </c>
    </row>
    <row r="10" ht="48" customHeight="1">
      <c r="A10" s="4" t="inlineStr">
        <is>
          <t>RGB Salient OD</t>
        </is>
      </c>
      <c r="B10" s="4" t="inlineStr">
        <is>
          <t>BASNet</t>
        </is>
      </c>
      <c r="C10" s="4" t="inlineStr">
        <is>
          <t>Qin et al.</t>
        </is>
      </c>
      <c r="D10" s="4" t="inlineStr">
        <is>
          <t>CVPR</t>
        </is>
      </c>
      <c r="E10" s="4" t="inlineStr">
        <is>
          <t>2019-06</t>
        </is>
      </c>
      <c r="F10" s="4" t="inlineStr">
        <is>
          <t>Published</t>
        </is>
      </c>
      <c r="G10" s="4" t="n">
        <v>0.838</v>
      </c>
      <c r="H10" s="4" t="inlineStr">
        <is>
          <t>Sα 0.838 / Fmax 0.835 / MAE 0.076 (BASNet ResNet-34, cited in InSPyReNet Table 2)</t>
        </is>
      </c>
      <c r="I10" s="4" t="inlineStr">
        <is>
          <t>25</t>
        </is>
      </c>
      <c r="J10" s="4" t="inlineStr">
        <is>
          <t>87.1M</t>
        </is>
      </c>
      <c r="K10" s="4" t="inlineStr">
        <is>
          <t>✅ verified (BASNet CVPR19, values cited in InSPyReNet Table 2): PASCAL-S Sα=0.838</t>
        </is>
      </c>
      <c r="L10" s="7" t="inlineStr">
        <is>
          <t>https://arxiv.org/abs/1904.07857</t>
        </is>
      </c>
      <c r="M10" s="7" t="inlineStr">
        <is>
          <t>https://github.com/xuebinqin/BASNet</t>
        </is>
      </c>
    </row>
    <row r="11" ht="48" customHeight="1">
      <c r="L11" t="inlineStr">
        <is>
          <t>https://arxiv.org/abs/2005.09007</t>
        </is>
      </c>
      <c r="M11" t="inlineStr">
        <is>
          <t>https://github.com/xuebinqin/U-2-Net</t>
        </is>
      </c>
    </row>
    <row r="12" ht="48" customHeight="1">
      <c r="L12" t="inlineStr">
        <is>
          <t>https://arxiv.org/abs/1904.07857</t>
        </is>
      </c>
      <c r="M12" t="inlineStr">
        <is>
          <t>https://github.com/xuebinqin/BASNet</t>
        </is>
      </c>
    </row>
    <row r="13" ht="48" customHeight="1"/>
  </sheetData>
  <autoFilter ref="A1:M13"/>
  <hyperlinks>
    <hyperlink xmlns:r="http://schemas.openxmlformats.org/officeDocument/2006/relationships" ref="L3" r:id="rId1"/>
    <hyperlink xmlns:r="http://schemas.openxmlformats.org/officeDocument/2006/relationships" ref="M3" r:id="rId2"/>
    <hyperlink xmlns:r="http://schemas.openxmlformats.org/officeDocument/2006/relationships" ref="L5" r:id="rId3"/>
    <hyperlink xmlns:r="http://schemas.openxmlformats.org/officeDocument/2006/relationships" ref="M5" r:id="rId4"/>
    <hyperlink xmlns:r="http://schemas.openxmlformats.org/officeDocument/2006/relationships" ref="L6" r:id="rId5"/>
    <hyperlink xmlns:r="http://schemas.openxmlformats.org/officeDocument/2006/relationships" ref="M6" r:id="rId6"/>
    <hyperlink xmlns:r="http://schemas.openxmlformats.org/officeDocument/2006/relationships" ref="L7" r:id="rId7"/>
    <hyperlink xmlns:r="http://schemas.openxmlformats.org/officeDocument/2006/relationships" ref="M7" r:id="rId8"/>
    <hyperlink xmlns:r="http://schemas.openxmlformats.org/officeDocument/2006/relationships" ref="L8" r:id="rId9"/>
    <hyperlink xmlns:r="http://schemas.openxmlformats.org/officeDocument/2006/relationships" ref="M8" r:id="rId10"/>
    <hyperlink xmlns:r="http://schemas.openxmlformats.org/officeDocument/2006/relationships" ref="L9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0.962</v>
      </c>
      <c r="H2" s="4" t="inlineStr">
        <is>
          <t>Sα 0.962 / Fmax 0.961 / Em 0.973 / MAE 0.013 (BiRefNet TR=D,H,U, paper Table 5 HRSOD-TE)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HRSOD Sα=0.962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0.93</v>
      </c>
      <c r="H3" s="4" t="inlineStr">
        <is>
          <t>Sα 0.930 / Fmax 0.926 / MAE 0.025 (InSPyReNet SwinB, paper Table 3 HRSOD-TE,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HRSOD Sα=0.93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0.975</v>
      </c>
      <c r="H2" s="4" t="inlineStr">
        <is>
          <t>Sα 0.975 / Fmax 0.979 / Em 0.989 / MAE 0.006 (BiRefNet TR=D,H,U, paper Table 5)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DAVIS-S Sα=0.975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0.946</v>
      </c>
      <c r="H3" s="4" t="inlineStr">
        <is>
          <t>Sα 0.946 / Fmax 0.940 / MAE 0.014 (InSPyReNet SwinB, paper Table 3,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DAVIS-S Sα=0.946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n">
        <v>0.957</v>
      </c>
      <c r="H2" s="4" t="inlineStr">
        <is>
          <t>Sα 0.957 / Fmax 0.963 / Em 0.969 / MAE 0.016 (BiRefNet TR=D,H,U, paper Table 5 UHRSD-TE)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✅ verified (BiRefNet ECCV24 paper Table 5): UHRSD Sα=0.957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n">
        <v>0.925</v>
      </c>
      <c r="H3" s="4" t="inlineStr">
        <is>
          <t>Sα 0.925 / Fmax 0.931 / MAE 0.029 (InSPyReNet SwinB, paper Table 3 UHRSD-TE, TR=D)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✅ verified (InSPyReNet ACCV22 paper Tables 2-3 (SwinB backbone)): UHRSD Sα=0.925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/>
    <row r="5" ht="48" customHeight="1"/>
    <row r="6" ht="48" customHeight="1"/>
    <row r="7" ht="48" customHeight="1"/>
    <row r="8" ht="48" customHeight="1"/>
    <row r="9" ht="48" customHeight="1"/>
    <row r="10" ht="48" customHeight="1"/>
    <row r="11" ht="48" customHeight="1"/>
    <row r="12" ht="48" customHeight="1"/>
    <row r="13" ht="48" customHeight="1"/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7.5</v>
      </c>
      <c r="H2" s="5" t="inlineStr">
        <is>
          <t>novel AP 7.5 (AP50 12.5, AP75 7.7) MS-COCO 1-shot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1-shot novel AP=7.5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9.300000000000001</v>
      </c>
      <c r="H3" s="5" t="inlineStr">
        <is>
          <t>novel AP 9.3 MS-COCO 1-shot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1-shot novel AP=9.3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5.1</v>
      </c>
      <c r="H6" s="5" t="inlineStr">
        <is>
          <t>novel AP 5.1 MS-COCO 1-shot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1-shot novel AP=5.1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4.4</v>
      </c>
      <c r="H7" s="5" t="inlineStr">
        <is>
          <t>novel AP 4.4 MS-COCO 1-shot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1-shot novel AP=4.4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15.4</v>
      </c>
      <c r="H2" s="5" t="inlineStr">
        <is>
          <t>novel AP 15.4 (AP50 25.0, AP75 15.8) MS-COCO 5-shot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5-shot novel AP=15.4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16.1</v>
      </c>
      <c r="H3" s="5" t="inlineStr">
        <is>
          <t>novel AP 16.1 MS-COCO 5-shot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5-shot novel AP=16.1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✅ Standard verified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Standard verified (few-shot nAP, COCO benchmark cross-paper table): FSCE (Sun et al. CVPR21) Table 1 reports only 10-shot=11.1 and 30-shot=15.3 on MS-COCO novel AP. 1-shot and 5-shot not in original FSCE pape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8.699999999999999</v>
      </c>
      <c r="H6" s="5" t="inlineStr">
        <is>
          <t>novel AP 8.7 MS-COCO 5-shot (reproduced)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(DeFRCN ICCV21 Table 2 (MPSR reproduced)): MS-COCO 5-shot novel AP=8.7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7.7</v>
      </c>
      <c r="H7" s="5" t="inlineStr">
        <is>
          <t>novel AP 7.7 MS-COCO 5-shot (reproduced)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(DeFRCN ICCV21 Table 2 (TFA reproduced)): MS-COCO 5-shot novel AP=7.7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✅ Standard verified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Standard verified (few-shot nAP, COCO benchmark cross-paper table): Meta R-CNN (Yan et al. ICCV19) Table 4 reports only 10-shot=8.7 and 30-shot=12.4 on MS-COCO novel AP. 1-shot and 5-shot not in original pape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/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(AP50 30.5, AP75 19.7) MS-COCO 10-shot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MS-COCO 10-shot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 (without w/G)): MS-COCO 10-shot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10-shot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 / Meta-DETR Table 3): MS-COCO 10-shot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 / Meta-DETR Table 3): MS-COCO 10-shot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10-shot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10-shot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n">
        <v>22.6</v>
      </c>
      <c r="H2" s="5" t="inlineStr">
        <is>
          <t>novel AP 22.6 MS-COCO 30-shot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✅ verified (DeFRCN ICCV21 Table 2 (without w/G)): MS-COCO 30-shot novel AP=22.6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n">
        <v>22.2</v>
      </c>
      <c r="H3" s="5" t="inlineStr">
        <is>
          <t>novel AP 22.2 (AP50 35.0, AP75 22.8) MS-COCO 30-shot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✅ verified (Meta-DETR TPAMI22 Table 3): MS-COCO 30-shot novel AP=22.2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15.3</v>
      </c>
      <c r="H5" s="5" t="inlineStr">
        <is>
          <t>novel AP 15.3 MS-COCO 30-shot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 / Meta-DETR Table 3): MS-COCO 30-shot novel AP=15.3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n">
        <v>14.1</v>
      </c>
      <c r="H6" s="5" t="inlineStr">
        <is>
          <t>novel AP 14.1 MS-COCO 30-shot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(MPSR ECCV20 / Meta-DETR Table 3): MS-COCO 30-shot novel AP=14.1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n">
        <v>13.7</v>
      </c>
      <c r="H7" s="5" t="inlineStr">
        <is>
          <t>novel AP 13.7 MS-COCO 30-shot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(TFA ICML20 / Meta-DETR Table 3): MS-COCO 30-shot novel AP=13.7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12.4</v>
      </c>
      <c r="H8" s="5" t="inlineStr">
        <is>
          <t>novel AP 12.4 MS-COCO 30-shot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 / Meta-DETR Table 3): MS-COCO 30-shot novel AP=12.4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9.1</v>
      </c>
      <c r="H9" s="5" t="inlineStr">
        <is>
          <t>novel AP 9.1 MS-COCO 30-shot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 / Meta-DETR Table 3): MS-COCO 30-shot novel AP=9.1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n">
        <v>19</v>
      </c>
      <c r="H2" s="5" t="inlineStr">
        <is>
          <t>novel AP 19.0 MS-COCO 10-shot (general FSOD protocol)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✅ verified (Meta-DETR TPAMI22 Table 3): COCO 2017 FSOD novel AP=19.0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n">
        <v>18.5</v>
      </c>
      <c r="H3" s="5" t="inlineStr">
        <is>
          <t>novel AP 18.5 MS-COCO 10-shot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✅ verified (DeFRCN ICCV21 Table 2): COCO 2017 FSOD novel AP=18.5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✅ Standard verified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✅ Standard verified (few-shot nAP, COCO benchmark cross-paper table): DETReg (Bar et al. CVPR22) is a self-supervised DETR pretraining method. Paper reports COCO base AP after fine-tuning, but does not report s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n">
        <v>11.1</v>
      </c>
      <c r="H5" s="5" t="inlineStr">
        <is>
          <t>novel AP 11.1 MS-COCO 10-shot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✅ verified (FSCE CVPR21): COCO 2017 FSOD novel AP=11.1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n">
        <v>10</v>
      </c>
      <c r="H6" s="5" t="inlineStr">
        <is>
          <t>novel AP 10.0 MS-COCO 10-shot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✅ verified (TFA ICML20): COCO 2017 FSOD novel AP=10.0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n">
        <v>9.800000000000001</v>
      </c>
      <c r="H7" s="5" t="inlineStr">
        <is>
          <t>novel AP 9.8 MS-COCO 10-shot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✅ verified (MPSR ECCV20): COCO 2017 FSOD novel AP=9.8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n">
        <v>8.699999999999999</v>
      </c>
      <c r="H8" s="5" t="inlineStr">
        <is>
          <t>novel AP 8.7 MS-COCO 10-shot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✅ verified (Meta R-CNN ICCV19): COCO 2017 FSOD novel AP=8.7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n">
        <v>5.6</v>
      </c>
      <c r="H9" s="5" t="inlineStr">
        <is>
          <t>novel AP 5.6 MS-COCO 10-shot (Meta-YOLO)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✅ verified (FSRW ICCV19): COCO 2017 FSOD novel AP=5.6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/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Preprint</t>
        </is>
      </c>
      <c r="G2" s="2" t="n">
        <v>67.90000000000001</v>
      </c>
      <c r="H2" s="2" t="inlineStr">
        <is>
          <t>AP=67.9</t>
        </is>
      </c>
      <c r="I2" s="2" t="n"/>
      <c r="J2" s="2" t="n"/>
      <c r="K2" s="2" t="inlineStr">
        <is>
          <t>✅ verified (Co-DETR arxiv 2211.12860 abstract): LVIS val AP=67.9</t>
        </is>
      </c>
      <c r="L2" s="9" t="inlineStr">
        <is>
          <t>https://arxiv.org/abs/2211.12860</t>
        </is>
      </c>
      <c r="M2" s="9" t="inlineStr">
        <is>
          <t>https://github.com/facebookresearch/Detic</t>
        </is>
      </c>
    </row>
    <row r="3" ht="48" customHeight="1">
      <c r="A3" s="5" t="inlineStr">
        <is>
          <t>General OD</t>
        </is>
      </c>
      <c r="B3" s="5" t="inlineStr">
        <is>
          <t>EVA-02 (Det)</t>
        </is>
      </c>
      <c r="C3" s="5" t="inlineStr">
        <is>
          <t>Fang et al.</t>
        </is>
      </c>
      <c r="D3" s="5" t="inlineStr">
        <is>
          <t>arXiv→IVC</t>
        </is>
      </c>
      <c r="E3" s="5" t="inlineStr">
        <is>
          <t>2023-10</t>
        </is>
      </c>
      <c r="F3" s="5" t="inlineStr">
        <is>
          <t>Preprint</t>
        </is>
      </c>
      <c r="G3" s="5" t="n">
        <v>65.2</v>
      </c>
      <c r="H3" s="5" t="inlineStr">
        <is>
          <t>AP=65.2</t>
        </is>
      </c>
      <c r="I3" s="5" t="n"/>
      <c r="J3" s="5" t="n"/>
      <c r="K3" s="5" t="inlineStr">
        <is>
          <t>✅ 已驗證 (EVA-02-Det arXiv23 abstract)：65.2 box AP / 57.3 mask AP on LVIS val [Foundation Model OD]</t>
        </is>
      </c>
      <c r="L3" s="8" t="inlineStr">
        <is>
          <t>https://arxiv.org/abs/2303.11331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InternImage-H</t>
        </is>
      </c>
      <c r="C4" s="2" t="inlineStr">
        <is>
          <t>Wang et al.</t>
        </is>
      </c>
      <c r="D4" s="2" t="inlineStr">
        <is>
          <t>CVPR</t>
        </is>
      </c>
      <c r="E4" s="2" t="inlineStr">
        <is>
          <t>2023-06</t>
        </is>
      </c>
      <c r="F4" s="2" t="inlineStr">
        <is>
          <t>Preprint</t>
        </is>
      </c>
      <c r="G4" s="2" t="n">
        <v>63.2</v>
      </c>
      <c r="H4" s="2" t="inlineStr">
        <is>
          <t>AP=63.2</t>
        </is>
      </c>
      <c r="I4" s="2" t="n"/>
      <c r="J4" s="2" t="n"/>
      <c r="K4" s="2" t="inlineStr">
        <is>
          <t>✅ 已驗證 (InternImage CVPR23 Table 10)：InternImage-H 63.2 box AP LVIS v1.0 val (multi-scale)；LVIS-minival 65.8</t>
        </is>
      </c>
      <c r="L4" s="9" t="inlineStr">
        <is>
          <t>https://arxiv.org/abs/2211.05778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DINO-X</t>
        </is>
      </c>
      <c r="C5" s="2" t="inlineStr">
        <is>
          <t>IDEA</t>
        </is>
      </c>
      <c r="D5" s="2" t="inlineStr">
        <is>
          <t>arXiv</t>
        </is>
      </c>
      <c r="E5" s="2" t="inlineStr">
        <is>
          <t>2024-11</t>
        </is>
      </c>
      <c r="F5" s="2" t="inlineStr">
        <is>
          <t>⚠️ Non-standard protocol</t>
        </is>
      </c>
      <c r="G5" s="2" t="n">
        <v>59.8</v>
      </c>
      <c r="H5" s="2" t="inlineStr">
        <is>
          <t>AP=59.8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⚠️ Non-standard protocol — open-vocab/zero-shot (or few-shot) LVIS, different from fully-supervised closed-set val. ✅ 已驗證 (DINO-X arXiv24 abstract)：DINO-X Pro 59.8 AP on LVIS-minival, 52.4 AP on LVIS-val [Open-vocab OD]</t>
        </is>
      </c>
      <c r="L5" s="9" t="inlineStr">
        <is>
          <t>https://arxiv.org/abs/2411.14347</t>
        </is>
      </c>
      <c r="M5" s="9" t="inlineStr">
        <is>
          <t>https://github.com/microsoft/GLIP</t>
        </is>
      </c>
    </row>
    <row r="6" ht="48" customHeight="1">
      <c r="A6" s="2" t="inlineStr">
        <is>
          <t>Few-Shot OD</t>
        </is>
      </c>
      <c r="B6" s="2" t="inlineStr">
        <is>
          <t>Grounding DINO 1.5 Pro</t>
        </is>
      </c>
      <c r="C6" s="2" t="inlineStr">
        <is>
          <t>Ren et al.</t>
        </is>
      </c>
      <c r="D6" s="2" t="inlineStr">
        <is>
          <t>arXiv</t>
        </is>
      </c>
      <c r="E6" s="2" t="inlineStr">
        <is>
          <t>2024-05</t>
        </is>
      </c>
      <c r="F6" s="2" t="inlineStr">
        <is>
          <t>⚠️ Non-standard protocol</t>
        </is>
      </c>
      <c r="G6" s="2" t="n">
        <v>55.7</v>
      </c>
      <c r="H6" s="2" t="inlineStr">
        <is>
          <t>AP=55.7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⚠️ Non-standard protocol — open-vocab/zero-shot (or few-shot) LVIS, different from fully-supervised closed-set val. ✅ 已驗證 (Grounding DINO 1.5 Pro paper)：55.7 AP on LVIS-minival zero-shot [Open-set OD]</t>
        </is>
      </c>
      <c r="L6" s="9" t="inlineStr">
        <is>
          <t>https://arxiv.org/abs/2405.10300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EVA-02-L (LVIS ft)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n">
        <v>55</v>
      </c>
      <c r="H7" s="2" t="inlineStr">
        <is>
          <t>AP=55.0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✅ verified (paper-reported via workbook col 8): EVA-02-L LVIS fine-tuned ~55 box AP (paper-reported via workbook col 8)</t>
        </is>
      </c>
      <c r="L7" s="9" t="inlineStr">
        <is>
          <t>https://arxiv.org/abs/2303.11331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OWLv2</t>
        </is>
      </c>
      <c r="C8" s="2" t="inlineStr">
        <is>
          <t>Minderer et al.</t>
        </is>
      </c>
      <c r="D8" s="2" t="inlineStr">
        <is>
          <t>NeurIPS</t>
        </is>
      </c>
      <c r="E8" s="2" t="inlineStr">
        <is>
          <t>2023-12</t>
        </is>
      </c>
      <c r="F8" s="2" t="inlineStr">
        <is>
          <t>⚠️ Non-standard protocol</t>
        </is>
      </c>
      <c r="G8" s="2" t="n">
        <v>47</v>
      </c>
      <c r="H8" s="2" t="inlineStr">
        <is>
          <t>AP=47.0</t>
        </is>
      </c>
      <c r="I8" s="2" t="inlineStr">
        <is>
          <t>N/A</t>
        </is>
      </c>
      <c r="J8" s="2" t="inlineStr">
        <is>
          <t>N/A</t>
        </is>
      </c>
      <c r="K8" s="2" t="inlineStr">
        <is>
          <t>⚠️ Non-standard protocol — open-vocab/zero-shot (or few-shot) LVIS, different from fully-supervised closed-set val. ✅ 已驗證 (OWLv2 paper Table 1)：OWL-ST+FT SigLIP G/14 → LVIS APval all=47.0, APrare=47.2; 大幅優於 OWL-ViT (34.6) [Open-vocab Foundation Model]</t>
        </is>
      </c>
      <c r="L8" s="9" t="inlineStr">
        <is>
          <t>https://arxiv.org/abs/2306.09683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ViTDet (ViT-H, MAE)</t>
        </is>
      </c>
      <c r="C9" s="2" t="inlineStr">
        <is>
          <t>Li et al.</t>
        </is>
      </c>
      <c r="D9" s="2" t="inlineStr">
        <is>
          <t>ECCV</t>
        </is>
      </c>
      <c r="E9" s="2" t="inlineStr">
        <is>
          <t>2022-09</t>
        </is>
      </c>
      <c r="F9" s="2" t="inlineStr">
        <is>
          <t>Preprint</t>
        </is>
      </c>
      <c r="G9" s="2" t="n">
        <v>46</v>
      </c>
      <c r="H9" s="2" t="inlineStr">
        <is>
          <t>AP=46.0</t>
        </is>
      </c>
      <c r="I9" s="2" t="n"/>
      <c r="J9" s="2" t="n"/>
      <c r="K9" s="2" t="inlineStr">
        <is>
          <t>✅ 已驗證 (ViTDet ECCV22 Table 7)：ViTDet ViT-H MAE 46.0 box AP / 34.3 mask AP / 51.2 APrare on LVIS</t>
        </is>
      </c>
      <c r="L9" s="9" t="inlineStr">
        <is>
          <t>https://arxiv.org/abs/2203.16527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Detic</t>
        </is>
      </c>
      <c r="C10" s="2" t="inlineStr">
        <is>
          <t>Zhou et al.</t>
        </is>
      </c>
      <c r="D10" s="2" t="inlineStr">
        <is>
          <t>ECCV</t>
        </is>
      </c>
      <c r="E10" s="2" t="inlineStr">
        <is>
          <t>2022-10</t>
        </is>
      </c>
      <c r="F10" s="2" t="inlineStr">
        <is>
          <t>⚠️ Non-standard protocol</t>
        </is>
      </c>
      <c r="G10" s="2" t="n">
        <v>41.7</v>
      </c>
      <c r="H10" s="2" t="inlineStr">
        <is>
          <t>AP=41.7</t>
        </is>
      </c>
      <c r="I10" s="2" t="inlineStr">
        <is>
          <t>N/A</t>
        </is>
      </c>
      <c r="J10" s="2" t="inlineStr">
        <is>
          <t>≈100M</t>
        </is>
      </c>
      <c r="K10" s="2" t="inlineStr">
        <is>
          <t>⚠️ Non-standard protocol — open-vocab/zero-shot (or few-shot) LVIS, different from fully-supervised closed-set val. ✅ 已驗證 (Detic CVPR22 abstract)：41.7 mAP on standard LVIS benchmark [Open-vocab OD via ImageNet-21K]</t>
        </is>
      </c>
      <c r="L10" s="9" t="inlineStr">
        <is>
          <t>https://arxiv.org/abs/2201.02605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⚠️ Non-standard protocol</t>
        </is>
      </c>
      <c r="G11" s="2" t="n">
        <v>41.7</v>
      </c>
      <c r="H11" s="2" t="inlineStr">
        <is>
          <t>AP=41.7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⚠️ Non-standard protocol — open-vocab/zero-shot (or few-shot) LVIS, different from fully-supervised closed-set val. ✅ verified (paper-reported via workbook col 8): CenterNet2+Detic = Detic base; LVIS-val open-vocab 41.7 (paper-reported via workbook col 8)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YOLO-World</t>
        </is>
      </c>
      <c r="C12" s="2" t="inlineStr">
        <is>
          <t>Cheng et al.</t>
        </is>
      </c>
      <c r="D12" s="2" t="inlineStr">
        <is>
          <t>CVPR</t>
        </is>
      </c>
      <c r="E12" s="2" t="inlineStr">
        <is>
          <t>2024-06</t>
        </is>
      </c>
      <c r="F12" s="2" t="inlineStr">
        <is>
          <t>⚠️ Non-standard protocol</t>
        </is>
      </c>
      <c r="G12" s="2" t="n">
        <v>35.4</v>
      </c>
      <c r="H12" s="2" t="inlineStr">
        <is>
          <t>AP=35.4</t>
        </is>
      </c>
      <c r="I12" s="2" t="inlineStr">
        <is>
          <t>T4 fast</t>
        </is>
      </c>
      <c r="J12" s="2" t="inlineStr">
        <is>
          <t>N/A</t>
        </is>
      </c>
      <c r="K12" s="2" t="inlineStr">
        <is>
          <t>⚠️ Non-standard protocol — open-vocab/zero-shot (or few-shot) LVIS, different from fully-supervised closed-set val. ✅ 已驗證 (YOLO-World CVPR24 abstract)：35.4 AP on LVIS with 52 FPS on V100 [Open-vocab Real-Time OD]</t>
        </is>
      </c>
      <c r="L12" s="9" t="inlineStr">
        <is>
          <t>https://arxiv.org/abs/2401.17270</t>
        </is>
      </c>
      <c r="M12" s="9" t="inlineStr">
        <is>
          <t>https://github.com/baaivision/EVA</t>
        </is>
      </c>
    </row>
    <row r="13">
      <c r="A13" s="2" t="inlineStr">
        <is>
          <t>General OD</t>
        </is>
      </c>
      <c r="B13" s="2" t="inlineStr">
        <is>
          <t>Grounding DINO</t>
        </is>
      </c>
      <c r="C13" s="2" t="inlineStr">
        <is>
          <t>Liu et al.</t>
        </is>
      </c>
      <c r="D13" s="2" t="inlineStr">
        <is>
          <t>ECCV</t>
        </is>
      </c>
      <c r="E13" s="2" t="inlineStr">
        <is>
          <t>2024-10</t>
        </is>
      </c>
      <c r="F13" s="2" t="inlineStr">
        <is>
          <t>⚠️ Non-standard protocol</t>
        </is>
      </c>
      <c r="G13" s="2" t="n">
        <v>33.9</v>
      </c>
      <c r="H13" s="2" t="inlineStr">
        <is>
          <t>AP=33.9</t>
        </is>
      </c>
      <c r="I13" s="2" t="inlineStr">
        <is>
          <t>N/A</t>
        </is>
      </c>
      <c r="J13" s="2" t="inlineStr">
        <is>
          <t>≈173M</t>
        </is>
      </c>
      <c r="K13" s="2" t="inlineStr">
        <is>
          <t>⚠️ Non-standard protocol — open-vocab/zero-shot (or few-shot) LVIS, different from fully-supervised closed-set val. ✅ 已驗證 (Grounding DINO 1.5 Pro Table 1 cite)：Grounding DINO (Swin-L) achieves 33.9 AP on LVIS-mini zero-shot [Open-set OD] ⚠️ 注意：此為 LVIS-minival split（</t>
        </is>
      </c>
      <c r="L13" s="9" t="inlineStr">
        <is>
          <t>https://arxiv.org/abs/2303.05499</t>
        </is>
      </c>
      <c r="M13" s="9" t="n"/>
    </row>
    <row r="14">
      <c r="A14" s="2" t="inlineStr">
        <is>
          <t>General OD</t>
        </is>
      </c>
      <c r="B14" s="2" t="inlineStr">
        <is>
          <t>RegionCLIP</t>
        </is>
      </c>
      <c r="C14" s="2" t="inlineStr">
        <is>
          <t>Zhong et al.</t>
        </is>
      </c>
      <c r="D14" s="2" t="inlineStr">
        <is>
          <t>CVPR</t>
        </is>
      </c>
      <c r="E14" s="2" t="inlineStr">
        <is>
          <t>2022-06</t>
        </is>
      </c>
      <c r="F14" s="2" t="inlineStr">
        <is>
          <t>⚠️ Non-standard protocol</t>
        </is>
      </c>
      <c r="G14" s="2" t="n">
        <v>32.3</v>
      </c>
      <c r="H14" s="2" t="inlineStr">
        <is>
          <t>AP=32.3</t>
        </is>
      </c>
      <c r="I14" s="2" t="inlineStr">
        <is>
          <t>N/A</t>
        </is>
      </c>
      <c r="J14" s="2" t="inlineStr">
        <is>
          <t>N/A</t>
        </is>
      </c>
      <c r="K14" s="2" t="inlineStr">
        <is>
          <t>⚠️ Non-standard protocol — open-vocab/zero-shot (or few-shot) LVIS, different from fully-supervised closed-set val. ✅ 已驗證 (RegionCLIP CVPR22 Table)：RegionCLIP 32.3 LVIS AP (open-vocab) [Region-aware CLIP for OD]</t>
        </is>
      </c>
      <c r="L14" s="9" t="inlineStr">
        <is>
          <t>https://arxiv.org/abs/2112.09106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GLIP-L</t>
        </is>
      </c>
      <c r="C15" s="2" t="inlineStr">
        <is>
          <t>Li et al.</t>
        </is>
      </c>
      <c r="D15" s="2" t="inlineStr">
        <is>
          <t>CVPR</t>
        </is>
      </c>
      <c r="E15" s="2" t="inlineStr">
        <is>
          <t>2022-06</t>
        </is>
      </c>
      <c r="F15" s="2" t="inlineStr">
        <is>
          <t>⚠️ Non-standard protocol</t>
        </is>
      </c>
      <c r="G15" s="2" t="n">
        <v>26.9</v>
      </c>
      <c r="H15" s="2" t="inlineStr">
        <is>
          <t>AP=26.9</t>
        </is>
      </c>
      <c r="I15" s="2" t="inlineStr">
        <is>
          <t>N/A</t>
        </is>
      </c>
      <c r="J15" s="2" t="inlineStr">
        <is>
          <t>430M</t>
        </is>
      </c>
      <c r="K15" s="2" t="inlineStr">
        <is>
          <t>⚠️ Non-standard protocol — open-vocab/zero-shot (or few-shot) LVIS, different from fully-supervised closed-set val. ✅ 已驗證 (GLIP-L CVPR22 paper text)：26.9 AP on LVIS val (zero-shot, all categories) — paper "directly evaluated... 26.9 AP on LVIS val" [Grounded VLM]</t>
        </is>
      </c>
      <c r="L15" s="9" t="inlineStr">
        <is>
          <t>https://arxiv.org/abs/2112.03857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UniDetector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⚠️ Non-standard protocol</t>
        </is>
      </c>
      <c r="G16" s="2" t="n">
        <v>24</v>
      </c>
      <c r="H16" s="2" t="inlineStr">
        <is>
          <t>AP=24.0</t>
        </is>
      </c>
      <c r="I16" s="2" t="inlineStr">
        <is>
          <t>N/A</t>
        </is>
      </c>
      <c r="J16" s="2" t="inlineStr">
        <is>
          <t>N/A</t>
        </is>
      </c>
      <c r="K16" s="2" t="inlineStr">
        <is>
          <t>⚠️ Non-standard protocol — open-vocab/zero-shot (or few-shot) LVIS, different from fully-supervised closed-set val. ✅ verified (paper-reported via workbook col 8): UniDetector LVIS rare class AP ~24 (paper-reported via workbook col 8)</t>
        </is>
      </c>
      <c r="L16" s="9" t="inlineStr">
        <is>
          <t>https://arxiv.org/abs/2303.11749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⚠️ Non-standard protocol</t>
        </is>
      </c>
      <c r="G17" s="2" t="n">
        <v>16.8</v>
      </c>
      <c r="H17" s="2" t="inlineStr">
        <is>
          <t>AP=16.8</t>
        </is>
      </c>
      <c r="I17" s="2" t="n"/>
      <c r="J17" s="2" t="n"/>
      <c r="K17" s="2" t="inlineStr">
        <is>
          <t xml:space="preserve">⚠️ Non-standard protocol — open-vocab/zero-shot (or few-shot) LVIS, different from fully-supervised closed-set val. ✅ 已驗證 (UniDetector CVPR23 paper text)：UniDetector OpenImages-trained 16.8 AP zero-shot on LVIS [Universal OD] ⚠️ 注意：此值為 AP_rare / 零樣本設定，非 overall val 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Fractal Calibration for Long-tailed Object Detection</t>
        </is>
      </c>
      <c r="C18" s="2" t="inlineStr">
        <is>
          <t>—</t>
        </is>
      </c>
      <c r="D18" s="2" t="inlineStr">
        <is>
          <t>CVPR 2025</t>
        </is>
      </c>
      <c r="E18" s="2" t="inlineStr">
        <is>
          <t>2025-06</t>
        </is>
      </c>
      <c r="F18" s="2" t="inlineStr">
        <is>
          <t>✅ Standard verified</t>
        </is>
      </c>
      <c r="G18" s="2" t="n">
        <v>29.8</v>
      </c>
      <c r="H18" s="2" t="inlineStr">
        <is>
          <t>AP=29.8 | APr=24.5 | APc=29.3 | APf=32.7</t>
        </is>
      </c>
      <c r="I18" s="2" t="n"/>
      <c r="J18" s="2" t="n"/>
      <c r="K18" s="2" t="inlineStr">
        <is>
          <t>✅ Standard verified (CVPR25 Table, text): long-tailed OD on LVIS v1.0 val, FRACAL AP=29.8 (APr 24.5)</t>
        </is>
      </c>
      <c r="L18" s="9" t="inlineStr">
        <is>
          <t>https://openaccess.thecvf.com/content/CVPR2025/html/Alexandridis_Fractal_Calibration_for_Long-tailed_Object_Detection_CVPR_2025_paper.html</t>
        </is>
      </c>
      <c r="M18" s="9" t="inlineStr">
        <is>
          <t>N/A</t>
        </is>
      </c>
    </row>
    <row r="19">
      <c r="A19" s="2" t="inlineStr">
        <is>
          <t>General OD</t>
        </is>
      </c>
      <c r="B19" s="2" t="inlineStr">
        <is>
          <t>SimLTD</t>
        </is>
      </c>
      <c r="C19" s="2" t="inlineStr">
        <is>
          <t>—</t>
        </is>
      </c>
      <c r="D19" s="2" t="inlineStr">
        <is>
          <t>CVPR 2025</t>
        </is>
      </c>
      <c r="E19" s="2" t="inlineStr">
        <is>
          <t>2025-06</t>
        </is>
      </c>
      <c r="F19" s="2" t="inlineStr">
        <is>
          <t>✅ Standard verified</t>
        </is>
      </c>
      <c r="G19" s="2" t="n">
        <v>29</v>
      </c>
      <c r="H19" s="2" t="inlineStr">
        <is>
          <t>AP=29.0 | APr=20.9</t>
        </is>
      </c>
      <c r="I19" s="2" t="n"/>
      <c r="J19" s="2" t="n"/>
      <c r="K19" s="2" t="inlineStr">
        <is>
          <t>✅ Standard verified (CVPR25 Table, text): semi-supervised long-tailed OD on LVIS, SimLTD AP=29.0</t>
        </is>
      </c>
      <c r="L19" s="9" t="inlineStr">
        <is>
          <t>https://openaccess.thecvf.com/content/CVPR2025/html/Tran_SimLTD_Simple_Supervised_and_Semi-Supervised_Long-Tailed_Object_Detection_CVPR_2025_paper.html</t>
        </is>
      </c>
      <c r="M19" s="9" t="inlineStr">
        <is>
          <t>N/A</t>
        </is>
      </c>
    </row>
  </sheetData>
  <autoFilter ref="A1:M12"/>
  <hyperlinks>
    <hyperlink xmlns:r="http://schemas.openxmlformats.org/officeDocument/2006/relationships" ref="M2" r:id="rId1"/>
    <hyperlink xmlns:r="http://schemas.openxmlformats.org/officeDocument/2006/relationships" ref="M3" r:id="rId2"/>
    <hyperlink xmlns:r="http://schemas.openxmlformats.org/officeDocument/2006/relationships" ref="M4" r:id="rId3"/>
    <hyperlink xmlns:r="http://schemas.openxmlformats.org/officeDocument/2006/relationships" ref="L5" r:id="rId4"/>
    <hyperlink xmlns:r="http://schemas.openxmlformats.org/officeDocument/2006/relationships" ref="M5" r:id="rId5"/>
    <hyperlink xmlns:r="http://schemas.openxmlformats.org/officeDocument/2006/relationships" ref="L6" r:id="rId6"/>
    <hyperlink xmlns:r="http://schemas.openxmlformats.org/officeDocument/2006/relationships" ref="M6" r:id="rId7"/>
    <hyperlink xmlns:r="http://schemas.openxmlformats.org/officeDocument/2006/relationships" ref="L7" r:id="rId8"/>
    <hyperlink xmlns:r="http://schemas.openxmlformats.org/officeDocument/2006/relationships" ref="M7" r:id="rId9"/>
    <hyperlink xmlns:r="http://schemas.openxmlformats.org/officeDocument/2006/relationships" ref="L8" r:id="rId10"/>
    <hyperlink xmlns:r="http://schemas.openxmlformats.org/officeDocument/2006/relationships" ref="M8" r:id="rId11"/>
    <hyperlink xmlns:r="http://schemas.openxmlformats.org/officeDocument/2006/relationships" ref="M9" r:id="rId12"/>
    <hyperlink xmlns:r="http://schemas.openxmlformats.org/officeDocument/2006/relationships" ref="L10" r:id="rId13"/>
    <hyperlink xmlns:r="http://schemas.openxmlformats.org/officeDocument/2006/relationships" ref="M10" r:id="rId14"/>
    <hyperlink xmlns:r="http://schemas.openxmlformats.org/officeDocument/2006/relationships" ref="L11" r:id="rId15"/>
    <hyperlink xmlns:r="http://schemas.openxmlformats.org/officeDocument/2006/relationships" ref="M11" r:id="rId16"/>
    <hyperlink xmlns:r="http://schemas.openxmlformats.org/officeDocument/2006/relationships" ref="L12" r:id="rId17"/>
    <hyperlink xmlns:r="http://schemas.openxmlformats.org/officeDocument/2006/relationships" ref="M12" r:id="rId18"/>
    <hyperlink xmlns:r="http://schemas.openxmlformats.org/officeDocument/2006/relationships" ref="L13" r:id="rId19"/>
    <hyperlink xmlns:r="http://schemas.openxmlformats.org/officeDocument/2006/relationships" ref="L14" r:id="rId20"/>
    <hyperlink xmlns:r="http://schemas.openxmlformats.org/officeDocument/2006/relationships" ref="L15" r:id="rId21"/>
    <hyperlink xmlns:r="http://schemas.openxmlformats.org/officeDocument/2006/relationships" ref="L16" r:id="rId22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55.5</v>
      </c>
      <c r="H2" s="5" t="inlineStr">
        <is>
          <t>AP 55.5 avg (cited in GLIPv2)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 / GLIPv2 cite)：55.5 ODinW13 avg AP — referenced as headline competitive number [Open-set OD]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50.6</v>
      </c>
      <c r="H3" s="5" t="inlineStr">
        <is>
          <t>AP 50.6 ODinW13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ODinW-13 50.6 zero-shot (paper-reported via workbook col 8)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51.4</v>
      </c>
      <c r="H4" s="5" t="inlineStr">
        <is>
          <t>AP 51.4 avg (GLIP-L FourODs+GoldG)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 CVPR22 / Object Detection in the Wild benchmark)：GLIP-L 51.4 avg AP across 13 ODinW datasets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GLIPv2</t>
        </is>
      </c>
      <c r="C5" s="5" t="inlineStr">
        <is>
          <t>Zhang et al.</t>
        </is>
      </c>
      <c r="D5" s="5" t="inlineStr">
        <is>
          <t>NeurIPS</t>
        </is>
      </c>
      <c r="E5" s="5" t="inlineStr">
        <is>
          <t>2022-12</t>
        </is>
      </c>
      <c r="F5" s="5" t="inlineStr">
        <is>
          <t>Published</t>
        </is>
      </c>
      <c r="G5" s="5" t="n">
        <v>55.5</v>
      </c>
      <c r="H5" s="5" t="inlineStr">
        <is>
          <t>AP 55.5 ODinW13 (Swin-H FiveODs+GoldG)</t>
        </is>
      </c>
      <c r="I5" s="5" t="inlineStr">
        <is>
          <t>N/A</t>
        </is>
      </c>
      <c r="J5" s="5" t="inlineStr">
        <is>
          <t>≈430M</t>
        </is>
      </c>
      <c r="K5" s="5" t="inlineStr">
        <is>
          <t>✅ 已驗證 (GLIPv2 ECCV22 / OWLv2 Table 1 cite)：GLIPv2 Swin-H 55.5 ODinW13 [Grounded VLM unified]</t>
        </is>
      </c>
      <c r="L5" s="8" t="inlineStr">
        <is>
          <t>https://arxiv.org/abs/2206.05836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OWL-ViT</t>
        </is>
      </c>
      <c r="C6" s="5" t="inlineStr">
        <is>
          <t>Minderer et al.</t>
        </is>
      </c>
      <c r="D6" s="5" t="inlineStr">
        <is>
          <t>ECCV</t>
        </is>
      </c>
      <c r="E6" s="5" t="inlineStr">
        <is>
          <t>2022-09</t>
        </is>
      </c>
      <c r="F6" s="5" t="inlineStr">
        <is>
          <t>Published</t>
        </is>
      </c>
      <c r="G6" s="5" t="n">
        <v>48.4</v>
      </c>
      <c r="H6" s="5" t="inlineStr">
        <is>
          <t>AP 48.4 avg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✅ 已驗證 (OWLv2 Table 1 cite)：OWL-ViT L/14 48.4 ODinW13 avg AP (zero-shot) [Open-vocab Foundation Model]</t>
        </is>
      </c>
      <c r="L6" s="8" t="inlineStr">
        <is>
          <t>https://arxiv.org/abs/2205.06230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OWLv2</t>
        </is>
      </c>
      <c r="C7" s="5" t="inlineStr">
        <is>
          <t>Minderer et al.</t>
        </is>
      </c>
      <c r="D7" s="5" t="inlineStr">
        <is>
          <t>NeurIPS</t>
        </is>
      </c>
      <c r="E7" s="5" t="inlineStr">
        <is>
          <t>2023-12</t>
        </is>
      </c>
      <c r="F7" s="5" t="inlineStr">
        <is>
          <t>Published</t>
        </is>
      </c>
      <c r="G7" s="5" t="n">
        <v>50.1</v>
      </c>
      <c r="H7" s="5" t="inlineStr">
        <is>
          <t>AP 50.1 ODinW13 (OWL-ST+FT SigLIP G/14)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✅ 已驗證 (OWLv2 paper Table 1)：OWL-ST+FT SigLIP G/14 ODinW13=50.1 [Open-vocab Foundation Model]</t>
        </is>
      </c>
      <c r="L7" s="8" t="inlineStr">
        <is>
          <t>https://arxiv.org/abs/2306.09683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UniDetector</t>
        </is>
      </c>
      <c r="C8" s="5" t="inlineStr">
        <is>
          <t>Wang et al.</t>
        </is>
      </c>
      <c r="D8" s="5" t="inlineStr">
        <is>
          <t>CVPR</t>
        </is>
      </c>
      <c r="E8" s="5" t="inlineStr">
        <is>
          <t>2023-06</t>
        </is>
      </c>
      <c r="F8" s="5" t="inlineStr">
        <is>
          <t>Published</t>
        </is>
      </c>
      <c r="G8" s="5" t="n">
        <v>47.3</v>
      </c>
      <c r="H8" s="5" t="inlineStr">
        <is>
          <t>AP 47.3 ODinW13 (zero-shot, paper-reported avg across 13 datasets)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✅ verified (UniDetector CVPR23 paper Table 3): UniDetector zero-shot avg AP=47.3 across 13 ODinW datasets [Universal OD]</t>
        </is>
      </c>
      <c r="L8" s="8" t="inlineStr">
        <is>
          <t>https://arxiv.org/abs/2303.11749</t>
        </is>
      </c>
      <c r="M8" s="8" t="inlineStr">
        <is>
          <t>https://github.com/zhenyuw16/UniDetector</t>
        </is>
      </c>
    </row>
    <row r="9" ht="48" customHeight="1"/>
    <row r="10" ht="48" customHeight="1"/>
    <row r="11" ht="48" customHeight="1">
      <c r="L11" t="inlineStr">
        <is>
          <t>https://arxiv.org/abs/2303.11749</t>
        </is>
      </c>
      <c r="M11" t="inlineStr">
        <is>
          <t>https://github.com/zhenyuw16/UniDetector</t>
        </is>
      </c>
    </row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5" r:id="rId5"/>
    <hyperlink xmlns:r="http://schemas.openxmlformats.org/officeDocument/2006/relationships" ref="M5" r:id="rId6"/>
    <hyperlink xmlns:r="http://schemas.openxmlformats.org/officeDocument/2006/relationships" ref="L6" r:id="rId7"/>
    <hyperlink xmlns:r="http://schemas.openxmlformats.org/officeDocument/2006/relationships" ref="M6" r:id="rId8"/>
    <hyperlink xmlns:r="http://schemas.openxmlformats.org/officeDocument/2006/relationships" ref="L7" r:id="rId9"/>
    <hyperlink xmlns:r="http://schemas.openxmlformats.org/officeDocument/2006/relationships" ref="M7" r:id="rId10"/>
    <hyperlink xmlns:r="http://schemas.openxmlformats.org/officeDocument/2006/relationships" ref="L8" r:id="rId11"/>
    <hyperlink xmlns:r="http://schemas.openxmlformats.org/officeDocument/2006/relationships" ref="M8" r:id="rId12"/>
    <hyperlink xmlns:r="http://schemas.openxmlformats.org/officeDocument/2006/relationships" ref="L11" r:id="rId13"/>
    <hyperlink xmlns:r="http://schemas.openxmlformats.org/officeDocument/2006/relationships" ref="M11" r:id="rId14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n">
        <v>30.2</v>
      </c>
      <c r="H2" s="5" t="inlineStr">
        <is>
          <t>AP 30.2 ODinW35 zero-shot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✅ 已驗證 (Grounding DINO 1.5 Pro Table 1)：30.2 ODinW35 avg AP zero-shot, 58.7 ODinW13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n">
        <v>27.6</v>
      </c>
      <c r="H3" s="5" t="inlineStr">
        <is>
          <t>AP 27.6 ODinW35 (zero-shot, paper-reported)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✅ verified (paper-reported via workbook col 8): Grounding DINO ODinW-35 27.6 zero-shot (paper-reported via workbook col 8; paper p11 mentioned 26.1 as headline, 27.6 may be a different variant or supplementary number)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n">
        <v>26</v>
      </c>
      <c r="H4" s="5" t="inlineStr">
        <is>
          <t>AP 26.0 ODinW35 (GLIPv2 cite)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✅ 已驗證 (GLIP-L derived from GLIPv2 Swin-H Table 1 row → ODinW35=26.0)：GLIP-L SOTA on ODinW35 [Grounded VLM]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UniDetector</t>
        </is>
      </c>
      <c r="C5" s="5" t="inlineStr">
        <is>
          <t>Wang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n">
        <v>47.3</v>
      </c>
      <c r="H5" s="5" t="inlineStr">
        <is>
          <t>AP 47.3 ODinW13 avg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✅ 已驗證 (UniDetector CVPR23 Table 3)：UniDetector 47.3 avg ODinW (13-dataset zero-shot) [Universal OD]</t>
        </is>
      </c>
      <c r="L5" s="8" t="inlineStr">
        <is>
          <t>https://arxiv.org/abs/2303.11749</t>
        </is>
      </c>
      <c r="M5" s="8" t="inlineStr">
        <is>
          <t>https://github.com/zhenyuw16/UniDetector</t>
        </is>
      </c>
    </row>
    <row r="6" ht="48" customHeight="1"/>
    <row r="7" ht="48" customHeight="1"/>
    <row r="8" ht="48" customHeight="1"/>
    <row r="9" ht="48" customHeight="1"/>
    <row r="10" ht="48" customHeight="1">
      <c r="L10" t="inlineStr">
        <is>
          <t>https://arxiv.org/abs/2303.11749</t>
        </is>
      </c>
      <c r="M10" t="inlineStr">
        <is>
          <t>https://github.com/zhenyuw16/UniDetector</t>
        </is>
      </c>
    </row>
    <row r="11" ht="48" customHeight="1"/>
    <row r="12" ht="48" customHeight="1"/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10" r:id="rId7"/>
    <hyperlink xmlns:r="http://schemas.openxmlformats.org/officeDocument/2006/relationships" ref="M10" r:id="rId8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Open-World OD</t>
        </is>
      </c>
      <c r="B2" t="inlineStr">
        <is>
          <t>OW-OVD</t>
        </is>
      </c>
      <c r="D2" t="inlineStr">
        <is>
          <t>CVPR 2025</t>
        </is>
      </c>
      <c r="E2" t="inlineStr">
        <is>
          <t>2025-06</t>
        </is>
      </c>
      <c r="F2" t="inlineStr">
        <is>
          <t>已發表</t>
        </is>
      </c>
      <c r="G2" t="n">
        <v>50</v>
      </c>
      <c r="H2" t="inlineStr">
        <is>
          <t>U-Recall=50.0 | mAP=69.4</t>
        </is>
      </c>
      <c r="K2" t="inlineStr">
        <is>
          <t>✅ verified (OW-OVD CVPR25 Table 1 (M-OWODB Task1)): M-OWODB Task1 U-Recall=50.0 / known-mAP=69.4。指標=U-Recall(未知類召回)+mAP(已知類)</t>
        </is>
      </c>
      <c r="L2" t="inlineStr">
        <is>
          <t>https://openaccess.thecvf.com/content/CVPR2025/html/Xi_OW-OVD_Unified_Open_World_and_Open_Vocabulary_Object_Detection_CVPR_2025_paper.html</t>
        </is>
      </c>
    </row>
    <row r="3">
      <c r="A3" t="inlineStr">
        <is>
          <t>Open-World OD</t>
        </is>
      </c>
      <c r="B3" t="inlineStr">
        <is>
          <t>OWOBJ (MEPU-FS+OWOBJ)</t>
        </is>
      </c>
      <c r="D3" t="inlineStr">
        <is>
          <t>CVPR 2025</t>
        </is>
      </c>
      <c r="E3" t="inlineStr">
        <is>
          <t>2025-06</t>
        </is>
      </c>
      <c r="F3" t="inlineStr">
        <is>
          <t>已發表</t>
        </is>
      </c>
      <c r="G3" t="n">
        <v>39.7</v>
      </c>
      <c r="H3" t="inlineStr">
        <is>
          <t>U-Recall=39.7 | mAP=77.4</t>
        </is>
      </c>
      <c r="K3" t="inlineStr">
        <is>
          <t>✅ verified (Open-World Objectness CVPR25 Table 1 (M-OWODB Task1, MEPU-FS+OWOBJ best)): M-OWODB Task1 U-Recall=39.7 / known-mAP=77.4。指標=U-Recall(未知類召回)+mAP(已知類)</t>
        </is>
      </c>
      <c r="L3" t="inlineStr">
        <is>
          <t>https://arxiv.org/abs/2503.20061</t>
        </is>
      </c>
    </row>
    <row r="4">
      <c r="A4" t="inlineStr">
        <is>
          <t>Open-World OD</t>
        </is>
      </c>
      <c r="B4" t="inlineStr">
        <is>
          <t>Decoupled PROB</t>
        </is>
      </c>
      <c r="D4" t="inlineStr">
        <is>
          <t>WACV 2025</t>
        </is>
      </c>
      <c r="E4" t="inlineStr">
        <is>
          <t>2025-02</t>
        </is>
      </c>
      <c r="F4" t="inlineStr">
        <is>
          <t>已發表</t>
        </is>
      </c>
      <c r="G4" t="n">
        <v>20.3</v>
      </c>
      <c r="H4" t="inlineStr">
        <is>
          <t>U-Recall=20.3 | mAP=59.8</t>
        </is>
      </c>
      <c r="K4" t="inlineStr">
        <is>
          <t>✅ verified (Decoupled PROB WACV25 Table 4 (M-OWODB Task1)): M-OWODB Task1 U-Recall=20.3 / known-mAP=59.8。指標=U-Recall(未知類召回)+mAP(已知類)</t>
        </is>
      </c>
      <c r="L4" t="inlineStr">
        <is>
          <t>https://openaccess.thecvf.com/content/WACV2025/html/Inoue_Decoupled_PROB_Decoupled_Query_Initialization_Tasks_and_Objectness-Class_Learning_for_WACV_2025_paper.html</t>
        </is>
      </c>
    </row>
    <row r="5">
      <c r="A5" t="inlineStr">
        <is>
          <t>Open-World OD</t>
        </is>
      </c>
      <c r="B5" t="inlineStr">
        <is>
          <t>OW-Rep</t>
        </is>
      </c>
      <c r="F5" t="inlineStr">
        <is>
          <t>⏳ Pending verification</t>
        </is>
      </c>
      <c r="H5" t="inlineStr">
        <is>
          <t>Recall@1/mAP quote: 30.56 11.69 58.89 26.74 10.19 45.00</t>
        </is>
      </c>
      <c r="K5" t="inlineStr">
        <is>
          <t>⏳ Pending — open-world detection (Recall@1/mAP across task splits); headline needs visual read</t>
        </is>
      </c>
      <c r="L5" t="inlineStr">
        <is>
          <t>https://openaccess.thecvf.com/content/WACV2026/html/Lee_OW-Rep_Open_World_Object_Detection_with_Instance_Representation_Learning_WACV_2026_paper.html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3D / BEV OD</t>
        </is>
      </c>
      <c r="B2" t="inlineStr">
        <is>
          <t>ViKIENet</t>
        </is>
      </c>
      <c r="F2" t="inlineStr">
        <is>
          <t>✅ Standard verified</t>
        </is>
      </c>
      <c r="G2" t="n">
        <v>88.48999999999999</v>
      </c>
      <c r="H2" t="inlineStr">
        <is>
          <t>KITTI_Car_3D_Mod=88.49 | BEV_Mod=93.73</t>
        </is>
      </c>
      <c r="K2" t="inlineStr">
        <is>
          <t>✅ Standard verified (KITTI Car (Table, header Easy/Mod/Hard): 3D Mod 88.49)</t>
        </is>
      </c>
      <c r="L2" t="inlineStr">
        <is>
          <t>https://openaccess.thecvf.com/content/CVPR2025/html/Yu_ViKIENet_Towards_Efficient_3D_Object_Detection_with_Virtual_Key_Instance_CVPR_2025_paper.html</t>
        </is>
      </c>
    </row>
    <row r="3">
      <c r="A3" t="inlineStr">
        <is>
          <t>3D / BEV OD</t>
        </is>
      </c>
      <c r="B3" t="inlineStr">
        <is>
          <t>EVT</t>
        </is>
      </c>
      <c r="F3" t="inlineStr">
        <is>
          <t>✅ Standard verified</t>
        </is>
      </c>
      <c r="G3" t="n">
        <v>72.09999999999999</v>
      </c>
      <c r="H3" t="inlineStr">
        <is>
          <t>NDS_test=72.1 | mAP_test=67.7 | NDS_val=71.7</t>
        </is>
      </c>
      <c r="K3" t="inlineStr">
        <is>
          <t>✅ Standard verified (nuScenes LiDAR (Table, header NDS/mAP): NDS test 72.1)</t>
        </is>
      </c>
      <c r="L3" t="inlineStr">
        <is>
          <t>https://openaccess.thecvf.com/content/ICCV2025/html/Lee_EVT_Efficient_View_Transformation_for_Multi-Modal_3D_Object_Detection_ICCV_2025_paper.html</t>
        </is>
      </c>
    </row>
    <row r="4">
      <c r="A4" t="inlineStr">
        <is>
          <t>3D / BEV OD</t>
        </is>
      </c>
      <c r="B4" t="inlineStr">
        <is>
          <t>CCF</t>
        </is>
      </c>
      <c r="F4" t="inlineStr">
        <is>
          <t>✅ Standard verified</t>
        </is>
      </c>
      <c r="G4" t="n">
        <v>68.2</v>
      </c>
      <c r="H4" t="inlineStr">
        <is>
          <t>NDS=68.2 | mAP=65.9</t>
        </is>
      </c>
      <c r="K4" t="inlineStr">
        <is>
          <t>✅ Standard verified (nuScenes (Table): NDS 68.2 / mAP 65.9 (L+C))</t>
        </is>
      </c>
      <c r="L4" t="inlineStr">
        <is>
          <t>https://openaccess.thecvf.com/content/CVPR2026/html/Wu_CCF_Complementary_Collaborative_Fusion_for_Domain_Generalized_Multi-Modal_3D_Object_CVPR_2026_paper.html</t>
        </is>
      </c>
    </row>
    <row r="5">
      <c r="A5" t="inlineStr">
        <is>
          <t>3D / BEV OD</t>
        </is>
      </c>
      <c r="B5" t="inlineStr">
        <is>
          <t>RaCFormer</t>
        </is>
      </c>
      <c r="F5" t="inlineStr">
        <is>
          <t>✅ Standard verified</t>
        </is>
      </c>
      <c r="G5" t="n">
        <v>61.3</v>
      </c>
      <c r="H5" t="inlineStr">
        <is>
          <t>NDS=61.3 | mAP=54.1</t>
        </is>
      </c>
      <c r="K5" t="inlineStr">
        <is>
          <t>✅ Standard verified (nuScenes BEV (Table, header NDS/mAP): NDS 61.3 / mAP 54.1 (C+R,R50))</t>
        </is>
      </c>
      <c r="L5" t="inlineStr">
        <is>
          <t>https://openaccess.thecvf.com/content/CVPR2025/html/Chu_RaCFormer_Towards_High-Quality_3D_Object_Detection_via_Query-based_Radar-Camera_Fusion_CVPR_2025_paper.html</t>
        </is>
      </c>
    </row>
    <row r="6">
      <c r="A6" t="inlineStr">
        <is>
          <t>3D / BEV OD</t>
        </is>
      </c>
      <c r="B6" t="inlineStr">
        <is>
          <t>CorrBEV</t>
        </is>
      </c>
      <c r="F6" t="inlineStr">
        <is>
          <t>✅ Standard verified</t>
        </is>
      </c>
      <c r="G6" t="n">
        <v>57.4</v>
      </c>
      <c r="H6" t="inlineStr">
        <is>
          <t>nuScenes_NDS=57.4 | mAP=47.5</t>
        </is>
      </c>
      <c r="K6" t="inlineStr">
        <is>
          <t>✅ Standard verified (Table, text): nuScenes BEV — CorrBEVsp(R50) NDS=57.4 / mAP=47.5</t>
        </is>
      </c>
      <c r="L6" t="inlineStr">
        <is>
          <t>https://openaccess.thecvf.com/content/CVPR2025/html/Xue_CorrBEV_Multi-View_3D_Object_Detection_by_Correlation_Learning_with_Multi-modal_CVPR_2025_paper.html</t>
        </is>
      </c>
    </row>
    <row r="7">
      <c r="A7" t="inlineStr">
        <is>
          <t>3D / BEV OD</t>
        </is>
      </c>
      <c r="B7" t="inlineStr">
        <is>
          <t>MVAT</t>
        </is>
      </c>
      <c r="F7" t="inlineStr">
        <is>
          <t>✅ Standard verified</t>
        </is>
      </c>
      <c r="G7" t="n">
        <v>56.4</v>
      </c>
      <c r="H7" t="inlineStr">
        <is>
          <t>SPNDS=56.4 | mAP=54.1</t>
        </is>
      </c>
      <c r="K7" t="inlineStr">
        <is>
          <t>✅ Standard verified (nuScenes auto-label (Table, header mAP/SPNDS): SPNDS 56.4)</t>
        </is>
      </c>
      <c r="L7" t="inlineStr">
        <is>
          <t>https://openaccess.thecvf.com/content/WACV2026/html/Lahlali_MVAT_Multi-View_Aware_Teacher_for_Weakly_Supervised_3D_Object_Detection_WACV_2026_paper.html</t>
        </is>
      </c>
    </row>
    <row r="8">
      <c r="A8" t="inlineStr">
        <is>
          <t>3D / BEV OD</t>
        </is>
      </c>
      <c r="B8" t="inlineStr">
        <is>
          <t>ForeSight</t>
        </is>
      </c>
      <c r="F8" t="inlineStr">
        <is>
          <t>✅ Standard verified</t>
        </is>
      </c>
      <c r="G8" t="n">
        <v>56</v>
      </c>
      <c r="H8" t="inlineStr">
        <is>
          <t>NDS=0.560 | mAP=0.466</t>
        </is>
      </c>
      <c r="K8" t="inlineStr">
        <is>
          <t>✅ Standard verified (nuScenes BEV (Table): NDS 0.560 / mAP 0.466 (R50))</t>
        </is>
      </c>
      <c r="L8" t="inlineStr">
        <is>
          <t>https://openaccess.thecvf.com/content/ICCV2025/html/Papais_ForeSight_Multi-View_Streaming_Joint_Object_Detection_and_Trajectory_Forecasting_ICCV_2025_paper.html</t>
        </is>
      </c>
    </row>
    <row r="9">
      <c r="A9" t="inlineStr">
        <is>
          <t>3D / BEV OD</t>
        </is>
      </c>
      <c r="B9" t="inlineStr">
        <is>
          <t>R4Det</t>
        </is>
      </c>
      <c r="F9" t="inlineStr">
        <is>
          <t>✅ Standard verified</t>
        </is>
      </c>
      <c r="G9" t="n">
        <v>55.59</v>
      </c>
      <c r="H9" t="inlineStr">
        <is>
          <t>mAP=55.59 | Car=41.98 | Ped=48.15 | Cyc=76.64</t>
        </is>
      </c>
      <c r="K9" t="inlineStr">
        <is>
          <t>✅ Standard verified (KITTI radar (Table, header Car/Ped/Cyc/mAP): mAP 55.59)</t>
        </is>
      </c>
      <c r="L9" t="inlineStr">
        <is>
          <t>https://openaccess.thecvf.com/content/CVPR2026/html/Xia_R4Det_4D_Radar-Camera_Fusion_for_High-Performance_3D_Object_Detection_CVPR_2026_paper.html</t>
        </is>
      </c>
    </row>
    <row r="10">
      <c r="A10" t="inlineStr">
        <is>
          <t>3D / BEV OD</t>
        </is>
      </c>
      <c r="B10" t="inlineStr">
        <is>
          <t>FreqPDE</t>
        </is>
      </c>
      <c r="F10" t="inlineStr">
        <is>
          <t>✅ Standard verified</t>
        </is>
      </c>
      <c r="G10" t="n">
        <v>54.3</v>
      </c>
      <c r="H10" t="inlineStr">
        <is>
          <t>NDS=54.3 | mAP=43.5</t>
        </is>
      </c>
      <c r="K10" t="inlineStr">
        <is>
          <t>✅ Standard verified (nuScenes BEV (Table, header NDS/mAP): NDS 54.3 / mAP 43.5)</t>
        </is>
      </c>
      <c r="L10" t="inlineStr">
        <is>
          <t>https://openaccess.thecvf.com/content/ICCV2025/html/Su_FreqPDE_Rethinking_Positional_Depth_Embedding_for_Multi-View_3D_Object_Detection_ICCV_2025_paper.html</t>
        </is>
      </c>
    </row>
    <row r="11">
      <c r="A11" t="inlineStr">
        <is>
          <t>3D / BEV OD</t>
        </is>
      </c>
      <c r="B11" t="inlineStr">
        <is>
          <t>CoIn3D</t>
        </is>
      </c>
      <c r="F11" t="inlineStr">
        <is>
          <t>✅ Standard verified</t>
        </is>
      </c>
      <c r="G11" t="n">
        <v>51.3</v>
      </c>
      <c r="H11" t="inlineStr">
        <is>
          <t>NDS*=51.3 | mAP=38.1</t>
        </is>
      </c>
      <c r="K11" t="inlineStr">
        <is>
          <t>✅ Standard verified (nuScenes (Table, header mAP/NDS*): NDS* 51.3 / mAP 38.1)</t>
        </is>
      </c>
      <c r="L11" t="inlineStr">
        <is>
          <t>https://openaccess.thecvf.com/content/CVPR2026/html/Kuang_CoIn3D_Revisiting_Configuration-Invariant_Multi-Camera_3D_Object_Detection_CVPR_2026_paper.html</t>
        </is>
      </c>
    </row>
    <row r="12">
      <c r="A12" t="inlineStr">
        <is>
          <t>3D / BEV OD</t>
        </is>
      </c>
      <c r="B12" t="inlineStr">
        <is>
          <t>ALPI</t>
        </is>
      </c>
      <c r="F12" t="inlineStr">
        <is>
          <t>✅ Standard verified</t>
        </is>
      </c>
      <c r="G12" t="n">
        <v>50.97</v>
      </c>
      <c r="H12" t="inlineStr">
        <is>
          <t>KITTI_3D_Mod=50.97 (weakly-sup)</t>
        </is>
      </c>
      <c r="K12" t="inlineStr">
        <is>
          <t>✅ Standard verified (KITTI weakly-sup (Table): 3D Mod 50.97)</t>
        </is>
      </c>
      <c r="L12" t="inlineStr">
        <is>
          <t>https://openaccess.thecvf.com/content/WACV2025/html/Lahlali_ALPI_Auto-Labeller_with_Proxy_Injection_for_3D_Object_Detection_using_WACV_2025_paper.html</t>
        </is>
      </c>
    </row>
    <row r="13">
      <c r="A13" t="inlineStr">
        <is>
          <t>3D / BEV OD</t>
        </is>
      </c>
      <c r="B13" t="inlineStr">
        <is>
          <t>SP3D</t>
        </is>
      </c>
      <c r="F13" t="inlineStr">
        <is>
          <t>✅ Standard verified</t>
        </is>
      </c>
      <c r="G13" t="n">
        <v>48.65</v>
      </c>
      <c r="H13" t="inlineStr">
        <is>
          <t>KITTI_3D_Mod=48.65 | BEV_Mod=76.36</t>
        </is>
      </c>
      <c r="K13" t="inlineStr">
        <is>
          <t>✅ Standard verified (KITTI semi-sup (Table): 3D Mod 48.65)</t>
        </is>
      </c>
      <c r="L13" t="inlineStr">
        <is>
          <t>https://openaccess.thecvf.com/content/CVPR2025/html/Zhao_SP3D_Boosting_Sparsely-Supervised_3D_Object_Detection_via_Accurate_Cross-Modal_Semantic_CVPR_2025_paper.html</t>
        </is>
      </c>
    </row>
    <row r="14">
      <c r="A14" t="inlineStr">
        <is>
          <t>3D / BEV OD</t>
        </is>
      </c>
      <c r="B14" t="inlineStr">
        <is>
          <t>RaGS</t>
        </is>
      </c>
      <c r="F14" t="inlineStr">
        <is>
          <t>✅ Standard verified</t>
        </is>
      </c>
      <c r="G14" t="n">
        <v>41.95</v>
      </c>
      <c r="H14" t="inlineStr">
        <is>
          <t>mAP3D=41.95 | mAPBEV=51.04</t>
        </is>
      </c>
      <c r="K14" t="inlineStr">
        <is>
          <t>✅ Standard verified (radar-camera (Table, header mAP3D/mAPBEV): mAP3D 41.95)</t>
        </is>
      </c>
      <c r="L14" t="inlineStr">
        <is>
          <t>https://openaccess.thecvf.com/content/CVPR2026/html/Bai_RaGS_Unleashing_3D_Gaussian_Splatting_from_4D_Radar_and_Monocular_CVPR_2026_paper.html</t>
        </is>
      </c>
    </row>
    <row r="15">
      <c r="A15" t="inlineStr">
        <is>
          <t>3D-BEV OD</t>
        </is>
      </c>
      <c r="B15" t="inlineStr">
        <is>
          <t>Cubify Anything (CuTR)</t>
        </is>
      </c>
      <c r="F15" t="inlineStr">
        <is>
          <t>已發表</t>
        </is>
      </c>
      <c r="G15" t="n">
        <v>40.9</v>
      </c>
      <c r="H15" t="inlineStr">
        <is>
          <t>CA-1M AP25=40.9 | CA-1M AP50=12.7</t>
        </is>
      </c>
      <c r="K15" t="inlineStr">
        <is>
          <t>✅ verified (Cubify Anything CVPR25 Table 2, visual read): CuTR RGB-D on CA-1M (室內 3D) AP25=40.9 / AP50=12.7</t>
        </is>
      </c>
      <c r="L15" t="inlineStr">
        <is>
          <t>https://openaccess.thecvf.com/content/CVPR2025/html/Lazarow_Cubify_Anything_Scaling_Indoor_3D_Object_Detection_CVPR_2025_paper.html</t>
        </is>
      </c>
    </row>
    <row r="16">
      <c r="A16" t="inlineStr">
        <is>
          <t>3D / BEV OD</t>
        </is>
      </c>
      <c r="B16" t="inlineStr">
        <is>
          <t>MonoDGP</t>
        </is>
      </c>
      <c r="F16" t="inlineStr">
        <is>
          <t>✅ Standard verified</t>
        </is>
      </c>
      <c r="G16" t="n">
        <v>25.23</v>
      </c>
      <c r="H16" t="inlineStr">
        <is>
          <t>KITTI_mono_Car_3D_Mod=25.23</t>
        </is>
      </c>
      <c r="K16" t="inlineStr">
        <is>
          <t>✅ Standard verified (KITTI mono (Table): Car 3D Mod 25.23)</t>
        </is>
      </c>
      <c r="L16" t="inlineStr">
        <is>
          <t>https://openaccess.thecvf.com/content/CVPR2025/html/Pu_MonoDGP_Monocular_3D_Object_Detection_with_Decoupled-Query_and_Geometry-Error_Priors_CVPR_2025_paper.html</t>
        </is>
      </c>
    </row>
    <row r="17">
      <c r="A17" t="inlineStr">
        <is>
          <t>3D / BEV OD</t>
        </is>
      </c>
      <c r="B17" t="inlineStr">
        <is>
          <t>MonoSAOD</t>
        </is>
      </c>
      <c r="F17" t="inlineStr">
        <is>
          <t>✅ Standard verified</t>
        </is>
      </c>
      <c r="G17" t="n">
        <v>15.6</v>
      </c>
      <c r="H17" t="inlineStr">
        <is>
          <t>KITTI_mono_3D_Mod=15.60 | Easy=21.28 | Hard=12.79</t>
        </is>
      </c>
      <c r="K17" t="inlineStr">
        <is>
          <t>✅ Standard verified (KITTI mono (Table, header Easy/Mod/Hard): 3D Mod 15.60)</t>
        </is>
      </c>
      <c r="L17" t="inlineStr">
        <is>
          <t>https://openaccess.thecvf.com/content/CVPR2026/html/Jung_MonoSAOD_Monocular_3D_Object_Detection_with_Sparsely_Annotated_Label_CVPR_2026_paper.html</t>
        </is>
      </c>
    </row>
    <row r="18">
      <c r="A18" t="inlineStr">
        <is>
          <t>3D / BEV OD</t>
        </is>
      </c>
      <c r="B18" t="inlineStr">
        <is>
          <t>SPAN (MonoDGP+SPAN)</t>
        </is>
      </c>
      <c r="F18" t="inlineStr">
        <is>
          <t>⏳ Pending verification</t>
        </is>
      </c>
      <c r="H18" t="inlineStr">
        <is>
          <t>KITTI mono Ours: 27.02 19.30 16.49 ...</t>
        </is>
      </c>
      <c r="K18" t="inlineStr">
        <is>
          <t>⏳ Pending — KITTI monocular 3D plug-in (applied to MonoDGP); 3D AP Mod≈19.30 needs visual confirm</t>
        </is>
      </c>
      <c r="L18" t="inlineStr">
        <is>
          <t>https://openaccess.thecvf.com/content/CVPR2026/html/Wang_SPAN_Spatial-Projection_Alignment_for_Monocular_3D_Object_Detection_CVPR_2026_paper.html</t>
        </is>
      </c>
    </row>
    <row r="19">
      <c r="A19" t="inlineStr">
        <is>
          <t>3D / BEV OD</t>
        </is>
      </c>
      <c r="B19" t="inlineStr">
        <is>
          <t>SSMRadNet</t>
        </is>
      </c>
      <c r="F19" t="inlineStr">
        <is>
          <t>⏳ Pending verification</t>
        </is>
      </c>
      <c r="H19" t="inlineStr">
        <is>
          <t>SSMRadNet (Ours) ✓ ✓ – 32 AvgPool ✓ 78.60 86.77 88.02 86.81 97.10 1.67 0.314</t>
        </is>
      </c>
      <c r="K19" t="inlineStr">
        <is>
          <t>⏳ Pending — 3D detection on radar; Ours row: "SSMRadNet (Ours) ✓ ✓ – 32 AvgPool ✓ 78.60 86.77 88.02 86.81 97.10 1.67 0.314"; headline needs visual confirm</t>
        </is>
      </c>
      <c r="L19" t="inlineStr">
        <is>
          <t>https://openaccess.thecvf.com/content/WACV2026/html/Sen_SSMRadNet__A_Sample-wise_State-Space_Framework_for_Efficient_and_Ultra-Light_WACV_2026_paper.html</t>
        </is>
      </c>
    </row>
    <row r="20">
      <c r="A20" t="inlineStr">
        <is>
          <t>3D / BEV OD</t>
        </is>
      </c>
      <c r="B20" t="inlineStr">
        <is>
          <t>Spe-BEVHead</t>
        </is>
      </c>
      <c r="F20" t="inlineStr">
        <is>
          <t>⏳ Pending verification</t>
        </is>
      </c>
      <c r="K20" t="inlineStr">
        <is>
          <t>⏳ Pending — 3D detection on nuScenes; Ours row: ""; headline needs visual confirm</t>
        </is>
      </c>
      <c r="L20" t="inlineStr">
        <is>
          <t>https://openaccess.thecvf.com/content/CVPR2026/html/Zhang_Spe-BEVHead_Rethinking_the_Detection_Head_Design_for_Birds-Eye-View_Object_Detection_CVPR_2026_paper.html</t>
        </is>
      </c>
    </row>
    <row r="21">
      <c r="A21" t="inlineStr">
        <is>
          <t>3D / BEV OD</t>
        </is>
      </c>
      <c r="B21" t="inlineStr">
        <is>
          <t>Mind the Gap</t>
        </is>
      </c>
      <c r="F21" t="inlineStr">
        <is>
          <t>⏳ Pending verification</t>
        </is>
      </c>
      <c r="K21" t="inlineStr">
        <is>
          <t>⏳ Pending — 3D detection on nuScenes; Ours row: ""; headline needs visual confirm</t>
        </is>
      </c>
      <c r="L21" t="inlineStr">
        <is>
          <t>https://openaccess.thecvf.com/content/CVPR2026/html/Kennerley_Mind_the_Gap_Transferring_Labels_to_Align_Object_Detection_Datasets_CVPR_2026_paper.html</t>
        </is>
      </c>
    </row>
    <row r="22">
      <c r="A22" t="inlineStr">
        <is>
          <t>3D / BEV OD</t>
        </is>
      </c>
      <c r="B22" t="inlineStr">
        <is>
          <t>AIC3DOD</t>
        </is>
      </c>
      <c r="F22" t="inlineStr">
        <is>
          <t>⏳ Pending verification</t>
        </is>
      </c>
      <c r="K22" t="inlineStr">
        <is>
          <t>⏳ Pending — 3D detection on ScanNet; Ours row: ""; headline needs visual confirm</t>
        </is>
      </c>
      <c r="L22" t="inlineStr">
        <is>
          <t>https://openaccess.thecvf.com/content/WACV2025/html/Cheng_AIC3DOD_Advancing_Indoor_Class-Incremental_3D_Object_Detection_with_Point_Transformer_WACV_2025_paper.html</t>
        </is>
      </c>
    </row>
    <row r="23">
      <c r="A23" t="inlineStr">
        <is>
          <t>3D / BEV OD</t>
        </is>
      </c>
      <c r="B23" t="inlineStr">
        <is>
          <t>VGGT-Det</t>
        </is>
      </c>
      <c r="F23" t="inlineStr">
        <is>
          <t>⏳ Pending verification</t>
        </is>
      </c>
      <c r="H23" t="inlineStr">
        <is>
          <t>w/ Ours 0.23 3.57 45.3</t>
        </is>
      </c>
      <c r="K23" t="inlineStr">
        <is>
          <t>⏳ Pending — 3D detection on ScanNet; Ours row: "w/ Ours 0.23 3.57 45.3"; headline needs visual confirm</t>
        </is>
      </c>
      <c r="L23" t="inlineStr">
        <is>
          <t>https://openaccess.thecvf.com/content/CVPR2026/html/Cao_VGGT-Det_Mining_VGGT_Internal_Priors_for_Sensor-Geometry-Free_Multi-View_Indoor_3D_CVPR_2026_paper.html</t>
        </is>
      </c>
    </row>
    <row r="24">
      <c r="A24" t="inlineStr">
        <is>
          <t>3D / BEV OD</t>
        </is>
      </c>
      <c r="B24" t="inlineStr">
        <is>
          <t>H^2A^2</t>
        </is>
      </c>
      <c r="F24" t="inlineStr">
        <is>
          <t>⏳ Pending verification</t>
        </is>
      </c>
      <c r="K24" t="inlineStr">
        <is>
          <t>⏳ Pending — 3D detection on ScanNet/SUN-RGBD; Ours row: ""; headline needs visual confirm</t>
        </is>
      </c>
      <c r="L24" t="inlineStr">
        <is>
          <t>https://openaccess.thecvf.com/content/CVPR2026/html/Xie_H2A2_Homogeneity-Aware_and_Heterogeneity-Aware_Feature_Perception_for_Unified_Indoor_3D_CVPR_2026_paper.html</t>
        </is>
      </c>
    </row>
    <row r="25">
      <c r="A25" t="inlineStr">
        <is>
          <t>3D / BEV OD</t>
        </is>
      </c>
      <c r="B25" t="inlineStr">
        <is>
          <t>Zoo3D</t>
        </is>
      </c>
      <c r="F25" t="inlineStr">
        <is>
          <t>⏳ Pending verification</t>
        </is>
      </c>
      <c r="K25" t="inlineStr">
        <is>
          <t>⏳ Pending — 3D detection on ScanNet open-vocab 3D; Ours row: ""; headline needs visual confirm</t>
        </is>
      </c>
      <c r="L25" t="inlineStr">
        <is>
          <t>https://openaccess.thecvf.com/content/CVPR2026/html/Lemeshko_Zoo3D_Zero-Shot_3D_Object_Detection_at_Scene_Level_CVPR_2026_paper.html</t>
        </is>
      </c>
    </row>
    <row r="26">
      <c r="A26" t="inlineStr">
        <is>
          <t>3D / BEV OD</t>
        </is>
      </c>
      <c r="B26" t="inlineStr">
        <is>
          <t>OV-SCAN</t>
        </is>
      </c>
      <c r="F26" t="inlineStr">
        <is>
          <t>⏳ Pending verification</t>
        </is>
      </c>
      <c r="K26" t="inlineStr">
        <is>
          <t>⏳ Pending — 3D detection on nuScenes open-vocab 3D; Ours row: ""; headline needs visual confirm</t>
        </is>
      </c>
      <c r="L26" t="inlineStr">
        <is>
          <t>https://openaccess.thecvf.com/content/ICCV2025/html/Chow_OV-SCAN_Semantically_Consistent_Alignment_for_Novel_Object_Discovery_in_Open-Vocabulary_ICCV_2025_paper.html</t>
        </is>
      </c>
    </row>
    <row r="27">
      <c r="A27" t="inlineStr">
        <is>
          <t>3D / BEV OD</t>
        </is>
      </c>
      <c r="B27" t="inlineStr">
        <is>
          <t>Motal</t>
        </is>
      </c>
      <c r="F27" t="inlineStr">
        <is>
          <t>⏳ Pending verification</t>
        </is>
      </c>
      <c r="K27" t="inlineStr">
        <is>
          <t>⏳ Pending — 3D detection on KITTI unsup; Ours row: ""; headline needs visual confirm</t>
        </is>
      </c>
      <c r="L27" t="inlineStr">
        <is>
          <t>https://openaccess.thecvf.com/content/ICCV2025/html/Wu_Motal_Unsupervised_3D_Object_Detection_by_Modality_and_Task-specific_Knowledge_ICCV_2025_paper.html</t>
        </is>
      </c>
    </row>
    <row r="28">
      <c r="A28" t="inlineStr">
        <is>
          <t>3D / BEV OD</t>
        </is>
      </c>
      <c r="B28" t="inlineStr">
        <is>
          <t>DA-Mamba</t>
        </is>
      </c>
      <c r="F28" t="inlineStr">
        <is>
          <t>⏳ Pending verification</t>
        </is>
      </c>
      <c r="H28" t="inlineStr">
        <is>
          <t>DA-Mamba (Ours) - 59.3 61.5 71.0 43.5 66.2 55.1 50.1 57.8 58.1</t>
        </is>
      </c>
      <c r="K28" t="inlineStr">
        <is>
          <t>⏳ Pending — 3D detection on KITTI domain-adapt; Ours row: "DA-Mamba (Ours) - 59.3 61.5 71.0 43.5 66.2 55.1 50.1 57.8 58.1"; headline needs visual confirm</t>
        </is>
      </c>
      <c r="L28" t="inlineStr">
        <is>
          <t>https://openaccess.thecvf.com/content/CVPR2026/html/Li_DA-Mamba_Learning_Domain-Aware_State_Space_Model_for_Global-Local_Alignment_in_CVPR_2026_paper.html</t>
        </is>
      </c>
    </row>
    <row r="29">
      <c r="A29" t="inlineStr">
        <is>
          <t>3D / BEV OD</t>
        </is>
      </c>
      <c r="B29" t="inlineStr">
        <is>
          <t>RICCARDO</t>
        </is>
      </c>
      <c r="F29" t="inlineStr">
        <is>
          <t>⏳ Pending verification</t>
        </is>
      </c>
      <c r="K29" t="inlineStr">
        <is>
          <t>⏳ Pending — 3D detection on KITTI mono; Ours row: ""; headline needs visual confirm</t>
        </is>
      </c>
      <c r="L29" t="inlineStr">
        <is>
          <t>https://openaccess.thecvf.com/content/CVPR2025/html/Long_RICCARDO_Radar_Hit_Prediction_and_Convolution_for_Camera-Radar_3D_Object_CVPR_2025_paper.html</t>
        </is>
      </c>
    </row>
    <row r="30">
      <c r="A30" t="inlineStr">
        <is>
          <t>3D / BEV OD</t>
        </is>
      </c>
      <c r="B30" t="inlineStr">
        <is>
          <t>MonoTAKD</t>
        </is>
      </c>
      <c r="F30" t="inlineStr">
        <is>
          <t>⏳ Pending verification</t>
        </is>
      </c>
      <c r="K30" t="inlineStr">
        <is>
          <t>⏳ Pending — 3D detection on KITTI mono; Ours row: ""; headline needs visual confirm</t>
        </is>
      </c>
      <c r="L30" t="inlineStr">
        <is>
          <t>https://openaccess.thecvf.com/content/CVPR2025/html/Liu_MonoTAKD_Teaching_Assistant_Knowledge_Distillation_for_Monocular_3D_Object_Detection_CVPR_2025_paper.html</t>
        </is>
      </c>
    </row>
    <row r="31">
      <c r="A31" t="inlineStr">
        <is>
          <t>3D / BEV OD</t>
        </is>
      </c>
      <c r="B31" t="inlineStr">
        <is>
          <t>RARE</t>
        </is>
      </c>
      <c r="F31" t="inlineStr">
        <is>
          <t>⏳ Pending verification</t>
        </is>
      </c>
      <c r="H31" t="inlineStr">
        <is>
          <t>Ours 0.8250.754 26.54 21.15 18.20</t>
        </is>
      </c>
      <c r="K31" t="inlineStr">
        <is>
          <t>⏳ Pending — 3D detection on nuScenes/KITTI; Ours row: "Ours 0.8250.754 26.54 21.15 18.20"; headline needs visual confirm</t>
        </is>
      </c>
      <c r="L31" t="inlineStr">
        <is>
          <t>https://openaccess.thecvf.com/content/CVPR2026/html/Park_RARE_Learn_to_RAnk_and_REtrieve_for_Monocular_3D_Object_CVPR_2026_paper.html</t>
        </is>
      </c>
    </row>
    <row r="32">
      <c r="A32" t="inlineStr">
        <is>
          <t>3D / BEV OD</t>
        </is>
      </c>
      <c r="B32" t="inlineStr">
        <is>
          <t>CD-Buffer</t>
        </is>
      </c>
      <c r="F32" t="inlineStr">
        <is>
          <t>⏳ Pending verification</t>
        </is>
      </c>
      <c r="H32" t="inlineStr">
        <is>
          <t>Ours 44.80 56.06 68.42 63.2271.40 73.03 18.39 21.79</t>
        </is>
      </c>
      <c r="K32" t="inlineStr">
        <is>
          <t>⏳ Pending — 3D detection on nuScenes/KITTI; Ours row: "Ours 44.80 56.06 68.42 63.2271.40 73.03 18.39 21.79"; headline needs visual confirm</t>
        </is>
      </c>
      <c r="L32" t="inlineStr">
        <is>
          <t>https://openaccess.thecvf.com/content/CVPR2026/html/Song_CD-Buffer_Complementary_Dual-Buffer_Framework_for_Test-Time_Adaptation_in_Adverse_Weather_CVPR_2026_paper.html</t>
        </is>
      </c>
    </row>
    <row r="33">
      <c r="A33" t="inlineStr">
        <is>
          <t>3D / BEV OD</t>
        </is>
      </c>
      <c r="B33" t="inlineStr">
        <is>
          <t>SToRe3D</t>
        </is>
      </c>
      <c r="F33" t="inlineStr">
        <is>
          <t>⏳ Pending verification</t>
        </is>
      </c>
      <c r="K33" t="inlineStr">
        <is>
          <t>⏳ Pending — 3D detection on nuScenes; Ours row: ""; headline needs visual confirm</t>
        </is>
      </c>
      <c r="L33" t="inlineStr">
        <is>
          <t>https://openaccess.thecvf.com/content/CVPR2026/html/Papais_SToRe3D_Sparse_Token_Relevance_in_ViTs_for_Efficient_Multi-View_3D_CVPR_2026_paper.html</t>
        </is>
      </c>
    </row>
    <row r="34">
      <c r="A34" t="inlineStr">
        <is>
          <t>3D / BEV OD</t>
        </is>
      </c>
      <c r="B34" t="inlineStr">
        <is>
          <t>SemLT3D</t>
        </is>
      </c>
      <c r="F34" t="inlineStr">
        <is>
          <t>⏳ Pending verification</t>
        </is>
      </c>
      <c r="H34" t="inlineStr">
        <is>
          <t>Ours 29.59 40.94 0.6938 0.3335 0.6153 0.2524 0.4909 29.40</t>
        </is>
      </c>
      <c r="K34" t="inlineStr">
        <is>
          <t>⏳ Pending — 3D detection on nuScenes long-tail; Ours row: "Ours 29.59 40.94 0.6938 0.3335 0.6153 0.2524 0.4909 29.40"; headline needs visual confirm</t>
        </is>
      </c>
      <c r="L34" t="inlineStr">
        <is>
          <t>https://openaccess.thecvf.com/content/CVPR2026/html/Vo_SemLT3D_Semantic-Guided_Expert_Distillation_for_Camera-only_Long-Tailed_3D_Object_Detection_CVPR_2026_paper.html</t>
        </is>
      </c>
    </row>
    <row r="35">
      <c r="A35" t="inlineStr">
        <is>
          <t>3D / BEV OD</t>
        </is>
      </c>
      <c r="B35" t="inlineStr">
        <is>
          <t>SFMNet</t>
        </is>
      </c>
      <c r="F35" t="inlineStr">
        <is>
          <t>⏳ Pending verification</t>
        </is>
      </c>
      <c r="H35" t="inlineStr">
        <is>
          <t>SFMNet (ours) 81.8/79.8 75.7/73.8 80.5/80.0 72.6/72.2 85.0/80.6 77.4/73.2 79.9/7</t>
        </is>
      </c>
      <c r="K35" t="inlineStr">
        <is>
          <t>⏳ Pending — 3D detection on Waymo; Ours row: "SFMNet (ours) 81.8/79.8 75.7/73.8 80.5/80.0 72.6/72.2 85.0/80.6 77.4/73.2 79.9/7"; headline needs visual confirm</t>
        </is>
      </c>
      <c r="L35" t="inlineStr">
        <is>
          <t>https://openaccess.thecvf.com/content/WACV2026/html/Shrout_SFMNet_Sparse_Focal_Modulation_for_3D_Object_Detection_WACV_2026_paper.html</t>
        </is>
      </c>
    </row>
    <row r="36">
      <c r="A36" t="inlineStr">
        <is>
          <t>3D / BEV OD</t>
        </is>
      </c>
      <c r="B36" t="inlineStr">
        <is>
          <t>OpenM3D</t>
        </is>
      </c>
      <c r="F36" t="inlineStr">
        <is>
          <t>⏳ Pending verification</t>
        </is>
      </c>
      <c r="H36" t="inlineStr">
        <is>
          <t>Ours w/o MSR27.09 11.98 52.43 23.18 6.06 1.34 51.40 11.41</t>
        </is>
      </c>
      <c r="K36" t="inlineStr">
        <is>
          <t>⏳ Pending — 3D detection on ScanNet open-vocab 3D; Ours row: "Ours w/o MSR27.09 11.98 52.43 23.18 6.06 1.34 51.40 11.41"; headline needs visual confirm</t>
        </is>
      </c>
      <c r="L36" t="inlineStr">
        <is>
          <t>https://openaccess.thecvf.com/content/ICCV2025/html/Hsu_OpenM3D_Open_Vocabulary_Multi-view_Indoor_3D_Object_Detection_without_Human_ICCV_2025_paper.html</t>
        </is>
      </c>
    </row>
    <row r="37">
      <c r="A37" t="inlineStr">
        <is>
          <t>3D / BEV OD</t>
        </is>
      </c>
      <c r="B37" t="inlineStr">
        <is>
          <t>3D-MOOD</t>
        </is>
      </c>
      <c r="F37" t="inlineStr">
        <is>
          <t>⏳ Pending verification</t>
        </is>
      </c>
      <c r="H37" t="inlineStr">
        <is>
          <t>Ours(Swin-T) 14.8 0.782 0.697 0.612 22.5 31.7 14.2 27.3 0.630 0.726 0.650 30.2 3</t>
        </is>
      </c>
      <c r="K37" t="inlineStr">
        <is>
          <t>⏳ Pending — 3D detection on open-vocab 3D (Omni3D); Ours row: "Ours(Swin-T) 14.8 0.782 0.697 0.612 22.5 31.7 14.2 27.3 0.630 0.726 0.650 30.2 3"; headline needs visual confirm</t>
        </is>
      </c>
      <c r="L37" t="inlineStr">
        <is>
          <t>https://openaccess.thecvf.com/content/ICCV2025/html/Yang_3D-MOOD_Lifting_2D_to_3D_for_Monocular_Open-Set_Object_Detection_ICCV_2025_paper.html</t>
        </is>
      </c>
    </row>
    <row r="38">
      <c r="A38" t="inlineStr">
        <is>
          <t>3D / BEV OD</t>
        </is>
      </c>
      <c r="B38" t="inlineStr">
        <is>
          <t>DiffRefine</t>
        </is>
      </c>
      <c r="F38" t="inlineStr">
        <is>
          <t>⏳ Pending verification</t>
        </is>
      </c>
      <c r="H38" t="inlineStr">
        <is>
          <t>DiffRefine (Ours) 87.81/75.25 128.79/103.80 81.73/55.84 91.53/73.77</t>
        </is>
      </c>
      <c r="K38" t="inlineStr">
        <is>
          <t>⏳ Pending — 3D detection on KITTI; Ours row: "DiffRefine (Ours) 87.81/75.25 128.79/103.80 81.73/55.84 91.53/73.77"; headline needs visual confirm</t>
        </is>
      </c>
      <c r="L38" t="inlineStr">
        <is>
          <t>https://openaccess.thecvf.com/content/ICCV2025/html/Shin_DiffRefine_Diffusion-based_Proposal_Specific_Point_Cloud_Densification_for_Cross-Domain_Object_ICCV_2025_paper.html</t>
        </is>
      </c>
    </row>
    <row r="39">
      <c r="A39" t="inlineStr">
        <is>
          <t>3D / BEV OD</t>
        </is>
      </c>
      <c r="B39" t="inlineStr">
        <is>
          <t>CVFusion</t>
        </is>
      </c>
      <c r="F39" t="inlineStr">
        <is>
          <t>⏳ Pending verification</t>
        </is>
      </c>
      <c r="H39" t="inlineStr">
        <is>
          <t>CVFusion‡ (Ours) R+C 60.87 57.89 77.46 65.41 89.86 68.79 88.62 82.42 5.4</t>
        </is>
      </c>
      <c r="K39" t="inlineStr">
        <is>
          <t>⏳ Pending — 3D detection on radar(VoD); Ours row: "CVFusion‡ (Ours) R+C 60.87 57.89 77.46 65.41 89.86 68.79 88.62 82.42 5.4"; headline needs visual confirm</t>
        </is>
      </c>
      <c r="L39" t="inlineStr">
        <is>
          <t>https://openaccess.thecvf.com/content/ICCV2025/html/Zhong_CVFusion_Cross-View_Fusion_of_4D_Radar_and_Camera_for_3D_ICCV_2025_paper.html</t>
        </is>
      </c>
    </row>
    <row r="40">
      <c r="A40" t="inlineStr">
        <is>
          <t>3D / BEV OD</t>
        </is>
      </c>
      <c r="B40" t="inlineStr">
        <is>
          <t>FSHNet</t>
        </is>
      </c>
      <c r="F40" t="inlineStr">
        <is>
          <t>⏳ Pending verification</t>
        </is>
      </c>
      <c r="H40" t="inlineStr">
        <is>
          <t xml:space="preserve">FSHNetlight (Ours)† 76.3/74.2 81.0/80.5 85.6/80.7 80.2/79.1 73.0/72.5 78.6/73.7 </t>
        </is>
      </c>
      <c r="K40" t="inlineStr">
        <is>
          <t>⏳ Pending — 3D detection on Waymo/nuScenes; Ours row: "FSHNetlight (Ours)† 76.3/74.2 81.0/80.5 85.6/80.7 80.2/79.1 73.0/72.5 78.6/73.7 "; headline needs visual confirm</t>
        </is>
      </c>
      <c r="L40" t="inlineStr">
        <is>
          <t>https://openaccess.thecvf.com/content/CVPR2025/html/Liu_FSHNet_Fully_Sparse_Hybrid_Network_for_3D_Object_Detection_CVPR_2025_paper.html</t>
        </is>
      </c>
    </row>
    <row r="41">
      <c r="A41" t="inlineStr">
        <is>
          <t>3D / BEV OD</t>
        </is>
      </c>
      <c r="B41" t="inlineStr">
        <is>
          <t>GeoFormer</t>
        </is>
      </c>
      <c r="F41" t="inlineStr">
        <is>
          <t>⏳ Pending verification</t>
        </is>
      </c>
      <c r="H41" t="inlineStr">
        <is>
          <t>GeoFormer (Ours) - 68.2 72.4 88.2 64.5 78.1 45.7 27.4 89.7 74.8 59.6 80.3 73.8</t>
        </is>
      </c>
      <c r="K41" t="inlineStr">
        <is>
          <t>⏳ Pending — 3D detection on Waymo; Ours row: "GeoFormer (Ours) - 68.2 72.4 88.2 64.5 78.1 45.7 27.4 89.7 74.8 59.6 80.3 73.8"; headline needs visual confirm</t>
        </is>
      </c>
      <c r="L41" t="inlineStr">
        <is>
          <t>https://openaccess.thecvf.com/content/ICCV2025/html/Jin_GeoFormer_Geometry_Point_Encoder_for_3D_Object_Detection_with_Graph-based_ICCV_2025_paper.html</t>
        </is>
      </c>
    </row>
    <row r="42">
      <c r="A42" t="inlineStr">
        <is>
          <t>3D / BEV OD</t>
        </is>
      </c>
      <c r="B42" t="inlineStr">
        <is>
          <t>DSTR</t>
        </is>
      </c>
      <c r="F42" t="inlineStr">
        <is>
          <t>⏳ Pending verification</t>
        </is>
      </c>
      <c r="H42" t="inlineStr">
        <is>
          <t>DSTR (Ours) LC 0.723 0.744 0.292 0.226 0.213 0.261 0.182</t>
        </is>
      </c>
      <c r="K42" t="inlineStr">
        <is>
          <t>⏳ Pending — 3D detection on nuScenes/KITTI; Ours row: "DSTR (Ours) LC 0.723 0.744 0.292 0.226 0.213 0.261 0.182"; headline needs visual confirm</t>
        </is>
      </c>
      <c r="L42" t="inlineStr">
        <is>
          <t>https://openaccess.thecvf.com/content/WACV2025/html/Cai_DSTR_Dual_Scenes_Transformer_for_Cross-Modal_Fusion_in_3D_Object_WACV_2025_paper.html</t>
        </is>
      </c>
    </row>
    <row r="43">
      <c r="A43" t="inlineStr">
        <is>
          <t>3D-BEV OD</t>
        </is>
      </c>
      <c r="B43" t="inlineStr">
        <is>
          <t>Enhancing Embodied Object Detection</t>
        </is>
      </c>
      <c r="F43" t="inlineStr">
        <is>
          <t>⏳ Pending visual table read</t>
        </is>
      </c>
      <c r="H43" t="inlineStr">
        <is>
          <t>ScanNet embodied 3D mAP</t>
        </is>
      </c>
      <c r="K43" t="inlineStr">
        <is>
          <t>⚠️ Enhancing Embodied OD (WACV25): ScanNet 具身 3D 偵測；數值 needs visual read</t>
        </is>
      </c>
      <c r="L43" t="inlineStr">
        <is>
          <t>https://openaccess.thecvf.com/content/WACV2025/html/Chapman_Enhancing_Embodied_Object_Detection_with_Spatial_Feature_Memory_WACV_2025_paper.html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Tiny-Object OD</t>
        </is>
      </c>
      <c r="B2" t="inlineStr">
        <is>
          <t>ECF-YOLOv7-Tiny</t>
        </is>
      </c>
      <c r="F2" t="inlineStr">
        <is>
          <t>⏳ Pending visual table read</t>
        </is>
      </c>
      <c r="G2" t="n">
        <v>38.2</v>
      </c>
      <c r="H2" t="inlineStr">
        <is>
          <t>AP=38.2 | AP50=56.3 | AP75=40.7</t>
        </is>
      </c>
      <c r="K2" t="inlineStr">
        <is>
          <t>⚠️ ECF-YOLOv7-Tiny (WACV25): 輕量微小物件偵測，Ours 行 AP=38.2/AP50=56.3；確切資料集需 visual read 確認</t>
        </is>
      </c>
      <c r="L2" t="inlineStr">
        <is>
          <t>https://openaccess.thecvf.com/content/WACV2025/html/Bacea_ECF-YOLOv7-Tiny_Improving_Feature_Fusion_and_the_Receptive_Field_for_Lightweight_WACV_2025_paper.html</t>
        </is>
      </c>
    </row>
    <row r="3">
      <c r="A3" t="inlineStr">
        <is>
          <t>Tiny-Object OD</t>
        </is>
      </c>
      <c r="B3" t="inlineStr">
        <is>
          <t>DM-EFS</t>
        </is>
      </c>
      <c r="F3" t="inlineStr">
        <is>
          <t>✅ Standard verified</t>
        </is>
      </c>
      <c r="G3" t="n">
        <v>34.91</v>
      </c>
      <c r="H3" t="inlineStr">
        <is>
          <t>AP=34.91 | AP50=64.47 | AP75=32.49 | APS=17.30 | APM=31.22 | APL=41.34</t>
        </is>
      </c>
      <c r="K3" t="inlineStr">
        <is>
          <t>✅ Standard verified (Table, text COCO-style header): small-object detection (SODA/VisDrone), AP=34.91 / AP50=64.47</t>
        </is>
      </c>
      <c r="L3" t="inlineStr">
        <is>
          <t>https://openaccess.thecvf.com/content/ICCV2025/html/Sharma_DM-EFS_Dynamically_Multiplexed_Expanded_Features_Set_Form_for_Robust_and_ICCV_2025_paper.html</t>
        </is>
      </c>
    </row>
    <row r="4">
      <c r="A4" t="inlineStr">
        <is>
          <t>Tiny-Object OD</t>
        </is>
      </c>
      <c r="B4" t="inlineStr">
        <is>
          <t>SET (RFLA+SET)</t>
        </is>
      </c>
      <c r="F4" t="inlineStr">
        <is>
          <t>已發表</t>
        </is>
      </c>
      <c r="G4" t="n">
        <v>24.9</v>
      </c>
      <c r="H4" t="inlineStr">
        <is>
          <t>AI-TOD AP=24.9 | AP50=55.6</t>
        </is>
      </c>
      <c r="K4" t="inlineStr">
        <is>
          <t>✅ verified (SET CVPR25 Table, visual read): AI-TOD 微小物件 best RFLA+SET AP=24.9 / AP50=55.6</t>
        </is>
      </c>
      <c r="L4" t="inlineStr">
        <is>
          <t>https://openaccess.thecvf.com/content/CVPR2025/html/Sun_SET_Spectral_Enhancement_for_Tiny_Object_Detection_CVPR_2025_paper.html</t>
        </is>
      </c>
    </row>
    <row r="5">
      <c r="A5" t="inlineStr">
        <is>
          <t>Tiny-Object OD</t>
        </is>
      </c>
      <c r="B5" t="inlineStr">
        <is>
          <t>Interactive OD for Tiny Objects</t>
        </is>
      </c>
      <c r="F5" t="inlineStr">
        <is>
          <t>⏳ Pending visual table read</t>
        </is>
      </c>
      <c r="H5" t="inlineStr">
        <is>
          <t>DOTA small-object AP</t>
        </is>
      </c>
      <c r="K5" t="inlineStr">
        <is>
          <t>⚠️ Interactive OD for Tiny Objects (WACV25): DOTA 遙測小物件互動偵測；數值 needs visual read</t>
        </is>
      </c>
      <c r="L5" t="inlineStr">
        <is>
          <t>https://openaccess.thecvf.com/content/WACV2025/html/Burges_Interactive_Object_Detection_for_Tiny_Objects_in_Large_Remotely_Sensed_WACV_2025_paper.html</t>
        </is>
      </c>
    </row>
    <row r="6">
      <c r="A6" t="inlineStr">
        <is>
          <t>Tiny-Object OD</t>
        </is>
      </c>
      <c r="B6" t="inlineStr">
        <is>
          <t>UHR-DETR</t>
        </is>
      </c>
      <c r="F6" t="inlineStr">
        <is>
          <t>⏳ Pending visual table read</t>
        </is>
      </c>
      <c r="H6" t="inlineStr">
        <is>
          <t>remote-sensing UHR small-object AP</t>
        </is>
      </c>
      <c r="K6" t="inlineStr">
        <is>
          <t>⚠️ UHR-DETR (arxiv 2604.21435): 超高解析遙測小物件偵測；數值 needs visual read</t>
        </is>
      </c>
      <c r="L6" t="inlineStr">
        <is>
          <t>https://arxiv.org/abs/2604.21435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Domain/Robust OD</t>
        </is>
      </c>
      <c r="B2" t="inlineStr">
        <is>
          <t>MiPa (Mixed Patch VisInfrared)</t>
        </is>
      </c>
      <c r="F2" t="inlineStr">
        <is>
          <t>已發表</t>
        </is>
      </c>
      <c r="G2" t="n">
        <v>81.3</v>
      </c>
      <c r="H2" t="inlineStr">
        <is>
          <t>FLIR_AP=81.3 | LLVIP_AP50=98.8</t>
        </is>
      </c>
      <c r="K2" t="inlineStr">
        <is>
          <t>✅ verified (WACV25, text): visible-infrared modality-agnostic OD — FLIR AP 81.3, LLVIP AP50 98.8 (metric per paper; NOT comparable to mono-modality rows)</t>
        </is>
      </c>
      <c r="L2" t="inlineStr">
        <is>
          <t>https://openaccess.thecvf.com/content/WACV2025/html/Medeiros_Mixed_Patch_Visible-Infrared_Modality_Agnostic_Object_Detection_WACV_2025_paper.html</t>
        </is>
      </c>
    </row>
    <row r="3">
      <c r="A3" t="inlineStr">
        <is>
          <t>Domain/Robust OD</t>
        </is>
      </c>
      <c r="B3" t="inlineStr">
        <is>
          <t>ERUP-YOLO</t>
        </is>
      </c>
      <c r="F3" t="inlineStr">
        <is>
          <t>已發表</t>
        </is>
      </c>
      <c r="G3" t="n">
        <v>77.89</v>
      </c>
      <c r="H3" t="inlineStr">
        <is>
          <t>Foggy_Vnts_mAP50=77.89 | Foggy_Vfts=74.09 | RTTS=49.81 | LowLight_Vnts=68.62 | ExDark=48.43</t>
        </is>
      </c>
      <c r="K3" t="inlineStr">
        <is>
          <t>✅ verified (WACV25 Table1/2, visual read): adverse-weather robust OD on PASCAL-VOC fog/low-light synth + real RTTS/ExDark, mAP50</t>
        </is>
      </c>
      <c r="L3" t="inlineStr">
        <is>
          <t>https://openaccess.thecvf.com/content/WACV2025/html/Ogino_ERUP-YOLO_Enhancing_Object_Detection_Robustness_for_Adverse_Weather_Condition_by_WACV_2025_paper.html</t>
        </is>
      </c>
    </row>
    <row r="4">
      <c r="A4" t="inlineStr">
        <is>
          <t>Domain/Robust OD</t>
        </is>
      </c>
      <c r="B4" t="inlineStr">
        <is>
          <t>SEEN-DA</t>
        </is>
      </c>
      <c r="F4" t="inlineStr">
        <is>
          <t>已發表</t>
        </is>
      </c>
      <c r="G4" t="n">
        <v>57.5</v>
      </c>
      <c r="H4" t="inlineStr">
        <is>
          <t>Cityscapes2Foggy_mAP=57.5 | KITTI2Cityscapes=67.1</t>
        </is>
      </c>
      <c r="K4" t="inlineStr">
        <is>
          <t>✅ verified (CVPR25, text): domain-adaptive OD — Cityscapes→Foggy Cityscapes mAP 57.5 (KITTI→Cityscapes 67.1)</t>
        </is>
      </c>
      <c r="L4" t="inlineStr">
        <is>
          <t>https://openaccess.thecvf.com/content/CVPR2025/html/Li_SEEN-DA_SEmantic_ENtropy_guided_Domain-aware_Attention_for_Domain_Adaptive_Object_CVPR_2025_paper.html</t>
        </is>
      </c>
    </row>
    <row r="5">
      <c r="A5" t="inlineStr">
        <is>
          <t>Domain/Robust OD</t>
        </is>
      </c>
      <c r="B5" t="inlineStr">
        <is>
          <t>VFM4SDG</t>
        </is>
      </c>
      <c r="F5" t="inlineStr">
        <is>
          <t>已發表</t>
        </is>
      </c>
      <c r="G5" t="n">
        <v>50.8</v>
      </c>
      <c r="H5" t="inlineStr">
        <is>
          <t>SingleDGOD_avg_mAP=50.8</t>
        </is>
      </c>
      <c r="K5" t="inlineStr">
        <is>
          <t>✅ verified (arxiv 2604.21502, text): single-domain generalized OD, Daytime-Sunny→diverse weather, best avg mAP 50.8</t>
        </is>
      </c>
      <c r="L5" t="inlineStr">
        <is>
          <t>https://arxiv.org/abs/2604.21502</t>
        </is>
      </c>
    </row>
    <row r="6">
      <c r="A6" t="inlineStr">
        <is>
          <t>Domain/Robust OD</t>
        </is>
      </c>
      <c r="B6" t="inlineStr">
        <is>
          <t>PFGF (Pseudo Visible Fusion, Thermal)</t>
        </is>
      </c>
      <c r="F6" t="inlineStr">
        <is>
          <t>已發表</t>
        </is>
      </c>
      <c r="G6" t="n">
        <v>47.1</v>
      </c>
      <c r="H6" t="inlineStr">
        <is>
          <t>FLIR_mAP=47.1 | mAP50=84.8 | mAP75=44.6</t>
        </is>
      </c>
      <c r="K6" t="inlineStr">
        <is>
          <t>✅ verified (CVPR25 Table1, visual read): mono-modality thermal OD on FLIR, mAP 47.1 / mAP50 84.8</t>
        </is>
      </c>
      <c r="L6" t="inlineStr">
        <is>
          <t>https://openaccess.thecvf.com/content/CVPR2025/html/Li_Pseudo_Visible_Feature_Fine-Grained_Fusion_for_Thermal_Object_Detection_CVPR_2025_paper.html</t>
        </is>
      </c>
    </row>
    <row r="7">
      <c r="A7" t="inlineStr">
        <is>
          <t>Domain/Robust OD</t>
        </is>
      </c>
      <c r="B7" t="inlineStr">
        <is>
          <t>Style Evolving CoT</t>
        </is>
      </c>
      <c r="F7" t="inlineStr">
        <is>
          <t>已發表</t>
        </is>
      </c>
      <c r="G7" t="n">
        <v>45.2</v>
      </c>
      <c r="H7" t="inlineStr">
        <is>
          <t>SingleDGOD_target_avg_mAP=45.2 | DayClear=64.4 | NightSunny=52.7 | DuskRainy=49.5 | NightRainy=33.7 | DayFoggy=44.9</t>
        </is>
      </c>
      <c r="K7" t="inlineStr">
        <is>
          <t>✅ verified (CVPR25 Table1, visual read, Ours-Swin): single-DGOD Diverse-Weather, target-domain avg mAP≈45.2</t>
        </is>
      </c>
      <c r="L7" t="inlineStr">
        <is>
          <t>https://openaccess.thecvf.com/content/CVPR2025/html/Zhang_Style_Evolving_along_Chain-of-Thought_for_Unknown-Domain_Object_Detection_CVPR_2025_paper.html</t>
        </is>
      </c>
    </row>
    <row r="8">
      <c r="A8" t="inlineStr">
        <is>
          <t>Domain/Robust OD</t>
        </is>
      </c>
      <c r="B8" t="inlineStr">
        <is>
          <t>Towards RAW OD</t>
        </is>
      </c>
      <c r="F8" t="inlineStr">
        <is>
          <t>已發表</t>
        </is>
      </c>
      <c r="G8" t="n">
        <v>34.8</v>
      </c>
      <c r="H8" t="inlineStr">
        <is>
          <t>RAW_AP=34.8 | AP50=53.3 | AP75=36.7</t>
        </is>
      </c>
      <c r="K8" t="inlineStr">
        <is>
          <t>✅ verified (CVPR25 Table, text): RAW-image OD in diverse conditions, AP 34.8 w/ RAW pre-training</t>
        </is>
      </c>
      <c r="L8" t="inlineStr">
        <is>
          <t>https://openaccess.thecvf.com/content/CVPR2025/html/Li_Towards_RAW_Object_Detection_in_Diverse_Conditions_CVPR_2025_paper.html</t>
        </is>
      </c>
    </row>
    <row r="9">
      <c r="A9" t="inlineStr">
        <is>
          <t>Domain/Robust OD</t>
        </is>
      </c>
      <c r="B9" t="inlineStr">
        <is>
          <t>Dark-ISP</t>
        </is>
      </c>
      <c r="F9" t="inlineStr">
        <is>
          <t>✅ Standard verified</t>
        </is>
      </c>
      <c r="G9" t="n">
        <v>31.5</v>
      </c>
      <c r="H9" t="inlineStr">
        <is>
          <t>AP=31.5 | AP50=53.4 | AP75=32.2</t>
        </is>
      </c>
      <c r="K9" t="inlineStr">
        <is>
          <t>✅ Standard verified (Table, text triple AP/AP50/AP75): low-light RAW OD — AP=31.5 / AP50=53.4</t>
        </is>
      </c>
      <c r="L9" t="inlineStr">
        <is>
          <t>Dark-ISP</t>
        </is>
      </c>
    </row>
    <row r="10">
      <c r="A10" t="inlineStr">
        <is>
          <t>Domain/Robust OD</t>
        </is>
      </c>
      <c r="B10" t="inlineStr">
        <is>
          <t>Shift the Lens (EASE, Camouflaged)</t>
        </is>
      </c>
      <c r="F10" t="inlineStr">
        <is>
          <t>已發表</t>
        </is>
      </c>
      <c r="G10" t="n">
        <v>0.773</v>
      </c>
      <c r="H10" t="inlineStr">
        <is>
          <t>COD10K_Smeasure=0.773 | Emeasure=0.866 | wFmeasure=0.656 | MAE=0.040 | CAMO_Sm=0.749 | NC4K_Sm=0.800</t>
        </is>
      </c>
      <c r="K10" t="inlineStr">
        <is>
          <t>✅ verified (CVPR25 Table1, visual read): unsupervised CAMOUFLAGED OD — COD10K S-measure 0.773 (segmentation metric, NOT bbox mAP)</t>
        </is>
      </c>
      <c r="L10" t="inlineStr">
        <is>
          <t>https://openaccess.thecvf.com/content/CVPR2025/html/Du_Shift_the_Lens_Environment-Aware_Unsupervised_Camouflaged_Object_Detection_CVPR_2025_paper.html</t>
        </is>
      </c>
    </row>
    <row r="11">
      <c r="A11" t="inlineStr">
        <is>
          <t>Domain/Robust OD</t>
        </is>
      </c>
      <c r="B11" t="inlineStr">
        <is>
          <t>ReRAW</t>
        </is>
      </c>
      <c r="F11" t="inlineStr">
        <is>
          <t>⏳ Pending verification</t>
        </is>
      </c>
      <c r="K11" t="inlineStr">
        <is>
          <t>⏳ Pending — RAW-image OD on BDD-ReRAW AP; Ours row: ""; headline needs visual confirm</t>
        </is>
      </c>
      <c r="L11" t="inlineStr">
        <is>
          <t>https://openaccess.thecvf.com/content/CVPR2025/html/Berdan_ReRAW_RGB-to-RAW_Image_Reconstruction_via_Stratified_Sampling_for_Efficient_Object_CVPR_2025_paper.html</t>
        </is>
      </c>
    </row>
    <row r="12">
      <c r="A12" t="inlineStr">
        <is>
          <t>Domain/Robust OD</t>
        </is>
      </c>
      <c r="B12" t="inlineStr">
        <is>
          <t>Beyond RGB</t>
        </is>
      </c>
      <c r="F12" t="inlineStr">
        <is>
          <t>⏳ Pending verification</t>
        </is>
      </c>
      <c r="H12" t="inlineStr">
        <is>
          <t>RAM (Ours) 34.9 57.6 40.1 61.6 28.3 45.1 44.5 69.0 31.0 56.3 32.4 59.1</t>
        </is>
      </c>
      <c r="K12" t="inlineStr">
        <is>
          <t>⏳ Pending — RAW-image OD (RAM) AP; Ours row: "RAM (Ours) 34.9 57.6 40.1 61.6 28.3 45.1 44.5 69.0 31.0 56.3 32.4 59.1"; headline needs visual confirm</t>
        </is>
      </c>
      <c r="L12" t="inlineStr">
        <is>
          <t>https://openaccess.thecvf.com/content/ICCV2025/html/Gamrian_Beyond_RGB_Adaptive_Parallel_Processing_for_RAW_Object_Detection_ICCV_2025_paper.html</t>
        </is>
      </c>
    </row>
    <row r="13">
      <c r="A13" t="inlineStr">
        <is>
          <t>Domain/Robust OD</t>
        </is>
      </c>
      <c r="B13" t="inlineStr">
        <is>
          <t>CropAT</t>
        </is>
      </c>
      <c r="F13" t="inlineStr">
        <is>
          <t>⏳ Pending verification</t>
        </is>
      </c>
      <c r="H13" t="inlineStr">
        <is>
          <t>7 ↭↭ ↭ ↭ 43.2 53.2 (Ours)</t>
        </is>
      </c>
      <c r="K13" t="inlineStr">
        <is>
          <t>⏳ Pending — adversarial/domain-adaptive OD Cityscapes→Foggy mAP; Ours row: "7 ↭↭ ↭ ↭ 43.2 53.2 (Ours)"; headline needs visual confirm</t>
        </is>
      </c>
      <c r="L13" t="inlineStr">
        <is>
          <t>https://openaccess.thecvf.com/content/WACV2026/html/Huang_CropAT_Leveraging_Diffusion-Generated_Target-Like_Cropped_Objects_for_Pseudo-Label_Refinement_in_WACV_2026_paper.html</t>
        </is>
      </c>
    </row>
    <row r="14">
      <c r="A14" t="inlineStr">
        <is>
          <t>Domain/Robust OD</t>
        </is>
      </c>
      <c r="B14" t="inlineStr">
        <is>
          <t>EW-DETR</t>
        </is>
      </c>
      <c r="F14" t="inlineStr">
        <is>
          <t>⏳ Pending verification</t>
        </is>
      </c>
      <c r="K14" t="inlineStr">
        <is>
          <t>⏳ Pending — open-world+domain OD (Cityscapes/Foggy/BDD); Ours row: ""; headline needs visual confirm</t>
        </is>
      </c>
      <c r="L14" t="inlineStr">
        <is>
          <t>https://openaccess.thecvf.com/content/CVPR2026/html/Monga_EW-DETR_Evolving_World_Object_Detection_via_Incremental_Low-Rank_DEtection_TRansformer_CVPR_2026_paper.html</t>
        </is>
      </c>
    </row>
    <row r="15">
      <c r="A15" t="inlineStr">
        <is>
          <t>Domain/Robust OD</t>
        </is>
      </c>
      <c r="B15" t="inlineStr">
        <is>
          <t>DuET</t>
        </is>
      </c>
      <c r="F15" t="inlineStr">
        <is>
          <t>⏳ Pending verification</t>
        </is>
      </c>
      <c r="H15" t="inlineStr">
        <is>
          <t>DuET (Ours) YOLO11n 2.58 49.40±0.2 43.50±0.1 22.20±0.3 31.60±0.2 27.40</t>
        </is>
      </c>
      <c r="K15" t="inlineStr">
        <is>
          <t>⏳ Pending — domain-adaptive OD (YOLO11n) Cityscapes→Foggy mAP; Ours row: "DuET (Ours) YOLO11n 2.58 49.40±0.2 43.50±0.1 22.20±0.3 31.60±0.2 27.40"; headline needs visual confirm</t>
        </is>
      </c>
      <c r="L15" t="inlineStr">
        <is>
          <t>https://openaccess.thecvf.com/content/ICCV2025/html/Monga_DuET_Dual_Incremental_Object_Detection_via_Exemplar-Free_Task_Arithmetic_ICCV_2025_paper.html</t>
        </is>
      </c>
    </row>
    <row r="16">
      <c r="A16" t="inlineStr">
        <is>
          <t>Domain/Robust OD</t>
        </is>
      </c>
      <c r="B16" t="inlineStr">
        <is>
          <t>ASGS</t>
        </is>
      </c>
      <c r="F16" t="inlineStr">
        <is>
          <t>⏳ Pending verification</t>
        </is>
      </c>
      <c r="H16" t="inlineStr">
        <is>
          <t>ASGS (ours) 41.09 2.87 0.314 185 38.86 2.71 0.431 309 37.51 2.41 0.518</t>
        </is>
      </c>
      <c r="K16" t="inlineStr">
        <is>
          <t>⏳ Pending — domain-adaptive OD Cityscapes→Foggy mAP; Ours row: "ASGS (ours) 41.09 2.87 0.314 185 38.86 2.71 0.431 309 37.51 2.41 0.518"; headline needs visual confirm</t>
        </is>
      </c>
      <c r="L16" t="inlineStr">
        <is>
          <t>https://openaccess.thecvf.com/content/ICCV2025/html/Yuan_ASGS_Single-Domain_Generalizable_Open-Set_Object_Detection_via_Adaptive_Subgraph_Searching_ICCV_2025_paper.html</t>
        </is>
      </c>
    </row>
    <row r="17">
      <c r="A17" t="inlineStr">
        <is>
          <t>Domain/Robust OD</t>
        </is>
      </c>
      <c r="B17" t="inlineStr">
        <is>
          <t>UPRE</t>
        </is>
      </c>
      <c r="F17" t="inlineStr">
        <is>
          <t>⏳ Pending verification</t>
        </is>
      </c>
      <c r="H17" t="inlineStr">
        <is>
          <t>UPRE(Ours) - 40.0 41.5 19.8 34.5</t>
        </is>
      </c>
      <c r="K17" t="inlineStr">
        <is>
          <t>⏳ Pending — domain-generalized OD Cityscapes→Foggy mAP; Ours row: "UPRE(Ours) - 40.0 41.5 19.8 34.5"; headline needs visual confirm</t>
        </is>
      </c>
      <c r="L17" t="inlineStr">
        <is>
          <t>https://openaccess.thecvf.com/content/ICCV2025/html/Zhang_UPRE_Zero-Shot_Domain_Adaptation_for_Object_Detection_via_Unified_Prompt_ICCV_2025_paper.html</t>
        </is>
      </c>
    </row>
    <row r="18">
      <c r="A18" t="inlineStr">
        <is>
          <t>Domain/Robust OD</t>
        </is>
      </c>
      <c r="B18" t="inlineStr">
        <is>
          <t>SFUOD</t>
        </is>
      </c>
      <c r="F18" t="inlineStr">
        <is>
          <t>⏳ Pending verification</t>
        </is>
      </c>
      <c r="H18" t="inlineStr">
        <is>
          <t>SFUOD CollaPAUL (Ours) 52.10 16.49 28.37 32.32 10.59 15.95</t>
        </is>
      </c>
      <c r="K18" t="inlineStr">
        <is>
          <t>⏳ Pending — source-free UOD Cityscapes→Foggy mAP; Ours row: "SFUOD CollaPAUL (Ours) 52.10 16.49 28.37 32.32 10.59 15.95"; headline needs visual confirm</t>
        </is>
      </c>
      <c r="L18" t="inlineStr">
        <is>
          <t>https://openaccess.thecvf.com/content/ICCV2025/html/Park_SFUOD_Source-Free_Unknown_Object_Detection_ICCV_2025_paper.html</t>
        </is>
      </c>
    </row>
    <row r="19">
      <c r="A19" t="inlineStr">
        <is>
          <t>Domain/Robust OD</t>
        </is>
      </c>
      <c r="B19" t="inlineStr">
        <is>
          <t>Shape-Biased Texture-Agnostic</t>
        </is>
      </c>
      <c r="F19" t="inlineStr">
        <is>
          <t>⏳ Pending visual table read</t>
        </is>
      </c>
      <c r="H19" t="inlineStr">
        <is>
          <t>textureless_metallic_OD_mAP=needs visual read</t>
        </is>
      </c>
      <c r="K19" t="inlineStr">
        <is>
          <t>⚠️ Shape-Biased (WACV25): textureless/metallic OD; reports +11.37% relative mAP (Faster R-CNN); absolute mAP needs visual read</t>
        </is>
      </c>
      <c r="L19" t="inlineStr">
        <is>
          <t>https://openaccess.thecvf.com/content/WACV2025/html/Honig_Shape-Biased_Texture_Agnostic_Representations_for_Improved_Textureless_and_Metallic_Object_WACV_2025_paper.html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Incremental OD</t>
        </is>
      </c>
      <c r="B2" t="inlineStr">
        <is>
          <t>RGR (Revisiting Generative Replay)</t>
        </is>
      </c>
      <c r="F2" t="inlineStr">
        <is>
          <t>已發表</t>
        </is>
      </c>
      <c r="G2" t="n">
        <v>75.8</v>
      </c>
      <c r="H2" t="inlineStr">
        <is>
          <t>VOC2007_10-10_All_mAP50=75.8 | 19-1=75.4 | 15-5=74.0 | 5-15=75.3</t>
        </is>
      </c>
      <c r="K2" t="inlineStr">
        <is>
          <t>✅ verified (CVPR25 Table1, visual read): class-incremental OD on PASCAL VOC 2007, mAP@0.5; best single-step 10-10 All=75.8</t>
        </is>
      </c>
      <c r="L2" t="inlineStr">
        <is>
          <t>https://openaccess.thecvf.com/content/CVPR2025/html/Zhang_Revisiting_Generative_Replay_for_Class_Incremental_Object_Detection_CVPR_2025_paper.html</t>
        </is>
      </c>
    </row>
    <row r="3">
      <c r="A3" t="inlineStr">
        <is>
          <t>Incremental OD</t>
        </is>
      </c>
      <c r="B3" t="inlineStr">
        <is>
          <t>LEA (Learning Endogenous Attention)</t>
        </is>
      </c>
      <c r="F3" t="inlineStr">
        <is>
          <t>已發表</t>
        </is>
      </c>
      <c r="G3" t="n">
        <v>45.5</v>
      </c>
      <c r="H3" t="inlineStr">
        <is>
          <t>COCO_incremental_AP=45.5 | AP50=65.3 | AP75=49.6</t>
        </is>
      </c>
      <c r="K3" t="inlineStr">
        <is>
          <t>✅ verified (CVPR25 Table, text): incremental OD on MS-COCO (ViTDet), AP 45.5 / AP50 65.3 (COCO metric — NOT comparable to VOC mAP50 rows)</t>
        </is>
      </c>
      <c r="L3" t="inlineStr">
        <is>
          <t>https://openaccess.thecvf.com/content/CVPR2025/html/Song_Learning_Endogenous_Attention_for_Incremental_Object_Detection_CVPR_2025_paper.html</t>
        </is>
      </c>
    </row>
    <row r="4">
      <c r="A4" t="inlineStr">
        <is>
          <t>Incremental OD</t>
        </is>
      </c>
      <c r="B4" t="inlineStr">
        <is>
          <t>DiL (Abnormal Uncertainty Metric)</t>
        </is>
      </c>
      <c r="F4" t="inlineStr">
        <is>
          <t>⚠️ Different metric</t>
        </is>
      </c>
      <c r="H4" t="inlineStr">
        <is>
          <t>OD_uncertainty_OOD_metric=needs visual read</t>
        </is>
      </c>
      <c r="K4" t="inlineStr">
        <is>
          <t>⚠️ DiL (WACV25): explainable uncertainty/OOD metric for object detectors (COCO/VOC/autonomous-driving) — evaluates uncertainty, NOT a detection-mAP method; headline metric needs visual read</t>
        </is>
      </c>
      <c r="L4" t="inlineStr">
        <is>
          <t>https://openaccess.thecvf.com/content/WACV2025/html/Giloni_DiL_An_Explainable_and_Practical_Metric_for_Abnormal_Uncertainty_in_WACV_2025_paper.html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Open-Vocabulary OD</t>
        </is>
      </c>
      <c r="B2" t="inlineStr">
        <is>
          <t>Enhancing Novel OD (Cooperative FM)</t>
        </is>
      </c>
      <c r="F2" t="inlineStr">
        <is>
          <t>✅ Standard verified</t>
        </is>
      </c>
      <c r="G2" t="n">
        <v>50.3</v>
      </c>
      <c r="H2" t="inlineStr">
        <is>
          <t>COCO-OVD_NovelAP50=50.3 | LVIS_NovelAP=17.42 | All=19.33</t>
        </is>
      </c>
      <c r="K2" t="inlineStr">
        <is>
          <t>✅ Standard verified (WACV25 Table1/2, visual read): open-vocab/novel OD, COCO-OVD Novel AP50=50.3</t>
        </is>
      </c>
      <c r="L2" t="inlineStr">
        <is>
          <t>https://openaccess.thecvf.com/content/WACV2025/html/Bharadwaj_Enhancing_Novel_Object_Detection_via_Cooperative_Foundational_Models_WACV_2025_paper.html</t>
        </is>
      </c>
    </row>
    <row r="3">
      <c r="A3" t="inlineStr">
        <is>
          <t>Open-Vocabulary OD</t>
        </is>
      </c>
      <c r="B3" t="inlineStr">
        <is>
          <t>Exploring Hierarchical Consistency (OVD)</t>
        </is>
      </c>
      <c r="F3" t="inlineStr">
        <is>
          <t>✅ Standard verified</t>
        </is>
      </c>
      <c r="G3" t="n">
        <v>44</v>
      </c>
      <c r="H3" t="inlineStr">
        <is>
          <t>Novel_AP=44.0 | AP50=65.8 (OV-COCO, ViT-L/14)</t>
        </is>
      </c>
      <c r="K3" t="inlineStr">
        <is>
          <t>✅ Standard verified (arXiv 2604.23344, text): open-vocab OD, OV-COCO Novel AP=44.0 (ViT-L/14)</t>
        </is>
      </c>
      <c r="L3" t="inlineStr">
        <is>
          <t>https://arxiv.org/abs/2604.23344</t>
        </is>
      </c>
    </row>
    <row r="4">
      <c r="A4" t="inlineStr">
        <is>
          <t>Open-Vocabulary OD</t>
        </is>
      </c>
      <c r="B4" t="inlineStr">
        <is>
          <t>Search and Detect (SearchDet)</t>
        </is>
      </c>
      <c r="F4" t="inlineStr">
        <is>
          <t>✅ Standard verified</t>
        </is>
      </c>
      <c r="G4" t="n">
        <v>43.6</v>
      </c>
      <c r="H4" t="inlineStr">
        <is>
          <t>LVIS_minival_mAP=43.6 | APr=55.9 | COCO_val=59.3 | 10shot_COCO=61.4 | ODinW35=33.1</t>
        </is>
      </c>
      <c r="K4" t="inlineStr">
        <is>
          <t>✅ Standard verified (CVPR25 Table1/2, visual read): training-free retrieval OV OD, LVIS minival mAP=43.6 (APr 55.9)</t>
        </is>
      </c>
      <c r="L4" t="inlineStr">
        <is>
          <t>https://openaccess.thecvf.com/content/CVPR2025/html/Sidhu_Search_and_Detect_Training-Free_Long_Tail_Object_Detection_via_Web-Image_CVPR_2025_paper.html</t>
        </is>
      </c>
    </row>
    <row r="5">
      <c r="A5" t="inlineStr">
        <is>
          <t>Open-Vocabulary OD</t>
        </is>
      </c>
      <c r="B5" t="inlineStr">
        <is>
          <t>NoOVD (CLIPSelf+NoOVD)</t>
        </is>
      </c>
      <c r="F5" t="inlineStr">
        <is>
          <t>✅ Standard verified</t>
        </is>
      </c>
      <c r="G5" t="n">
        <v>30.7</v>
      </c>
      <c r="H5" t="inlineStr">
        <is>
          <t>OV-COCO_Novel=30.7 (ViT-B/16)</t>
        </is>
      </c>
      <c r="K5" t="inlineStr">
        <is>
          <t>✅ Standard verified (text): open-vocab OD on OV-COCO, Novel=30.7</t>
        </is>
      </c>
    </row>
    <row r="6">
      <c r="A6" t="inlineStr">
        <is>
          <t>Open-Vocabulary OD</t>
        </is>
      </c>
      <c r="B6" t="inlineStr">
        <is>
          <t>FSP-DETR</t>
        </is>
      </c>
      <c r="F6" t="inlineStr">
        <is>
          <t>⏳ Pending verification</t>
        </is>
      </c>
      <c r="K6" t="inlineStr">
        <is>
          <t>⏳ Pending — few-shot prompt DETR (COCO/CODA); needs visual read</t>
        </is>
      </c>
      <c r="L6" t="inlineStr">
        <is>
          <t>https://openaccess.thecvf.com/content/WACV2026/html/Trehan_FSP-DETR_Few-Shot_Prototypical_Parasitic_Ova_Detection_WACV_2026_paper.html</t>
        </is>
      </c>
    </row>
    <row r="7">
      <c r="A7" t="inlineStr">
        <is>
          <t>Open-Vocabulary OD</t>
        </is>
      </c>
      <c r="B7" t="inlineStr">
        <is>
          <t>MUSE</t>
        </is>
      </c>
      <c r="F7" t="inlineStr">
        <is>
          <t>⏳ Pending verification</t>
        </is>
      </c>
      <c r="K7" t="inlineStr">
        <is>
          <t>⏳ Pending — OV detection (COCO); needs visual read</t>
        </is>
      </c>
      <c r="L7" t="inlineStr">
        <is>
          <t>https://openaccess.thecvf.com/content/WACV2026/html/Cho_MUSE_Model-based_Uncertainty-aware_Similarity_Estimation_for_zero-shot_2D_Object_Detection_WACV_2026_paper.html</t>
        </is>
      </c>
    </row>
    <row r="8">
      <c r="A8" t="inlineStr">
        <is>
          <t>Open-Vocabulary OD</t>
        </is>
      </c>
      <c r="B8" t="inlineStr">
        <is>
          <t>STEP-DETR</t>
        </is>
      </c>
      <c r="F8" t="inlineStr">
        <is>
          <t>⏳ Pending verification</t>
        </is>
      </c>
      <c r="K8" t="inlineStr">
        <is>
          <t>⏳ Pending — OV/DETR detection (COCO); image table needs visual read</t>
        </is>
      </c>
      <c r="L8" t="inlineStr">
        <is>
          <t>https://openaccess.thecvf.com/content/ICCV2025/html/Shehzadi_STEP-DETR_Advancing_DETR-based_Semi-Supervised_Object_Detection_with_Super_Teacher_and_ICCV_2025_paper.html</t>
        </is>
      </c>
    </row>
    <row r="9">
      <c r="A9" t="inlineStr">
        <is>
          <t>Open-Vocabulary OD</t>
        </is>
      </c>
      <c r="B9" t="inlineStr">
        <is>
          <t>ViTPrompt</t>
        </is>
      </c>
      <c r="F9" t="inlineStr">
        <is>
          <t>⏳ Pending verification</t>
        </is>
      </c>
      <c r="H9" t="inlineStr">
        <is>
          <t>quote: 39.25 4.72 50.44 26.17</t>
        </is>
      </c>
      <c r="K9" t="inlineStr">
        <is>
          <t>⏳ Pending — prompt-tuning for Grounding-DINO OV detection; needs visual read</t>
        </is>
      </c>
      <c r="L9" t="inlineStr">
        <is>
          <t>https://openaccess.thecvf.com/content/CVPR2026/html/Qin_ViTPrompt_Training-Free_Prompt_Refinement_with_Visual_Tokens_for_Open-Vocabulary_Detection_CVPR_2026_paper.html</t>
        </is>
      </c>
    </row>
    <row r="10">
      <c r="A10" t="inlineStr">
        <is>
          <t>Open-Vocabulary OD</t>
        </is>
      </c>
      <c r="B10" t="inlineStr">
        <is>
          <t>YOLOE</t>
        </is>
      </c>
      <c r="F10" t="inlineStr">
        <is>
          <t>⏳ Pending verification</t>
        </is>
      </c>
      <c r="K10" t="inlineStr">
        <is>
          <t>⏳ Pending — open-vocab YOLO (LVIS zero-shot AP); image table needs visual read</t>
        </is>
      </c>
      <c r="L10" t="inlineStr">
        <is>
          <t>https://openaccess.thecvf.com/content/ICCV2025/html/Wang_YOLOE_Real-Time_Seeing_Anything_ICCV_2025_paper.html</t>
        </is>
      </c>
    </row>
    <row r="11">
      <c r="A11" t="inlineStr">
        <is>
          <t>Open-Vocabulary OD</t>
        </is>
      </c>
      <c r="B11" t="inlineStr">
        <is>
          <t>LMM-Det</t>
        </is>
      </c>
      <c r="F11" t="inlineStr">
        <is>
          <t>⏳ Pending verification</t>
        </is>
      </c>
      <c r="H11" t="inlineStr">
        <is>
          <t>LVIS quote: 24.5 34.7 26.3 15.4 27.4 37.3 46.6</t>
        </is>
      </c>
      <c r="K11" t="inlineStr">
        <is>
          <t>⏳ Pending — MLLM-based OV detector (OWLv2-L+Vicuna-7B) on LVIS/COCO/O365/RefCOCO; headline needs visual read</t>
        </is>
      </c>
      <c r="L11" t="inlineStr">
        <is>
          <t>https://openaccess.thecvf.com/content/ICCV2025/html/Li_LMM-Det_Make_Large_Multimodal_Models_Excel_in_Object_Detection_ICCV_2025_paper.html</t>
        </is>
      </c>
    </row>
    <row r="12">
      <c r="A12" t="inlineStr">
        <is>
          <t>Open-Vocabulary OD</t>
        </is>
      </c>
      <c r="B12" t="inlineStr">
        <is>
          <t>SRA-Det</t>
        </is>
      </c>
      <c r="F12" t="inlineStr">
        <is>
          <t>⏳ Pending verification</t>
        </is>
      </c>
      <c r="H12" t="inlineStr">
        <is>
          <t>COCO_zs=54.9 | LVIS_AP=40.4/38.8/40.9/40.2</t>
        </is>
      </c>
      <c r="K12" t="inlineStr">
        <is>
          <t>⏳ Pending — open-vocab/grounding detector (Swin-T; O365+GoldG+V3Det); COCO zero-shot≈54.9, LVIS≈40.4; Novel-AP split needs visual confirm</t>
        </is>
      </c>
      <c r="L12" t="inlineStr">
        <is>
          <t>https://openaccess.thecvf.com/content/CVPR2026/html/Yang_SRA-Det_Learning_Omni-Grained_Open-Vocabulary_Detection_Beyond_Category_Names_CVPR_2026_paper.html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6" r:id="rId4"/>
    <hyperlink xmlns:r="http://schemas.openxmlformats.org/officeDocument/2006/relationships" ref="L7" r:id="rId5"/>
    <hyperlink xmlns:r="http://schemas.openxmlformats.org/officeDocument/2006/relationships" ref="L8" r:id="rId6"/>
    <hyperlink xmlns:r="http://schemas.openxmlformats.org/officeDocument/2006/relationships" ref="L9" r:id="rId7"/>
    <hyperlink xmlns:r="http://schemas.openxmlformats.org/officeDocument/2006/relationships" ref="L10" r:id="rId8"/>
    <hyperlink xmlns:r="http://schemas.openxmlformats.org/officeDocument/2006/relationships" ref="L11" r:id="rId9"/>
    <hyperlink xmlns:r="http://schemas.openxmlformats.org/officeDocument/2006/relationships" ref="L12" r:id="rId1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Oriented-RS OD</t>
        </is>
      </c>
      <c r="B2" t="inlineStr">
        <is>
          <t>ReDiffDet</t>
        </is>
      </c>
      <c r="F2" t="inlineStr">
        <is>
          <t>✅ Standard verified</t>
        </is>
      </c>
      <c r="G2" t="n">
        <v>80.7</v>
      </c>
      <c r="H2" t="inlineStr">
        <is>
          <t>DOTA_mAP=80.70 (ReR50,MS) | plain_ReR50=75.45</t>
        </is>
      </c>
      <c r="K2" t="inlineStr">
        <is>
          <t>✅ Standard verified (CVPR25 Table, text): oriented/rotated OD on DOTA-v1.0, mAP=80.70</t>
        </is>
      </c>
      <c r="L2" t="inlineStr">
        <is>
          <t>https://openaccess.thecvf.com/content/CVPR2025/html/Zhao_ReDiffDet_Rotation-equivariant_Diffusion_Model_for_Oriented_Object_Detection_CVPR_2025_paper.html</t>
        </is>
      </c>
    </row>
    <row r="3">
      <c r="A3" t="inlineStr">
        <is>
          <t>Oriented-RS OD</t>
        </is>
      </c>
      <c r="B3" t="inlineStr">
        <is>
          <t>GauCho</t>
        </is>
      </c>
      <c r="F3" t="inlineStr">
        <is>
          <t>✅ Standard verified</t>
        </is>
      </c>
      <c r="G3" t="n">
        <v>80.61</v>
      </c>
      <c r="H3" t="inlineStr">
        <is>
          <t>DOTA-v1.0_AP50=80.61 (RoITransformer,MS) | DOTAv1.5_KLD=65.51</t>
        </is>
      </c>
      <c r="K3" t="inlineStr">
        <is>
          <t>✅ Standard verified (CVPR25 Table3, visual read): oriented OBB on DOTA-v1.0, AP50=80.61</t>
        </is>
      </c>
      <c r="L3" t="inlineStr">
        <is>
          <t>https://openaccess.thecvf.com/content/CVPR2025/html/Marques_GauCho_Gaussian_Distributions_with_Cholesky_Decomposition_for_Oriented_Object_Detection_CVPR_2025_paper.html</t>
        </is>
      </c>
    </row>
    <row r="4">
      <c r="A4" t="inlineStr">
        <is>
          <t>Oriented-RS OD</t>
        </is>
      </c>
      <c r="B4" t="inlineStr">
        <is>
          <t>Meta-YOLO</t>
        </is>
      </c>
      <c r="F4" t="inlineStr">
        <is>
          <t>⚠️ Different dataset</t>
        </is>
      </c>
      <c r="G4" t="n">
        <v>65.09999999999999</v>
      </c>
      <c r="H4" t="inlineStr">
        <is>
          <t>AP_test=65.1 | AP50=85.6 | AP75=75.8 (Meta-YOLO-S)</t>
        </is>
      </c>
      <c r="K4" t="inlineStr">
        <is>
          <t>⚠️ Different dataset (WACV25 Table1, visual read): lightweight detector on remote-sensing/aerial dataset WITH metadata (not standard COCO/DOTA); AP test 65.1 / AP50 85.6</t>
        </is>
      </c>
      <c r="L4" t="inlineStr">
        <is>
          <t>https://openaccess.thecvf.com/content/WACV2026/html/Yoon_Meta-YOLO_Metadata-Guided_Real-Time_Object_Detector_in_Aerial_Imagery_WACV_2026_paper.html</t>
        </is>
      </c>
    </row>
    <row r="5">
      <c r="A5" t="inlineStr">
        <is>
          <t>Oriented-RS OD</t>
        </is>
      </c>
      <c r="B5" t="inlineStr">
        <is>
          <t>SPAR-Det</t>
        </is>
      </c>
      <c r="F5" t="inlineStr">
        <is>
          <t>✅ Standard verified</t>
        </is>
      </c>
      <c r="G5" t="n">
        <v>61.2</v>
      </c>
      <c r="H5" t="inlineStr">
        <is>
          <t>aerial_mAP_AP50=61.2 | AP=31.2</t>
        </is>
      </c>
      <c r="K5" t="inlineStr">
        <is>
          <t>✅ Standard verified (WACV25 Table3, visual read): aerial small-object detection, mAP(AP50)=61.2 / AP=31.2</t>
        </is>
      </c>
      <c r="L5" t="inlineStr">
        <is>
          <t>https://openaccess.thecvf.com/content/WACV2026/html/Kwon_SPAR-Det_Segmentation-guided_and_Prior-Aided_Routing_for_Small_Object_Detection_WACV_2026_paper.html</t>
        </is>
      </c>
    </row>
    <row r="6">
      <c r="A6" t="inlineStr">
        <is>
          <t>Oriented-RS OD</t>
        </is>
      </c>
      <c r="B6" t="inlineStr">
        <is>
          <t>RAVEN</t>
        </is>
      </c>
      <c r="F6" t="inlineStr">
        <is>
          <t>⏳ Pending verification</t>
        </is>
      </c>
      <c r="H6" t="inlineStr">
        <is>
          <t>SSM + Attention RA VEN (Sub-frame, Ours)0.85 0.89 0.88 0.89 0.17 0.250.271.519</t>
        </is>
      </c>
      <c r="K6" t="inlineStr">
        <is>
          <t>⏳ Pending — event/aerial oriented OD; Ours row: "SSM + Attention RA VEN (Sub-frame, Ours)0.85 0.89 0.88 0.89 0.17 0.250.271.519"; oriented mAP needs visual confirm</t>
        </is>
      </c>
      <c r="L6" t="inlineStr">
        <is>
          <t>https://openaccess.thecvf.com/content/CVPR2026/html/Sen_RAVEN_Radar_Adaptive_Vision_Encoders_for_Efficient_Chirp-wise_Object_Detection_CVPR_2026_paper.html</t>
        </is>
      </c>
    </row>
    <row r="7">
      <c r="A7" t="inlineStr">
        <is>
          <t>Oriented-RS OD</t>
        </is>
      </c>
      <c r="B7" t="inlineStr">
        <is>
          <t>VISO</t>
        </is>
      </c>
      <c r="F7" t="inlineStr">
        <is>
          <t>⏳ Pending verification</t>
        </is>
      </c>
      <c r="K7" t="inlineStr">
        <is>
          <t>⏳ Pending — video-satellite oriented OD (DOTA/DIOR/HRSC/FAIR1M); Ours row: ""; oriented mAP needs visual confirm</t>
        </is>
      </c>
      <c r="L7" t="inlineStr">
        <is>
          <t>https://openaccess.thecvf.com/content/ICCV2025/html/Wang_VISO_Accelerating_In-orbit_Object_Detection_with_Language-Guided_Mask_Learning_and_ICCV_2025_paper.html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Referring OD</t>
        </is>
      </c>
      <c r="B2" t="inlineStr">
        <is>
          <t>ROD-MLLM</t>
        </is>
      </c>
      <c r="F2" t="inlineStr">
        <is>
          <t>✅ Standard verified</t>
        </is>
      </c>
      <c r="G2" t="n">
        <v>90.2</v>
      </c>
      <c r="H2" t="inlineStr">
        <is>
          <t>RefCOCO_val=90.2 | testA=93.0 | testB=86.3 | RefCOCO+_val=84.8 | RefCOCOg_val=86.7</t>
        </is>
      </c>
      <c r="K2" t="inlineStr">
        <is>
          <t>✅ Standard verified (CVPR25 Table3/4, visual read): referring grounding MLLM, RefCOCO Acc@0.5 val=90.2</t>
        </is>
      </c>
      <c r="L2" t="inlineStr">
        <is>
          <t>https://openaccess.thecvf.com/content/CVPR2025/html/Yin_ROD-MLLM_Towards_More_Reliable_Object_Detection_in_Multimodal_Large_Language_CVPR_2025_paper.html</t>
        </is>
      </c>
    </row>
    <row r="3">
      <c r="A3" t="inlineStr">
        <is>
          <t>Referring OD</t>
        </is>
      </c>
      <c r="B3" t="inlineStr">
        <is>
          <t>WeDetect</t>
        </is>
      </c>
      <c r="F3" t="inlineStr">
        <is>
          <t>⏳ Pending verification</t>
        </is>
      </c>
      <c r="K3" t="inlineStr">
        <is>
          <t>⏳ Pending — referring/open-vocab detection RefCOCO/COCO; Ours row: ""; headline needs visual confirm</t>
        </is>
      </c>
      <c r="L3" t="inlineStr">
        <is>
          <t>https://openaccess.thecvf.com/content/CVPR2026/html/Fu_WeDetect_Fast_Open-Vocabulary_Object_Detection_as_Retrieval_CVPR_2026_paper.html</t>
        </is>
      </c>
    </row>
    <row r="4">
      <c r="A4" t="inlineStr">
        <is>
          <t>Referring OD</t>
        </is>
      </c>
      <c r="B4" t="inlineStr">
        <is>
          <t>AgentDet</t>
        </is>
      </c>
      <c r="F4" t="inlineStr">
        <is>
          <t>⏳ Pending verification</t>
        </is>
      </c>
      <c r="H4" t="inlineStr">
        <is>
          <t>AgentDet-Llama3.1-8b† (Ours) 49.2 59.7 64.2 64.3 38.2 50.9 51.9 53.4 5</t>
        </is>
      </c>
      <c r="K4" t="inlineStr">
        <is>
          <t>⏳ Pending — referring grounding RefCOCO Acc@0.5 (agent-LLM); Ours row: "AgentDet-Llama3.1-8b† (Ours) 49.2 59.7 64.2 64.3 38.2 50.9 51.9 53.4 5"; headline needs visual confirm</t>
        </is>
      </c>
      <c r="L4" t="inlineStr">
        <is>
          <t>https://openaccess.thecvf.com/content/CVPR2026/html/Li_AgentDet_A_Shared-Blackboard_Multi-Agent_Framework_for_Zero-Few-Shot_Object_Detection_CVPR_2026_paper.html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Security-Robustness OD</t>
        </is>
      </c>
      <c r="B2" t="inlineStr">
        <is>
          <t>TRACE (Test-Time Backdoor Detection)</t>
        </is>
      </c>
      <c r="F2" t="inlineStr">
        <is>
          <t>✅ Standard verified</t>
        </is>
      </c>
      <c r="G2" t="n">
        <v>0.897</v>
      </c>
      <c r="H2" t="inlineStr">
        <is>
          <t>AUROC=0.897 | F1=0.880</t>
        </is>
      </c>
      <c r="K2" t="inlineStr">
        <is>
          <t>✅ Standard verified (CVPR25 Table2, visual read): test-time backdoor DEFENSE for detectors, AUROC=0.897/F1=0.880 (security metric)</t>
        </is>
      </c>
      <c r="L2" t="inlineStr">
        <is>
          <t>https://openaccess.thecvf.com/content/CVPR2025/html/Zhang_Test-Time_Backdoor_Detection_for_Object_Detection_Models_CVPR_2025_paper.html</t>
        </is>
      </c>
    </row>
    <row r="3">
      <c r="A3" t="inlineStr">
        <is>
          <t>Security-Robustness OD</t>
        </is>
      </c>
      <c r="B3" t="inlineStr">
        <is>
          <t>TRACE</t>
        </is>
      </c>
      <c r="F3" t="inlineStr">
        <is>
          <t>⏳ Pending verification</t>
        </is>
      </c>
      <c r="K3" t="inlineStr">
        <is>
          <t>⏳ Pending — adversarial-robustness TRACE (distinct from CVPR25 backdoor-TRACE); Ours row: ""; headline needs visual confirm</t>
        </is>
      </c>
      <c r="L3" t="inlineStr">
        <is>
          <t>https://openaccess.thecvf.com/content/WACV2026/html/Lee_TRACE_Confounder-free_Adversarial_Fine-tuning_for_Robust_Object_Detection_WACV_2026_paper.html</t>
        </is>
      </c>
    </row>
    <row r="4">
      <c r="A4" t="inlineStr">
        <is>
          <t>Security-Robustness OD</t>
        </is>
      </c>
      <c r="B4" t="inlineStr">
        <is>
          <t>DMAT</t>
        </is>
      </c>
      <c r="F4" t="inlineStr">
        <is>
          <t>⏳ Pending verification</t>
        </is>
      </c>
      <c r="H4" t="inlineStr">
        <is>
          <t>DMAT-Tiny (ours) 2.8+12.1 0.374 0.188 0.214 0.108 0.348 0.178 0.214 0.</t>
        </is>
      </c>
      <c r="K4" t="inlineStr">
        <is>
          <t>⏳ Pending — adversarial robustness on COCO (AP under attack); Ours row: "DMAT-Tiny (ours) 2.8+12.1 0.374 0.188 0.214 0.108 0.348 0.178 0.214 0."; headline needs visual confirm</t>
        </is>
      </c>
      <c r="L4" t="inlineStr">
        <is>
          <t>https://openaccess.thecvf.com/content/WACV2026/html/Hill_DMAT_An_End-to-End_Framework_for_Joint_Atmospheric_Turbulence_Mitigation_and_WACV_2026_paper.html</t>
        </is>
      </c>
    </row>
    <row r="5">
      <c r="A5" t="inlineStr">
        <is>
          <t>Security-Robustness OD</t>
        </is>
      </c>
      <c r="B5" t="inlineStr">
        <is>
          <t>AntiStyler</t>
        </is>
      </c>
      <c r="F5" t="inlineStr">
        <is>
          <t>⏳ Pending verification</t>
        </is>
      </c>
      <c r="H5" t="inlineStr">
        <is>
          <t>AntiStyler (Ours) 92.7 51.6 32.5 42.1 45.8 38.0 41.9 48.9 38.3 43.6</t>
        </is>
      </c>
      <c r="K5" t="inlineStr">
        <is>
          <t>⏳ Pending — style-attack robustness on COCO (ASR/robust AP); Ours row: "AntiStyler (Ours) 92.7 51.6 32.5 42.1 45.8 38.0 41.9 48.9 38.3 43.6"; headline needs visual confirm</t>
        </is>
      </c>
      <c r="L5" t="inlineStr">
        <is>
          <t>https://openaccess.thecvf.com/content/CVPR2026/html/Yankelev_AntiStyler_Defending_Object_Detection_Models_Against_Adversarial_Patch_Attacks_Using_CVPR_2026_paper.html</t>
        </is>
      </c>
    </row>
    <row r="6">
      <c r="A6" t="inlineStr">
        <is>
          <t>Security-Robustness OD</t>
        </is>
      </c>
      <c r="B6" t="inlineStr">
        <is>
          <t>PBCAT</t>
        </is>
      </c>
      <c r="F6" t="inlineStr">
        <is>
          <t>⏳ Pending verification</t>
        </is>
      </c>
      <c r="H6" t="inlineStr">
        <is>
          <t>PBCA T (Ours) 95.4 77.6 92.5 60.2 56.4</t>
        </is>
      </c>
      <c r="K6" t="inlineStr">
        <is>
          <t>⏳ Pending — patch adversarial-defense robust AP on COCO; Ours row: "PBCA T (Ours) 95.4 77.6 92.5 60.2 56.4"; headline needs visual confirm</t>
        </is>
      </c>
      <c r="L6" t="inlineStr">
        <is>
          <t>https://openaccess.thecvf.com/content/ICCV2025/html/Li_PBCAT_Patch-Based_Composite_Adversarial_Training_against_Physically_Realizable_Attacks_on_ICCV_2025_paper.html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Co-SOD &amp; Ranking</t>
        </is>
      </c>
      <c r="B2" t="inlineStr">
        <is>
          <t>Visual Consensus Prompting (Co-SOD)</t>
        </is>
      </c>
      <c r="F2" t="inlineStr">
        <is>
          <t>✅ Standard verified</t>
        </is>
      </c>
      <c r="G2" t="n">
        <v>0.895</v>
      </c>
      <c r="H2" t="inlineStr">
        <is>
          <t>CoSOD3k_Sm=0.895 | MAE=0.043 | CoSal2015_Sm=0.927 | CoCA_Sm=0.819</t>
        </is>
      </c>
      <c r="K2" t="inlineStr">
        <is>
          <t>✅ Standard verified (CVPR25 Table1, visual read): co-salient OD, CoSOD3k S-measure=0.895</t>
        </is>
      </c>
      <c r="L2" t="inlineStr">
        <is>
          <t>https://openaccess.thecvf.com/content/CVPR2025/html/Wang_Visual_Consensus_Prompting_for_Co-Salient_Object_Detection_CVPR_2025_paper.html</t>
        </is>
      </c>
    </row>
    <row r="3">
      <c r="A3" t="inlineStr">
        <is>
          <t>Co-SOD &amp; Ranking</t>
        </is>
      </c>
      <c r="B3" t="inlineStr">
        <is>
          <t>Language-Guided Salient Object Ranking</t>
        </is>
      </c>
      <c r="F3" t="inlineStr">
        <is>
          <t>✅ Standard verified</t>
        </is>
      </c>
      <c r="G3" t="n">
        <v>0.787</v>
      </c>
      <c r="H3" t="inlineStr">
        <is>
          <t>ASSR_SA-SOR=0.787 | SOR=0.895 | MAE=0.049 | IRSR_SA-SOR=0.634</t>
        </is>
      </c>
      <c r="K3" t="inlineStr">
        <is>
          <t>✅ Standard verified (CVPR25 Table1, visual read): salient object ranking, ASSR SA-SOR=0.787</t>
        </is>
      </c>
      <c r="L3" t="inlineStr">
        <is>
          <t>https://openaccess.thecvf.com/content/CVPR2025/html/Liu_Language-Guided_Salient_Object_Ranking_CVPR_2025_paper.html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CD-FSOD</t>
        </is>
      </c>
      <c r="B2" t="inlineStr">
        <is>
          <t>NTIRE 2025 CD-FSOD (MoveFree)</t>
        </is>
      </c>
      <c r="F2" t="inlineStr">
        <is>
          <t>⚠️ Different metric</t>
        </is>
      </c>
      <c r="G2" t="n">
        <v>62.57</v>
      </c>
      <c r="H2" t="inlineStr">
        <is>
          <t>D1_DeepFruits_10shot=62.57 | composite_Score=231.01</t>
        </is>
      </c>
      <c r="K2" t="inlineStr">
        <is>
          <t>⚠️ Different metric (NTIRE25 Table1, visual read): CD-FSOD challenge on DeepFruits/CARPK/CarDD (composite Score 231.01) — different sub-benchmark, not directly comparable to ArTaxOr rows</t>
        </is>
      </c>
      <c r="L2" t="inlineStr">
        <is>
          <t>https://arxiv.org/abs/2504.10685</t>
        </is>
      </c>
    </row>
    <row r="3">
      <c r="A3" t="inlineStr">
        <is>
          <t>CD-FSOD</t>
        </is>
      </c>
      <c r="B3" t="inlineStr">
        <is>
          <t>Cross-Domain Multi-Modal FSOD</t>
        </is>
      </c>
      <c r="F3" t="inlineStr">
        <is>
          <t>✅ Standard verified</t>
        </is>
      </c>
      <c r="G3" t="n">
        <v>61.4</v>
      </c>
      <c r="H3" t="inlineStr">
        <is>
          <t>ArTaxOr_10shot=61.4 | DIOR=31.4 | UODD=17.5</t>
        </is>
      </c>
      <c r="K3" t="inlineStr">
        <is>
          <t>✅ Standard verified (WACV25 Table1, visual read): CD-FSOD (ArTaxOr/DIOR/UODD) 10-shot, ArTaxOr mAP=61.4</t>
        </is>
      </c>
      <c r="L3" t="inlineStr">
        <is>
          <t>https://openaccess.thecvf.com/content/WACV2025/html/Shangguan_Cross-Domain_Multi-Modal_Few-Shot_Object_Detection_via_Rich_Text_WACV_2025_paper.html</t>
        </is>
      </c>
    </row>
    <row r="4">
      <c r="A4" t="inlineStr">
        <is>
          <t>CD-FSOD</t>
        </is>
      </c>
      <c r="B4" t="inlineStr">
        <is>
          <t>CD-ViTO</t>
        </is>
      </c>
      <c r="F4" t="inlineStr">
        <is>
          <t>✅ Standard verified</t>
        </is>
      </c>
      <c r="G4" t="n">
        <v>60.5</v>
      </c>
      <c r="H4" t="inlineStr">
        <is>
          <t>ArTaxOr_10shot=60.5 | Clipart=44.3 | DIOR=30.8 | DeepFish=22.3 | NEU=12.8 | UODD=7.0</t>
        </is>
      </c>
      <c r="K4" t="inlineStr">
        <is>
          <t>✅ Standard verified (arXiv 2402.03094, text): CD-FSOD 10-shot, ArTaxOr mAP=60.5</t>
        </is>
      </c>
      <c r="L4" t="inlineStr">
        <is>
          <t>https://arxiv.org/abs/2402.03094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Event-Camera OD</t>
        </is>
      </c>
      <c r="B2" t="inlineStr">
        <is>
          <t>EvRT-DETR (B)</t>
        </is>
      </c>
      <c r="F2" t="inlineStr">
        <is>
          <t>✅ Standard verified</t>
        </is>
      </c>
      <c r="G2" t="n">
        <v>52.7</v>
      </c>
      <c r="H2" t="inlineStr">
        <is>
          <t>Gen1_mAP=52.7 | 1Mpx_mAP=50.1 | EvRT-DETR-T Gen1=52.3/1Mpx=49.9</t>
        </is>
      </c>
      <c r="K2" t="inlineStr">
        <is>
          <t>✅ Standard verified (Table1, visual read): event-camera OD (COCO-mAP protocol) — EvRT-DETR-B Gen1 mAP=52.7 / 1Mpx mAP=50.1</t>
        </is>
      </c>
      <c r="L2" t="inlineStr">
        <is>
          <t>https://openaccess.thecvf.com/content/ICCV2025/html/Torbunov_EvRT-DETR_Latent_Space_Adaptation_of_Image_Detectors_for_Event-based_Vision_ICCV_2025_paper.html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Thermal-Multispectral OD</t>
        </is>
      </c>
      <c r="B2" t="inlineStr">
        <is>
          <t>WaveMamba</t>
        </is>
      </c>
      <c r="F2" t="inlineStr">
        <is>
          <t>✅ Standard verified</t>
        </is>
      </c>
      <c r="G2" t="n">
        <v>90.90000000000001</v>
      </c>
      <c r="H2" t="inlineStr">
        <is>
          <t>M3FD_mAP50=90.9 | mAP=62.3</t>
        </is>
      </c>
      <c r="K2" t="inlineStr">
        <is>
          <t>✅ Standard verified (Table, text header mAP50/mAP): multispectral OD on M3FD, mAP50=90.9 / mAP=62.3</t>
        </is>
      </c>
      <c r="L2" t="inlineStr">
        <is>
          <t>https://openaccess.thecvf.com/content/ICCV2025/html/Zhu_WaveMamba_Wavelet-Driven_Mamba_Fusion_for_RGB-Infrared_Object_Detection_ICCV_2025_paper.html</t>
        </is>
      </c>
    </row>
    <row r="3">
      <c r="A3" t="inlineStr">
        <is>
          <t>Thermal-Multispectral OD</t>
        </is>
      </c>
      <c r="B3" t="inlineStr">
        <is>
          <t>WiSE-OD</t>
        </is>
      </c>
      <c r="F3" t="inlineStr">
        <is>
          <t>✅ Standard verified</t>
        </is>
      </c>
      <c r="G3" t="n">
        <v>75.83</v>
      </c>
      <c r="H3" t="inlineStr">
        <is>
          <t>FLIR_AP50_LP=75.83 | ZS=75.08</t>
        </is>
      </c>
      <c r="K3" t="inlineStr">
        <is>
          <t>✅ Standard verified (text): zero-shot thermal OD on FLIR — WiSE-OD-LP AP50=75.83, WiSE-OD-ZS=75.08</t>
        </is>
      </c>
      <c r="L3" t="inlineStr">
        <is>
          <t>https://openaccess.thecvf.com/content/WACV2026/html/Medeiros_WiSE-OD_Benchmarking_Robustness_in_Infrared_Object_Detection_WACV_2026_paper.html</t>
        </is>
      </c>
    </row>
    <row r="4">
      <c r="A4" t="inlineStr">
        <is>
          <t>Thermal-Multispectral OD</t>
        </is>
      </c>
      <c r="B4" t="inlineStr">
        <is>
          <t>DyFCLT</t>
        </is>
      </c>
      <c r="F4" t="inlineStr">
        <is>
          <t>✅ Standard verified</t>
        </is>
      </c>
      <c r="G4" t="n">
        <v>69.09999999999999</v>
      </c>
      <c r="H4" t="inlineStr">
        <is>
          <t>FLIR_RGBT_mAP50=69.1 | mAP=48.2</t>
        </is>
      </c>
      <c r="K4" t="inlineStr">
        <is>
          <t>✅ Standard verified (Table, text): RGBT thermal OD on FLIR — mAP50=69.1 / mAP=48.2 (Ours row)</t>
        </is>
      </c>
      <c r="L4" t="inlineStr">
        <is>
          <t>https://openaccess.thecvf.com/content/CVPR2026/html/Li_DyFCLT_Dynamic_Frequency-Decoupled_Cross-Modal_Learning_Transformer_for_Multimodal_Tiny_Object_CVPR_2026_paper.html</t>
        </is>
      </c>
    </row>
    <row r="5">
      <c r="A5" t="inlineStr">
        <is>
          <t>Thermal-Multispectral OD</t>
        </is>
      </c>
      <c r="B5" t="inlineStr">
        <is>
          <t>Thermal-Det</t>
        </is>
      </c>
      <c r="F5" t="inlineStr">
        <is>
          <t>✅ Standard verified</t>
        </is>
      </c>
      <c r="G5" t="n">
        <v>66.40000000000001</v>
      </c>
      <c r="H5" t="inlineStr">
        <is>
          <t>FLIR_mAP50=66.4 | mAP=37.2</t>
        </is>
      </c>
      <c r="K5" t="inlineStr">
        <is>
          <t>✅ Standard verified (Table, text): thermal OD on FLIR — mAP50=0.664 / mAP=0.372 (Ours row)</t>
        </is>
      </c>
      <c r="L5" t="inlineStr">
        <is>
          <t>https://openaccess.thecvf.com/content/CVPR2026/html/Ranasinghe_Thermal-Det_Language-Guided_Cross-Modal_Distillation_for_Open-Vocabulary_Thermal_Object_Detection_CVPR_2026_paper.html</t>
        </is>
      </c>
    </row>
    <row r="6">
      <c r="A6" t="inlineStr">
        <is>
          <t>Thermal-Multispectral OD</t>
        </is>
      </c>
      <c r="B6" t="inlineStr">
        <is>
          <t>SeaClips</t>
        </is>
      </c>
      <c r="F6" t="inlineStr">
        <is>
          <t>⏳ Pending verification</t>
        </is>
      </c>
      <c r="K6" t="inlineStr">
        <is>
          <t>⏳ Pending — maritime thermal OD on FLIR/maritime dataset; headline needs visual read</t>
        </is>
      </c>
      <c r="L6" t="inlineStr">
        <is>
          <t>https://openaccess.thecvf.com/content/WACV2026/html/Denk_SeaClips_A_Video_Dataset_for_Maritime_Object_Detection._WACV_2026_paper.html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Camouflaged OD</t>
        </is>
      </c>
      <c r="B2" t="inlineStr">
        <is>
          <t>M4-SAM</t>
        </is>
      </c>
      <c r="F2" t="inlineStr">
        <is>
          <t>✅ Standard verified</t>
        </is>
      </c>
      <c r="G2" t="n">
        <v>0.925</v>
      </c>
      <c r="H2" t="inlineStr">
        <is>
          <t>Sm=0.925 | maxFm=0.850 | wFm=0.828 | MAE=0.039 (best benchmark)</t>
        </is>
      </c>
      <c r="K2" t="inlineStr">
        <is>
          <t>✅ Standard verified (ICME25-cmp Table, text): camouflaged OD/segmentation (CAMO/COD10K/NC4K) — S-measure=0.925</t>
        </is>
      </c>
      <c r="L2" t="inlineStr">
        <is>
          <t>https://openaccess.thecvf.com/content/CVPR2026/html/Liu_M4-SAM_Multi-Modal_Mixture-of-Experts_with_Memory-Augmented_SAM_for_RGB-D_Video_Salient_CVPR_2026_paper.html</t>
        </is>
      </c>
    </row>
    <row r="3">
      <c r="A3" t="inlineStr">
        <is>
          <t>Camouflaged OD</t>
        </is>
      </c>
      <c r="B3" t="inlineStr">
        <is>
          <t>HDPNet</t>
        </is>
      </c>
      <c r="F3" t="inlineStr">
        <is>
          <t>✅ Standard verified</t>
        </is>
      </c>
      <c r="G3" t="n">
        <v>0.893</v>
      </c>
      <c r="H3" t="inlineStr">
        <is>
          <t>COD10K_Sm=0.893 | adpFm=0.851 | wFm=0.870 | Em=0.948 | MAE=0.040</t>
        </is>
      </c>
      <c r="K3" t="inlineStr">
        <is>
          <t>✅ Standard verified (Table, text): camouflaged OD on COD10K — S-measure=0.893 / MAE=0.040</t>
        </is>
      </c>
      <c r="L3" t="inlineStr">
        <is>
          <t>https://openaccess.thecvf.com/content/WACV2025/html/He_HDPNet_Hourglass_Vision_Transformer_with_Dual-Path_Feature_Pyramid_for_Camouflaged_WACV_2025_paper.html</t>
        </is>
      </c>
    </row>
    <row r="4">
      <c r="A4" t="inlineStr">
        <is>
          <t>Camouflaged OD</t>
        </is>
      </c>
      <c r="B4" t="inlineStr">
        <is>
          <t>ESCNet</t>
        </is>
      </c>
      <c r="F4" t="inlineStr">
        <is>
          <t>✅ Standard verified</t>
        </is>
      </c>
      <c r="G4" t="n">
        <v>0.859</v>
      </c>
      <c r="H4" t="inlineStr">
        <is>
          <t>COD10K_Sm=0.859 | Em=0.941 | Fm=0.892 | MAE=0.028</t>
        </is>
      </c>
      <c r="K4" t="inlineStr">
        <is>
          <t>✅ Standard verified (Table, text): camouflaged OD on COD10K — S-measure=0.859 / MAE=0.028</t>
        </is>
      </c>
      <c r="L4" t="inlineStr">
        <is>
          <t>https://openaccess.thecvf.com/content/ICCV2025/html/Ye_ESCNetEdge-Semantic_Collaborative_Network_for_Camouflaged_Object_Detection_ICCV_2025_paper.html</t>
        </is>
      </c>
    </row>
    <row r="5">
      <c r="A5" t="inlineStr">
        <is>
          <t>Camouflaged OD</t>
        </is>
      </c>
      <c r="B5" t="inlineStr">
        <is>
          <t>UCOD-DPL</t>
        </is>
      </c>
      <c r="F5" t="inlineStr">
        <is>
          <t>✅ Standard verified</t>
        </is>
      </c>
      <c r="G5" t="n">
        <v>0.734</v>
      </c>
      <c r="H5" t="inlineStr">
        <is>
          <t>COD10K_Sm=0.734 | Fm=0.680 | Em=0.854 | MAE=0.072 (UNsupervised)</t>
        </is>
      </c>
      <c r="K5" t="inlineStr">
        <is>
          <t>✅ Standard verified (Table, text): UNSUPERVISED camouflaged OD on COD10K (DINOv1) — S-measure=0.734</t>
        </is>
      </c>
      <c r="L5" t="inlineStr">
        <is>
          <t>https://openaccess.thecvf.com/content/CVPR2025/html/Yan_UCOD-DPL_Unsupervised_Camouflaged_Object_Detection_via_Dynamic_Pseudo-label_Learning_CVPR_2025_paper.html</t>
        </is>
      </c>
    </row>
    <row r="6">
      <c r="A6" t="inlineStr">
        <is>
          <t>Camouflaged OD</t>
        </is>
      </c>
      <c r="B6" t="inlineStr">
        <is>
          <t>SDDF</t>
        </is>
      </c>
      <c r="F6" t="inlineStr">
        <is>
          <t>⏳ Pending verification</t>
        </is>
      </c>
      <c r="K6" t="inlineStr">
        <is>
          <t>⏳ Pending — camouflaged OD (COD10K/CAMO/NC4K); image table needs visual read</t>
        </is>
      </c>
      <c r="L6" t="inlineStr">
        <is>
          <t>https://openaccess.thecvf.com/content/CVPR2026/html/Liang_SDDF_Specificity-Driven_Dynamic_Focusing_for_Open-Vocabulary_Camouflaged_Object_Detection_CVPR_2026_paper.html</t>
        </is>
      </c>
    </row>
    <row r="7">
      <c r="A7" t="inlineStr">
        <is>
          <t>Camouflaged OD</t>
        </is>
      </c>
      <c r="B7" t="inlineStr">
        <is>
          <t>D2FANet</t>
        </is>
      </c>
      <c r="F7" t="inlineStr">
        <is>
          <t>⏳ Pending verification</t>
        </is>
      </c>
      <c r="H7" t="inlineStr">
        <is>
          <t>quote: ResNet-101 Deformable-DETR 87.7 24.6</t>
        </is>
      </c>
      <c r="K7" t="inlineStr">
        <is>
          <t>⏳ Pending — camouflaged object DETECTION (bbox, CAMO); metric needs visual confirm</t>
        </is>
      </c>
      <c r="L7" t="inlineStr">
        <is>
          <t>https://openaccess.thecvf.com/content/CVPR2026/html/Qi_D2FANet_Enhancing_Video_Object_Detection_with_Dual-Domain_Feature_Aggregation_Network_CVPR_2026_paper.html</t>
        </is>
      </c>
    </row>
    <row r="8">
      <c r="A8" t="inlineStr">
        <is>
          <t>Camouflaged OD</t>
        </is>
      </c>
      <c r="B8" t="inlineStr">
        <is>
          <t>PointSR</t>
        </is>
      </c>
      <c r="F8" t="inlineStr">
        <is>
          <t>⏳ Pending verification</t>
        </is>
      </c>
      <c r="H8" t="inlineStr">
        <is>
          <t>quote: 43.4 5.8 26.2 65.6 53.5 ...</t>
        </is>
      </c>
      <c r="K8" t="inlineStr">
        <is>
          <t>⏳ Pending — point-supervised SOD/camouflaged (task unclear); needs visual read</t>
        </is>
      </c>
      <c r="L8" t="inlineStr">
        <is>
          <t>https://openaccess.thecvf.com/content/CVPR2025/html/Li_PointSR_Self-Regularized_Point_Supervision_for_Drone-View_Object_Detection_CVPR_2025_paper.html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類別</t>
        </is>
      </c>
      <c r="B1" t="inlineStr">
        <is>
          <t>方法</t>
        </is>
      </c>
      <c r="C1" t="inlineStr">
        <is>
          <t>作者</t>
        </is>
      </c>
      <c r="D1" t="inlineStr">
        <is>
          <t>發表</t>
        </is>
      </c>
      <c r="E1" t="inlineStr">
        <is>
          <t>年月</t>
        </is>
      </c>
      <c r="F1" t="inlineStr">
        <is>
          <t>狀態</t>
        </is>
      </c>
      <c r="G1" t="inlineStr">
        <is>
          <t>mAP</t>
        </is>
      </c>
      <c r="H1" t="inlineStr">
        <is>
          <t>AP</t>
        </is>
      </c>
      <c r="I1" t="inlineStr">
        <is>
          <t>FPS</t>
        </is>
      </c>
      <c r="J1" t="inlineStr">
        <is>
          <t>params</t>
        </is>
      </c>
      <c r="K1" t="inlineStr">
        <is>
          <t>備註(特色/based)</t>
        </is>
      </c>
      <c r="L1" t="inlineStr">
        <is>
          <t>連結</t>
        </is>
      </c>
    </row>
    <row r="2">
      <c r="A2" t="inlineStr">
        <is>
          <t>Robustness OD</t>
        </is>
      </c>
      <c r="B2" t="inlineStr">
        <is>
          <t>EVA (EVA backbone)</t>
        </is>
      </c>
      <c r="F2" t="inlineStr">
        <is>
          <t>✅ Standard verified</t>
        </is>
      </c>
      <c r="G2" t="n">
        <v>57.8</v>
      </c>
      <c r="H2" t="inlineStr">
        <is>
          <t>COCO-O_mAP=57.8 | COCO_mAP=64.2 | EffRob=+28.86</t>
        </is>
      </c>
      <c r="K2" t="inlineStr">
        <is>
          <t>✅ Standard verified (COCO-O ICCV23 arXiv 2307.12730 Table 7): COCO-O mAP=57.8, clean COCO=64.2, Effective Robustness=+28.86</t>
        </is>
      </c>
      <c r="L2" t="inlineStr">
        <is>
          <t>https://arxiv.org/abs/2307.12730</t>
        </is>
      </c>
    </row>
    <row r="3">
      <c r="A3" t="inlineStr">
        <is>
          <t>Robustness OD</t>
        </is>
      </c>
      <c r="B3" t="inlineStr">
        <is>
          <t>DETA (Swin-L)</t>
        </is>
      </c>
      <c r="F3" t="inlineStr">
        <is>
          <t>✅ Standard verified</t>
        </is>
      </c>
      <c r="G3" t="n">
        <v>48.5</v>
      </c>
      <c r="H3" t="inlineStr">
        <is>
          <t>COCO-O_mAP=48.5 | COCO_mAP=62.9 | EffRob=+20.15</t>
        </is>
      </c>
      <c r="K3" t="inlineStr">
        <is>
          <t>✅ Standard verified (COCO-O ICCV23 arXiv 2307.12730 Table 7): COCO-O mAP=48.5, clean COCO=62.9, Effective Robustness=+20.15</t>
        </is>
      </c>
      <c r="L3" t="inlineStr">
        <is>
          <t>https://arxiv.org/abs/2307.12730</t>
        </is>
      </c>
    </row>
    <row r="4">
      <c r="A4" t="inlineStr">
        <is>
          <t>Robustness OD</t>
        </is>
      </c>
      <c r="B4" t="inlineStr">
        <is>
          <t>GLIP-L (Swin-L)</t>
        </is>
      </c>
      <c r="F4" t="inlineStr">
        <is>
          <t>✅ Standard verified</t>
        </is>
      </c>
      <c r="G4" t="n">
        <v>48</v>
      </c>
      <c r="H4" t="inlineStr">
        <is>
          <t>COCO-O_mAP=48.0 | COCO_mAP=51.4 | EffRob=+24.89</t>
        </is>
      </c>
      <c r="K4" t="inlineStr">
        <is>
          <t>✅ Standard verified (COCO-O ICCV23 arXiv 2307.12730 Table 7): COCO-O mAP=48.0, clean COCO=51.4, Effective Robustness=+24.89</t>
        </is>
      </c>
      <c r="L4" t="inlineStr">
        <is>
          <t>https://arxiv.org/abs/2307.12730</t>
        </is>
      </c>
    </row>
    <row r="5">
      <c r="A5" t="inlineStr">
        <is>
          <t>Robustness OD</t>
        </is>
      </c>
      <c r="B5" t="inlineStr">
        <is>
          <t>GRiT (ViT-H)</t>
        </is>
      </c>
      <c r="F5" t="inlineStr">
        <is>
          <t>✅ Standard verified</t>
        </is>
      </c>
      <c r="G5" t="n">
        <v>42.9</v>
      </c>
      <c r="H5" t="inlineStr">
        <is>
          <t>COCO-O_mAP=42.9 | COCO_mAP=60.4 | EffRob=+15.72</t>
        </is>
      </c>
      <c r="K5" t="inlineStr">
        <is>
          <t>✅ Standard verified (COCO-O ICCV23 arXiv 2307.12730 Table 7): COCO-O mAP=42.9, clean COCO=60.4, Effective Robustness=+15.72</t>
        </is>
      </c>
      <c r="L5" t="inlineStr">
        <is>
          <t>https://arxiv.org/abs/2307.12730</t>
        </is>
      </c>
    </row>
    <row r="6">
      <c r="A6" t="inlineStr">
        <is>
          <t>Robustness OD</t>
        </is>
      </c>
      <c r="B6" t="inlineStr">
        <is>
          <t>DINO (Swin-L)</t>
        </is>
      </c>
      <c r="F6" t="inlineStr">
        <is>
          <t>✅ Standard verified</t>
        </is>
      </c>
      <c r="G6" t="n">
        <v>42.1</v>
      </c>
      <c r="H6" t="inlineStr">
        <is>
          <t>COCO-O_mAP=42.1 | COCO_mAP=58.5 | EffRob=+15.76</t>
        </is>
      </c>
      <c r="K6" t="inlineStr">
        <is>
          <t>✅ Standard verified (COCO-O ICCV23 arXiv 2307.12730 Table 7): COCO-O mAP=42.1, clean COCO=58.5, Effective Robustness=+15.76</t>
        </is>
      </c>
      <c r="L6" t="inlineStr">
        <is>
          <t>https://arxiv.org/abs/2307.12730</t>
        </is>
      </c>
    </row>
    <row r="7">
      <c r="A7" t="inlineStr">
        <is>
          <t>Robustness OD</t>
        </is>
      </c>
      <c r="B7" t="inlineStr">
        <is>
          <t>H-Deformable-DETR (Swin-L)</t>
        </is>
      </c>
      <c r="F7" t="inlineStr">
        <is>
          <t>✅ Standard verified</t>
        </is>
      </c>
      <c r="G7" t="n">
        <v>41.4</v>
      </c>
      <c r="H7" t="inlineStr">
        <is>
          <t>COCO-O_mAP=41.4 | COCO_mAP=57.6 | EffRob=+15.45</t>
        </is>
      </c>
      <c r="K7" t="inlineStr">
        <is>
          <t>✅ Standard verified (COCO-O ICCV23 arXiv 2307.12730 Table 7): COCO-O mAP=41.4, clean COCO=57.6, Effective Robustness=+15.45</t>
        </is>
      </c>
      <c r="L7" t="inlineStr">
        <is>
          <t>https://arxiv.org/abs/2307.12730</t>
        </is>
      </c>
    </row>
    <row r="8">
      <c r="A8" t="inlineStr">
        <is>
          <t>Robustness OD</t>
        </is>
      </c>
      <c r="B8" t="inlineStr">
        <is>
          <t>CBNetV2 (Swin-L)</t>
        </is>
      </c>
      <c r="F8" t="inlineStr">
        <is>
          <t>✅ Standard verified</t>
        </is>
      </c>
      <c r="G8" t="n">
        <v>39</v>
      </c>
      <c r="H8" t="inlineStr">
        <is>
          <t>COCO-O_mAP=39.0 | COCO_mAP=59.1 | EffRob=+12.36</t>
        </is>
      </c>
      <c r="K8" t="inlineStr">
        <is>
          <t>✅ Standard verified (COCO-O ICCV23 arXiv 2307.12730 Table 7): COCO-O mAP=39.0, clean COCO=59.1, Effective Robustness=+12.36</t>
        </is>
      </c>
      <c r="L8" t="inlineStr">
        <is>
          <t>https://arxiv.org/abs/2307.12730</t>
        </is>
      </c>
    </row>
    <row r="9">
      <c r="A9" t="inlineStr">
        <is>
          <t>Robustness OD</t>
        </is>
      </c>
      <c r="B9" t="inlineStr">
        <is>
          <t>SOLQ (Swin-L)</t>
        </is>
      </c>
      <c r="F9" t="inlineStr">
        <is>
          <t>✅ Standard verified</t>
        </is>
      </c>
      <c r="G9" t="n">
        <v>38.8</v>
      </c>
      <c r="H9" t="inlineStr">
        <is>
          <t>COCO-O_mAP=38.8 | COCO_mAP=56.5 | EffRob=+13.44</t>
        </is>
      </c>
      <c r="K9" t="inlineStr">
        <is>
          <t>✅ Standard verified (COCO-O ICCV23 arXiv 2307.12730 Table 7): COCO-O mAP=38.8, clean COCO=56.5, Effective Robustness=+13.44</t>
        </is>
      </c>
      <c r="L9" t="inlineStr">
        <is>
          <t>https://arxiv.org/abs/2307.12730</t>
        </is>
      </c>
    </row>
    <row r="10">
      <c r="A10" t="inlineStr">
        <is>
          <t>Robustness OD</t>
        </is>
      </c>
      <c r="B10" t="inlineStr">
        <is>
          <t>Cascade Mask R-CNN (ConvNeXt-XL)</t>
        </is>
      </c>
      <c r="F10" t="inlineStr">
        <is>
          <t>✅ Standard verified</t>
        </is>
      </c>
      <c r="G10" t="n">
        <v>37.5</v>
      </c>
      <c r="H10" t="inlineStr">
        <is>
          <t>COCO-O_mAP=37.5 | COCO_mAP=55.2 | EffRob=+12.68</t>
        </is>
      </c>
      <c r="K10" t="inlineStr">
        <is>
          <t>✅ Standard verified (COCO-O ICCV23 arXiv 2307.12730 Table 7): COCO-O mAP=37.5, clean COCO=55.2, Effective Robustness=+12.68</t>
        </is>
      </c>
      <c r="L10" t="inlineStr">
        <is>
          <t>https://arxiv.org/abs/2307.12730</t>
        </is>
      </c>
    </row>
    <row r="11">
      <c r="A11" t="inlineStr">
        <is>
          <t>Robustness OD</t>
        </is>
      </c>
      <c r="B11" t="inlineStr">
        <is>
          <t>Cascade Mask R-CNN (InternImage-L)</t>
        </is>
      </c>
      <c r="F11" t="inlineStr">
        <is>
          <t>✅ Standard verified</t>
        </is>
      </c>
      <c r="G11" t="n">
        <v>37</v>
      </c>
      <c r="H11" t="inlineStr">
        <is>
          <t>COCO-O_mAP=37.0 | COCO_mAP=56.1 | EffRob=+11.72</t>
        </is>
      </c>
      <c r="K11" t="inlineStr">
        <is>
          <t>✅ Standard verified (COCO-O ICCV23 arXiv 2307.12730 Table 7): COCO-O mAP=37.0, clean COCO=56.1, Effective Robustness=+11.72</t>
        </is>
      </c>
      <c r="L11" t="inlineStr">
        <is>
          <t>https://arxiv.org/abs/2307.12730</t>
        </is>
      </c>
    </row>
    <row r="12">
      <c r="A12" t="inlineStr">
        <is>
          <t>Robustness OD</t>
        </is>
      </c>
      <c r="B12" t="inlineStr">
        <is>
          <t>DyHead (Swin-L)</t>
        </is>
      </c>
      <c r="F12" t="inlineStr">
        <is>
          <t>✅ Standard verified</t>
        </is>
      </c>
      <c r="G12" t="n">
        <v>35.3</v>
      </c>
      <c r="H12" t="inlineStr">
        <is>
          <t>COCO-O_mAP=35.3 | COCO_mAP=56.2 | EffRob=+10.0</t>
        </is>
      </c>
      <c r="K12" t="inlineStr">
        <is>
          <t>✅ Standard verified (COCO-O ICCV23 arXiv 2307.12730 Table 7): COCO-O mAP=35.3, clean COCO=56.2, Effective Robustness=+10.0</t>
        </is>
      </c>
      <c r="L12" t="inlineStr">
        <is>
          <t>https://arxiv.org/abs/2307.12730</t>
        </is>
      </c>
    </row>
    <row r="13">
      <c r="A13" t="inlineStr">
        <is>
          <t>Robustness OD</t>
        </is>
      </c>
      <c r="B13" t="inlineStr">
        <is>
          <t>ViTDet (ViT-H)</t>
        </is>
      </c>
      <c r="F13" t="inlineStr">
        <is>
          <t>✅ Standard verified</t>
        </is>
      </c>
      <c r="G13" t="n">
        <v>34.3</v>
      </c>
      <c r="H13" t="inlineStr">
        <is>
          <t>COCO-O_mAP=34.3 | COCO_mAP=58.7 | EffRob=+7.89</t>
        </is>
      </c>
      <c r="K13" t="inlineStr">
        <is>
          <t>✅ Standard verified (COCO-O ICCV23 arXiv 2307.12730 Table 7): COCO-O mAP=34.3, clean COCO=58.7, Effective Robustness=+7.89</t>
        </is>
      </c>
      <c r="L13" t="inlineStr">
        <is>
          <t>https://arxiv.org/abs/2307.12730</t>
        </is>
      </c>
    </row>
    <row r="14">
      <c r="A14" t="inlineStr">
        <is>
          <t>Robustness OD</t>
        </is>
      </c>
      <c r="B14" t="inlineStr">
        <is>
          <t>ViT-Adapter (BEiTv2-L)</t>
        </is>
      </c>
      <c r="F14" t="inlineStr">
        <is>
          <t>✅ Standard verified</t>
        </is>
      </c>
      <c r="G14" t="n">
        <v>34.25</v>
      </c>
      <c r="H14" t="inlineStr">
        <is>
          <t>COCO-O_mAP=34.25 | COCO_mAP=58.8 | EffRob=+7.79</t>
        </is>
      </c>
      <c r="K14" t="inlineStr">
        <is>
          <t>✅ Standard verified (COCO-O ICCV23 arXiv 2307.12730 Table 7): COCO-O mAP=34.25, clean COCO=58.8, Effective Robustness=+7.79</t>
        </is>
      </c>
      <c r="L14" t="inlineStr">
        <is>
          <t>https://arxiv.org/abs/2307.12730</t>
        </is>
      </c>
    </row>
    <row r="15">
      <c r="A15" t="inlineStr">
        <is>
          <t>Robustness OD</t>
        </is>
      </c>
      <c r="B15" t="inlineStr">
        <is>
          <t>DiffusionDet (Swin-B)</t>
        </is>
      </c>
      <c r="F15" t="inlineStr">
        <is>
          <t>✅ Standard verified</t>
        </is>
      </c>
      <c r="G15" t="n">
        <v>34.2</v>
      </c>
      <c r="H15" t="inlineStr">
        <is>
          <t>COCO-O_mAP=34.2 | COCO_mAP=52.2 | EffRob=+10.69</t>
        </is>
      </c>
      <c r="K15" t="inlineStr">
        <is>
          <t>✅ Standard verified (COCO-O ICCV23 arXiv 2307.12730 Table 7): COCO-O mAP=34.2, clean COCO=52.2, Effective Robustness=+10.69</t>
        </is>
      </c>
      <c r="L15" t="inlineStr">
        <is>
          <t>https://arxiv.org/abs/2307.12730</t>
        </is>
      </c>
    </row>
    <row r="16">
      <c r="A16" t="inlineStr">
        <is>
          <t>Robustness OD</t>
        </is>
      </c>
      <c r="B16" t="inlineStr">
        <is>
          <t>FIBER-B (Swin-B)</t>
        </is>
      </c>
      <c r="F16" t="inlineStr">
        <is>
          <t>✅ Standard verified</t>
        </is>
      </c>
      <c r="G16" t="n">
        <v>33.7</v>
      </c>
      <c r="H16" t="inlineStr">
        <is>
          <t>COCO-O_mAP=33.7 | COCO_mAP=49.5 | EffRob=+11.43</t>
        </is>
      </c>
      <c r="K16" t="inlineStr">
        <is>
          <t>✅ Standard verified (COCO-O ICCV23 arXiv 2307.12730 Table 7): COCO-O mAP=33.7, clean COCO=49.5, Effective Robustness=+11.43</t>
        </is>
      </c>
      <c r="L16" t="inlineStr">
        <is>
          <t>https://arxiv.org/abs/2307.12730</t>
        </is>
      </c>
    </row>
    <row r="17">
      <c r="A17" t="inlineStr">
        <is>
          <t>Robustness OD</t>
        </is>
      </c>
      <c r="B17" t="inlineStr">
        <is>
          <t>QueryInst (Swin-L)</t>
        </is>
      </c>
      <c r="F17" t="inlineStr">
        <is>
          <t>✅ Standard verified</t>
        </is>
      </c>
      <c r="G17" t="n">
        <v>33.2</v>
      </c>
      <c r="H17" t="inlineStr">
        <is>
          <t>COCO-O_mAP=33.2 | COCO_mAP=55.5 | EffRob=+8.26</t>
        </is>
      </c>
      <c r="K17" t="inlineStr">
        <is>
          <t>✅ Standard verified (COCO-O ICCV23 arXiv 2307.12730 Table 7): COCO-O mAP=33.2, clean COCO=55.5, Effective Robustness=+8.26</t>
        </is>
      </c>
      <c r="L17" t="inlineStr">
        <is>
          <t>https://arxiv.org/abs/2307.12730</t>
        </is>
      </c>
    </row>
    <row r="18">
      <c r="A18" t="inlineStr">
        <is>
          <t>Robustness OD</t>
        </is>
      </c>
      <c r="B18" t="inlineStr">
        <is>
          <t>YOLOR-D6</t>
        </is>
      </c>
      <c r="F18" t="inlineStr">
        <is>
          <t>✅ Standard verified</t>
        </is>
      </c>
      <c r="G18" t="n">
        <v>33</v>
      </c>
      <c r="H18" t="inlineStr">
        <is>
          <t>COCO-O_mAP=33.0 | COCO_mAP=57.0 | EffRob=+7.3</t>
        </is>
      </c>
      <c r="K18" t="inlineStr">
        <is>
          <t>✅ Standard verified (COCO-O ICCV23 arXiv 2307.12730 Table 7): COCO-O mAP=33.0, clean COCO=57.0, Effective Robustness=+7.3</t>
        </is>
      </c>
      <c r="L18" t="inlineStr">
        <is>
          <t>https://arxiv.org/abs/2307.12730</t>
        </is>
      </c>
    </row>
    <row r="19">
      <c r="A19" t="inlineStr">
        <is>
          <t>Robustness OD</t>
        </is>
      </c>
      <c r="B19" t="inlineStr">
        <is>
          <t>YOLOv6-L6</t>
        </is>
      </c>
      <c r="F19" t="inlineStr">
        <is>
          <t>✅ Standard verified</t>
        </is>
      </c>
      <c r="G19" t="n">
        <v>32.5</v>
      </c>
      <c r="H19" t="inlineStr">
        <is>
          <t>COCO-O_mAP=32.5 | COCO_mAP=57.2 | EffRob=+6.73</t>
        </is>
      </c>
      <c r="K19" t="inlineStr">
        <is>
          <t>✅ Standard verified (COCO-O ICCV23 arXiv 2307.12730 Table 7): COCO-O mAP=32.5, clean COCO=57.2, Effective Robustness=+6.73</t>
        </is>
      </c>
      <c r="L19" t="inlineStr">
        <is>
          <t>https://arxiv.org/abs/2307.12730</t>
        </is>
      </c>
    </row>
    <row r="20">
      <c r="A20" t="inlineStr">
        <is>
          <t>Robustness OD</t>
        </is>
      </c>
      <c r="B20" t="inlineStr">
        <is>
          <t>YOLOv7-E6E</t>
        </is>
      </c>
      <c r="F20" t="inlineStr">
        <is>
          <t>✅ Standard verified</t>
        </is>
      </c>
      <c r="G20" t="n">
        <v>32</v>
      </c>
      <c r="H20" t="inlineStr">
        <is>
          <t>COCO-O_mAP=32.0 | COCO_mAP=56.8 | EffRob=+6.42</t>
        </is>
      </c>
      <c r="K20" t="inlineStr">
        <is>
          <t>✅ Standard verified (COCO-O ICCV23 arXiv 2307.12730 Table 7): COCO-O mAP=32.0, clean COCO=56.8, Effective Robustness=+6.42</t>
        </is>
      </c>
      <c r="L20" t="inlineStr">
        <is>
          <t>https://arxiv.org/abs/2307.12730</t>
        </is>
      </c>
    </row>
    <row r="21">
      <c r="A21" t="inlineStr">
        <is>
          <t>Robustness OD</t>
        </is>
      </c>
      <c r="B21" t="inlineStr">
        <is>
          <t>Cascade Mask R-CNN (UniFormer-B)</t>
        </is>
      </c>
      <c r="F21" t="inlineStr">
        <is>
          <t>✅ Standard verified</t>
        </is>
      </c>
      <c r="G21" t="n">
        <v>31.8</v>
      </c>
      <c r="H21" t="inlineStr">
        <is>
          <t>COCO-O_mAP=31.8 | COCO_mAP=53.4 | EffRob=+7.77</t>
        </is>
      </c>
      <c r="K21" t="inlineStr">
        <is>
          <t>✅ Standard verified (COCO-O ICCV23 arXiv 2307.12730 Table 7): COCO-O mAP=31.8, clean COCO=53.4, Effective Robustness=+7.77</t>
        </is>
      </c>
      <c r="L21" t="inlineStr">
        <is>
          <t>https://arxiv.org/abs/2307.12730</t>
        </is>
      </c>
    </row>
    <row r="22">
      <c r="A22" t="inlineStr">
        <is>
          <t>Robustness OD</t>
        </is>
      </c>
      <c r="B22" t="inlineStr">
        <is>
          <t>Cascade Mask R-CNN (MViTv2-H)</t>
        </is>
      </c>
      <c r="F22" t="inlineStr">
        <is>
          <t>✅ Standard verified</t>
        </is>
      </c>
      <c r="G22" t="n">
        <v>30.9</v>
      </c>
      <c r="H22" t="inlineStr">
        <is>
          <t>COCO-O_mAP=30.9 | COCO_mAP=56.1 | EffRob=+5.62</t>
        </is>
      </c>
      <c r="K22" t="inlineStr">
        <is>
          <t>✅ Standard verified (COCO-O ICCV23 arXiv 2307.12730 Table 7): COCO-O mAP=30.9, clean COCO=56.1, Effective Robustness=+5.62</t>
        </is>
      </c>
      <c r="L22" t="inlineStr">
        <is>
          <t>https://arxiv.org/abs/2307.12730</t>
        </is>
      </c>
    </row>
    <row r="23">
      <c r="A23" t="inlineStr">
        <is>
          <t>Robustness OD</t>
        </is>
      </c>
      <c r="B23" t="inlineStr">
        <is>
          <t>Det-AdvProp (EfficientNet-B5)</t>
        </is>
      </c>
      <c r="F23" t="inlineStr">
        <is>
          <t>✅ Standard verified</t>
        </is>
      </c>
      <c r="G23" t="n">
        <v>30.8</v>
      </c>
      <c r="H23" t="inlineStr">
        <is>
          <t>COCO-O_mAP=30.8 | COCO_mAP=52.2 | EffRob=+7.34</t>
        </is>
      </c>
      <c r="K23" t="inlineStr">
        <is>
          <t>✅ Standard verified (COCO-O ICCV23 arXiv 2307.12730 Table 7): COCO-O mAP=30.8, clean COCO=52.2, Effective Robustness=+7.34</t>
        </is>
      </c>
      <c r="L23" t="inlineStr">
        <is>
          <t>https://arxiv.org/abs/2307.12730</t>
        </is>
      </c>
    </row>
    <row r="24">
      <c r="A24" t="inlineStr">
        <is>
          <t>Robustness OD</t>
        </is>
      </c>
      <c r="B24" t="inlineStr">
        <is>
          <t>YOLOv4-P6</t>
        </is>
      </c>
      <c r="F24" t="inlineStr">
        <is>
          <t>✅ Standard verified</t>
        </is>
      </c>
      <c r="G24" t="n">
        <v>30.4</v>
      </c>
      <c r="H24" t="inlineStr">
        <is>
          <t>COCO-O_mAP=30.4 | COCO_mAP=54.4 | EffRob=+5.89</t>
        </is>
      </c>
      <c r="K24" t="inlineStr">
        <is>
          <t>✅ Standard verified (COCO-O ICCV23 arXiv 2307.12730 Table 7): COCO-O mAP=30.4, clean COCO=54.4, Effective Robustness=+5.89</t>
        </is>
      </c>
      <c r="L24" t="inlineStr">
        <is>
          <t>https://arxiv.org/abs/2307.12730</t>
        </is>
      </c>
    </row>
    <row r="25">
      <c r="A25" t="inlineStr">
        <is>
          <t>Robustness OD</t>
        </is>
      </c>
      <c r="B25" t="inlineStr">
        <is>
          <t>YOLOX-X</t>
        </is>
      </c>
      <c r="F25" t="inlineStr">
        <is>
          <t>✅ Standard verified</t>
        </is>
      </c>
      <c r="G25" t="n">
        <v>30.3</v>
      </c>
      <c r="H25" t="inlineStr">
        <is>
          <t>COCO-O_mAP=30.3 | COCO_mAP=51.1 | EffRob=+7.26</t>
        </is>
      </c>
      <c r="K25" t="inlineStr">
        <is>
          <t>✅ Standard verified (COCO-O ICCV23 arXiv 2307.12730 Table 7): COCO-O mAP=30.3, clean COCO=51.1, Effective Robustness=+7.26</t>
        </is>
      </c>
      <c r="L25" t="inlineStr">
        <is>
          <t>https://arxiv.org/abs/2307.12730</t>
        </is>
      </c>
    </row>
    <row r="26">
      <c r="A26" t="inlineStr">
        <is>
          <t>Robustness OD</t>
        </is>
      </c>
      <c r="B26" t="inlineStr">
        <is>
          <t>CenterNet2 (R2-101-DCN)</t>
        </is>
      </c>
      <c r="F26" t="inlineStr">
        <is>
          <t>✅ Standard verified</t>
        </is>
      </c>
      <c r="G26" t="n">
        <v>29.5</v>
      </c>
      <c r="H26" t="inlineStr">
        <is>
          <t>COCO-O_mAP=29.5 | COCO_mAP=56.1 | EffRob=+4.29</t>
        </is>
      </c>
      <c r="K26" t="inlineStr">
        <is>
          <t>✅ Standard verified (COCO-O ICCV23 arXiv 2307.12730 Table 7): COCO-O mAP=29.5, clean COCO=56.1, Effective Robustness=+4.29</t>
        </is>
      </c>
      <c r="L26" t="inlineStr">
        <is>
          <t>https://arxiv.org/abs/2307.12730</t>
        </is>
      </c>
    </row>
    <row r="27">
      <c r="A27" t="inlineStr">
        <is>
          <t>Robustness OD</t>
        </is>
      </c>
      <c r="B27" t="inlineStr">
        <is>
          <t>YOLOv5l6</t>
        </is>
      </c>
      <c r="F27" t="inlineStr">
        <is>
          <t>✅ Standard verified</t>
        </is>
      </c>
      <c r="G27" t="n">
        <v>29.3</v>
      </c>
      <c r="H27" t="inlineStr">
        <is>
          <t>COCO-O_mAP=29.3 | COCO_mAP=53.7 | EffRob=+5.17</t>
        </is>
      </c>
      <c r="K27" t="inlineStr">
        <is>
          <t>✅ Standard verified (COCO-O ICCV23 arXiv 2307.12730 Table 7): COCO-O mAP=29.3, clean COCO=53.7, Effective Robustness=+5.17</t>
        </is>
      </c>
      <c r="L27" t="inlineStr">
        <is>
          <t>https://arxiv.org/abs/2307.12730</t>
        </is>
      </c>
    </row>
    <row r="28">
      <c r="A28" t="inlineStr">
        <is>
          <t>Robustness OD</t>
        </is>
      </c>
      <c r="B28" t="inlineStr">
        <is>
          <t>GLIP-T (Swin-T)</t>
        </is>
      </c>
      <c r="F28" t="inlineStr">
        <is>
          <t>✅ Standard verified</t>
        </is>
      </c>
      <c r="G28" t="n">
        <v>29</v>
      </c>
      <c r="H28" t="inlineStr">
        <is>
          <t>COCO-O_mAP=29.0 | COCO_mAP=46.6 | EffRob=+8.01</t>
        </is>
      </c>
      <c r="K28" t="inlineStr">
        <is>
          <t>✅ Standard verified (COCO-O ICCV23 arXiv 2307.12730 Table 7): COCO-O mAP=29.0, clean COCO=46.6, Effective Robustness=+8.01</t>
        </is>
      </c>
      <c r="L28" t="inlineStr">
        <is>
          <t>https://arxiv.org/abs/2307.12730</t>
        </is>
      </c>
    </row>
    <row r="29">
      <c r="A29" t="inlineStr">
        <is>
          <t>Robustness OD</t>
        </is>
      </c>
      <c r="B29" t="inlineStr">
        <is>
          <t>Mask R-CNN (MogaNet-L)</t>
        </is>
      </c>
      <c r="F29" t="inlineStr">
        <is>
          <t>✅ Standard verified</t>
        </is>
      </c>
      <c r="G29" t="n">
        <v>28.8</v>
      </c>
      <c r="H29" t="inlineStr">
        <is>
          <t>COCO-O_mAP=28.8 | COCO_mAP=49.4 | EffRob=+6.57</t>
        </is>
      </c>
      <c r="K29" t="inlineStr">
        <is>
          <t>✅ Standard verified (COCO-O ICCV23 arXiv 2307.12730 Table 7): COCO-O mAP=28.8, clean COCO=49.4, Effective Robustness=+6.57</t>
        </is>
      </c>
      <c r="L29" t="inlineStr">
        <is>
          <t>https://arxiv.org/abs/2307.12730</t>
        </is>
      </c>
    </row>
    <row r="30">
      <c r="A30" t="inlineStr">
        <is>
          <t>Robustness OD</t>
        </is>
      </c>
      <c r="B30" t="inlineStr">
        <is>
          <t>EfficientDet-D5 (EfficientNet-B5)</t>
        </is>
      </c>
      <c r="F30" t="inlineStr">
        <is>
          <t>✅ Standard verified</t>
        </is>
      </c>
      <c r="G30" t="n">
        <v>28.5</v>
      </c>
      <c r="H30" t="inlineStr">
        <is>
          <t>COCO-O_mAP=28.5 | COCO_mAP=51.2 | EffRob=+5.44</t>
        </is>
      </c>
      <c r="K30" t="inlineStr">
        <is>
          <t>✅ Standard verified (COCO-O ICCV23 arXiv 2307.12730 Table 7): COCO-O mAP=28.5, clean COCO=51.2, Effective Robustness=+5.44</t>
        </is>
      </c>
      <c r="L30" t="inlineStr">
        <is>
          <t>https://arxiv.org/abs/2307.12730</t>
        </is>
      </c>
    </row>
    <row r="31">
      <c r="A31" t="inlineStr">
        <is>
          <t>Robustness OD</t>
        </is>
      </c>
      <c r="B31" t="inlineStr">
        <is>
          <t>HTC (RX-101-64x4-DCN)</t>
        </is>
      </c>
      <c r="F31" t="inlineStr">
        <is>
          <t>✅ Standard verified</t>
        </is>
      </c>
      <c r="G31" t="n">
        <v>28.4</v>
      </c>
      <c r="H31" t="inlineStr">
        <is>
          <t>COCO-O_mAP=28.4 | COCO_mAP=50.4 | EffRob=+5.67</t>
        </is>
      </c>
      <c r="K31" t="inlineStr">
        <is>
          <t>✅ Standard verified (COCO-O ICCV23 arXiv 2307.12730 Table 7): COCO-O mAP=28.4, clean COCO=50.4, Effective Robustness=+5.67</t>
        </is>
      </c>
      <c r="L31" t="inlineStr">
        <is>
          <t>https://arxiv.org/abs/2307.12730</t>
        </is>
      </c>
    </row>
    <row r="32">
      <c r="A32" t="inlineStr">
        <is>
          <t>Robustness OD</t>
        </is>
      </c>
      <c r="B32" t="inlineStr">
        <is>
          <t>Mask R-CNN (PVTv2-B5)</t>
        </is>
      </c>
      <c r="F32" t="inlineStr">
        <is>
          <t>✅ Standard verified</t>
        </is>
      </c>
      <c r="G32" t="n">
        <v>28.2</v>
      </c>
      <c r="H32" t="inlineStr">
        <is>
          <t>COCO-O_mAP=28.2 | COCO_mAP=47.4 | EffRob=+6.85</t>
        </is>
      </c>
      <c r="K32" t="inlineStr">
        <is>
          <t>✅ Standard verified (COCO-O ICCV23 arXiv 2307.12730 Table 7): COCO-O mAP=28.2, clean COCO=47.4, Effective Robustness=+6.85</t>
        </is>
      </c>
      <c r="L32" t="inlineStr">
        <is>
          <t>https://arxiv.org/abs/2307.12730</t>
        </is>
      </c>
    </row>
    <row r="33">
      <c r="A33" t="inlineStr">
        <is>
          <t>Robustness OD</t>
        </is>
      </c>
      <c r="B33" t="inlineStr">
        <is>
          <t>VFNet (RX-101-64x4d)</t>
        </is>
      </c>
      <c r="F33" t="inlineStr">
        <is>
          <t>✅ Standard verified</t>
        </is>
      </c>
      <c r="G33" t="n">
        <v>28</v>
      </c>
      <c r="H33" t="inlineStr">
        <is>
          <t>COCO-O_mAP=28.0 | COCO_mAP=50.4 | EffRob=+5.27</t>
        </is>
      </c>
      <c r="K33" t="inlineStr">
        <is>
          <t>✅ Standard verified (COCO-O ICCV23 arXiv 2307.12730 Table 7): COCO-O mAP=28.0, clean COCO=50.4, Effective Robustness=+5.27</t>
        </is>
      </c>
      <c r="L33" t="inlineStr">
        <is>
          <t>https://arxiv.org/abs/2307.12730</t>
        </is>
      </c>
    </row>
    <row r="34">
      <c r="A34" t="inlineStr">
        <is>
          <t>Robustness OD</t>
        </is>
      </c>
      <c r="B34" t="inlineStr">
        <is>
          <t>Cascade Mask R-CNN (ResNeSt-200-DCN)</t>
        </is>
      </c>
      <c r="F34" t="inlineStr">
        <is>
          <t>✅ Standard verified</t>
        </is>
      </c>
      <c r="G34" t="n">
        <v>26.1</v>
      </c>
      <c r="H34" t="inlineStr">
        <is>
          <t>COCO-O_mAP=26.1 | COCO_mAP=50.9 | EffRob=+3.18</t>
        </is>
      </c>
      <c r="K34" t="inlineStr">
        <is>
          <t>✅ Standard verified (COCO-O ICCV23 arXiv 2307.12730 Table 7): COCO-O mAP=26.1, clean COCO=50.9, Effective Robustness=+3.18</t>
        </is>
      </c>
      <c r="L34" t="inlineStr">
        <is>
          <t>https://arxiv.org/abs/2307.12730</t>
        </is>
      </c>
    </row>
    <row r="35">
      <c r="A35" t="inlineStr">
        <is>
          <t>Robustness OD</t>
        </is>
      </c>
      <c r="B35" t="inlineStr">
        <is>
          <t>GCNet (RX-101-32x4d-DCN)</t>
        </is>
      </c>
      <c r="F35" t="inlineStr">
        <is>
          <t>✅ Standard verified</t>
        </is>
      </c>
      <c r="G35" t="n">
        <v>26</v>
      </c>
      <c r="H35" t="inlineStr">
        <is>
          <t>COCO-O_mAP=26.0 | COCO_mAP=48.0 | EffRob=+4.38</t>
        </is>
      </c>
      <c r="K35" t="inlineStr">
        <is>
          <t>✅ Standard verified (COCO-O ICCV23 arXiv 2307.12730 Table 7): COCO-O mAP=26.0, clean COCO=48.0, Effective Robustness=+4.38</t>
        </is>
      </c>
      <c r="L35" t="inlineStr">
        <is>
          <t>https://arxiv.org/abs/2307.12730</t>
        </is>
      </c>
    </row>
    <row r="36">
      <c r="A36" t="inlineStr">
        <is>
          <t>Robustness OD</t>
        </is>
      </c>
      <c r="B36" t="inlineStr">
        <is>
          <t>GFLv2 (R2-101-DCN)</t>
        </is>
      </c>
      <c r="F36" t="inlineStr">
        <is>
          <t>✅ Standard verified</t>
        </is>
      </c>
      <c r="G36" t="n">
        <v>25.1</v>
      </c>
      <c r="H36" t="inlineStr">
        <is>
          <t>COCO-O_mAP=25.1 | COCO_mAP=49.9 | EffRob=+2.6</t>
        </is>
      </c>
      <c r="K36" t="inlineStr">
        <is>
          <t>✅ Standard verified (COCO-O ICCV23 arXiv 2307.12730 Table 7): COCO-O mAP=25.1, clean COCO=49.9, Effective Robustness=+2.6</t>
        </is>
      </c>
      <c r="L36" t="inlineStr">
        <is>
          <t>https://arxiv.org/abs/2307.12730</t>
        </is>
      </c>
    </row>
    <row r="37">
      <c r="A37" t="inlineStr">
        <is>
          <t>Robustness OD</t>
        </is>
      </c>
      <c r="B37" t="inlineStr">
        <is>
          <t>TOOD (RX-101-64x4d)</t>
        </is>
      </c>
      <c r="F37" t="inlineStr">
        <is>
          <t>✅ Standard verified</t>
        </is>
      </c>
      <c r="G37" t="n">
        <v>23.1</v>
      </c>
      <c r="H37" t="inlineStr">
        <is>
          <t>COCO-O_mAP=23.1 | COCO_mAP=47.6 | EffRob=+1.7</t>
        </is>
      </c>
      <c r="K37" t="inlineStr">
        <is>
          <t>✅ Standard verified (COCO-O ICCV23 arXiv 2307.12730 Table 7): COCO-O mAP=23.1, clean COCO=47.6, Effective Robustness=+1.7</t>
        </is>
      </c>
      <c r="L37" t="inlineStr">
        <is>
          <t>https://arxiv.org/abs/2307.12730</t>
        </is>
      </c>
    </row>
    <row r="38">
      <c r="A38" t="inlineStr">
        <is>
          <t>Robustness OD</t>
        </is>
      </c>
      <c r="B38" t="inlineStr">
        <is>
          <t>Cascade Mask R-CNN (RX-101-64x4d)</t>
        </is>
      </c>
      <c r="F38" t="inlineStr">
        <is>
          <t>✅ Standard verified</t>
        </is>
      </c>
      <c r="G38" t="n">
        <v>22.2</v>
      </c>
      <c r="H38" t="inlineStr">
        <is>
          <t>COCO-O_mAP=22.2 | COCO_mAP=46.6 | EffRob=+1.23</t>
        </is>
      </c>
      <c r="K38" t="inlineStr">
        <is>
          <t>✅ Standard verified (COCO-O ICCV23 arXiv 2307.12730 Table 7): COCO-O mAP=22.2, clean COCO=46.6, Effective Robustness=+1.23</t>
        </is>
      </c>
      <c r="L38" t="inlineStr">
        <is>
          <t>https://arxiv.org/abs/2307.12730</t>
        </is>
      </c>
    </row>
    <row r="39">
      <c r="A39" t="inlineStr">
        <is>
          <t>Robustness OD</t>
        </is>
      </c>
      <c r="B39" t="inlineStr">
        <is>
          <t>Mask R-CNN (RX-101-64x4d)</t>
        </is>
      </c>
      <c r="F39" t="inlineStr">
        <is>
          <t>✅ Standard verified</t>
        </is>
      </c>
      <c r="G39" t="n">
        <v>21.5</v>
      </c>
      <c r="H39" t="inlineStr">
        <is>
          <t>COCO-O_mAP=21.5 | COCO_mAP=44.5 | EffRob=+1.48</t>
        </is>
      </c>
      <c r="K39" t="inlineStr">
        <is>
          <t>✅ Standard verified (COCO-O ICCV23 arXiv 2307.12730 Table 7): COCO-O mAP=21.5, clean COCO=44.5, Effective Robustness=+1.48</t>
        </is>
      </c>
      <c r="L39" t="inlineStr">
        <is>
          <t>https://arxiv.org/abs/2307.12730</t>
        </is>
      </c>
    </row>
    <row r="40">
      <c r="A40" t="inlineStr">
        <is>
          <t>Robustness OD</t>
        </is>
      </c>
      <c r="B40" t="inlineStr">
        <is>
          <t>FCOS (RX-101-64x4d)</t>
        </is>
      </c>
      <c r="F40" t="inlineStr">
        <is>
          <t>✅ Standard verified</t>
        </is>
      </c>
      <c r="G40" t="n">
        <v>21</v>
      </c>
      <c r="H40" t="inlineStr">
        <is>
          <t>COCO-O_mAP=21.0 | COCO_mAP=42.6 | EffRob=+1.83</t>
        </is>
      </c>
      <c r="K40" t="inlineStr">
        <is>
          <t>✅ Standard verified (COCO-O ICCV23 arXiv 2307.12730 Table 7): COCO-O mAP=21.0, clean COCO=42.6, Effective Robustness=+1.83</t>
        </is>
      </c>
      <c r="L40" t="inlineStr">
        <is>
          <t>https://arxiv.org/abs/2307.12730</t>
        </is>
      </c>
    </row>
    <row r="41">
      <c r="A41" t="inlineStr">
        <is>
          <t>Robustness OD</t>
        </is>
      </c>
      <c r="B41" t="inlineStr">
        <is>
          <t>Faster R-CNN (RX-101-64x4d)</t>
        </is>
      </c>
      <c r="F41" t="inlineStr">
        <is>
          <t>✅ Standard verified</t>
        </is>
      </c>
      <c r="G41" t="n">
        <v>20.2</v>
      </c>
      <c r="H41" t="inlineStr">
        <is>
          <t>COCO-O_mAP=20.2 | COCO_mAP=43.1 | EffRob=+0.76</t>
        </is>
      </c>
      <c r="K41" t="inlineStr">
        <is>
          <t>✅ Standard verified (COCO-O ICCV23 arXiv 2307.12730 Table 7): COCO-O mAP=20.2, clean COCO=43.1, Effective Robustness=+0.76</t>
        </is>
      </c>
      <c r="L41" t="inlineStr">
        <is>
          <t>https://arxiv.org/abs/2307.12730</t>
        </is>
      </c>
    </row>
    <row r="42">
      <c r="A42" t="inlineStr">
        <is>
          <t>Robustness OD</t>
        </is>
      </c>
      <c r="B42" t="inlineStr">
        <is>
          <t>Deformable DETR (ResNet-50)</t>
        </is>
      </c>
      <c r="F42" t="inlineStr">
        <is>
          <t>✅ Standard verified</t>
        </is>
      </c>
      <c r="G42" t="n">
        <v>20.1</v>
      </c>
      <c r="H42" t="inlineStr">
        <is>
          <t>COCO-O_mAP=20.1 | COCO_mAP=46.9 | EffRob=-1.06</t>
        </is>
      </c>
      <c r="K42" t="inlineStr">
        <is>
          <t>✅ Standard verified (COCO-O ICCV23 arXiv 2307.12730 Table 7): COCO-O mAP=20.1, clean COCO=46.9, Effective Robustness=-1.06</t>
        </is>
      </c>
      <c r="L42" t="inlineStr">
        <is>
          <t>https://arxiv.org/abs/2307.12730</t>
        </is>
      </c>
    </row>
    <row r="43">
      <c r="A43" t="inlineStr">
        <is>
          <t>Robustness OD</t>
        </is>
      </c>
      <c r="B43" t="inlineStr">
        <is>
          <t>YOLOS-B (ViT-B)</t>
        </is>
      </c>
      <c r="F43" t="inlineStr">
        <is>
          <t>✅ Standard verified</t>
        </is>
      </c>
      <c r="G43" t="n">
        <v>20</v>
      </c>
      <c r="H43" t="inlineStr">
        <is>
          <t>COCO-O_mAP=20.0 | COCO_mAP=42.0 | EffRob=+1.05</t>
        </is>
      </c>
      <c r="K43" t="inlineStr">
        <is>
          <t>✅ Standard verified (COCO-O ICCV23 arXiv 2307.12730 Table 7): COCO-O mAP=20.0, clean COCO=42.0, Effective Robustness=+1.05</t>
        </is>
      </c>
      <c r="L43" t="inlineStr">
        <is>
          <t>https://arxiv.org/abs/2307.12730</t>
        </is>
      </c>
    </row>
    <row r="44">
      <c r="A44" t="inlineStr">
        <is>
          <t>Robustness OD</t>
        </is>
      </c>
      <c r="B44" t="inlineStr">
        <is>
          <t>RetinaNet (RX-101-64x4d)</t>
        </is>
      </c>
      <c r="F44" t="inlineStr">
        <is>
          <t>✅ Standard verified</t>
        </is>
      </c>
      <c r="G44" t="n">
        <v>19.9</v>
      </c>
      <c r="H44" t="inlineStr">
        <is>
          <t>COCO-O_mAP=19.9 | COCO_mAP=41.6 | EffRob=+1.16</t>
        </is>
      </c>
      <c r="K44" t="inlineStr">
        <is>
          <t>✅ Standard verified (COCO-O ICCV23 arXiv 2307.12730 Table 7): COCO-O mAP=19.9, clean COCO=41.6, Effective Robustness=+1.16</t>
        </is>
      </c>
      <c r="L44" t="inlineStr">
        <is>
          <t>https://arxiv.org/abs/2307.12730</t>
        </is>
      </c>
    </row>
    <row r="45">
      <c r="A45" t="inlineStr">
        <is>
          <t>Robustness OD</t>
        </is>
      </c>
      <c r="B45" t="inlineStr">
        <is>
          <t>NanoDet (ShuffleNetV2)</t>
        </is>
      </c>
      <c r="F45" t="inlineStr">
        <is>
          <t>✅ Standard verified</t>
        </is>
      </c>
      <c r="G45" t="n">
        <v>17.3</v>
      </c>
      <c r="H45" t="inlineStr">
        <is>
          <t>COCO-O_mAP=17.3 | COCO_mAP=34.1 | EffRob=+1.92</t>
        </is>
      </c>
      <c r="K45" t="inlineStr">
        <is>
          <t>✅ Standard verified (COCO-O ICCV23 arXiv 2307.12730 Table 7): COCO-O mAP=17.3, clean COCO=34.1, Effective Robustness=+1.92</t>
        </is>
      </c>
      <c r="L45" t="inlineStr">
        <is>
          <t>https://arxiv.org/abs/2307.12730</t>
        </is>
      </c>
    </row>
    <row r="46">
      <c r="A46" t="inlineStr">
        <is>
          <t>Robustness OD</t>
        </is>
      </c>
      <c r="B46" t="inlineStr">
        <is>
          <t>DETR (ResNet-50)</t>
        </is>
      </c>
      <c r="F46" t="inlineStr">
        <is>
          <t>✅ Standard verified</t>
        </is>
      </c>
      <c r="G46" t="n">
        <v>17.1</v>
      </c>
      <c r="H46" t="inlineStr">
        <is>
          <t>COCO-O_mAP=17.1 | COCO_mAP=42.0 | EffRob=-1.82</t>
        </is>
      </c>
      <c r="K46" t="inlineStr">
        <is>
          <t>✅ Standard verified (COCO-O ICCV23 arXiv 2307.12730 Table 7): COCO-O mAP=17.1, clean COCO=42.0, Effective Robustness=-1.82</t>
        </is>
      </c>
      <c r="L46" t="inlineStr">
        <is>
          <t>https://arxiv.org/abs/2307.12730</t>
        </is>
      </c>
    </row>
    <row r="47">
      <c r="A47" t="inlineStr">
        <is>
          <t>Robustness OD</t>
        </is>
      </c>
      <c r="B47" t="inlineStr">
        <is>
          <t>YOLACT (ResNet-101)</t>
        </is>
      </c>
      <c r="F47" t="inlineStr">
        <is>
          <t>✅ Standard verified</t>
        </is>
      </c>
      <c r="G47" t="n">
        <v>16.8</v>
      </c>
      <c r="H47" t="inlineStr">
        <is>
          <t>COCO-O_mAP=16.8 | COCO_mAP=30.4 | EffRob=+3.15</t>
        </is>
      </c>
      <c r="K47" t="inlineStr">
        <is>
          <t>✅ Standard verified (COCO-O ICCV23 arXiv 2307.12730 Table 7): COCO-O mAP=16.8, clean COCO=30.4, Effective Robustness=+3.15</t>
        </is>
      </c>
      <c r="L47" t="inlineStr">
        <is>
          <t>https://arxiv.org/abs/2307.12730</t>
        </is>
      </c>
    </row>
    <row r="48">
      <c r="A48" t="inlineStr">
        <is>
          <t>Robustness OD</t>
        </is>
      </c>
      <c r="B48" t="inlineStr">
        <is>
          <t>RepPointsV2 (MobileNetV2)</t>
        </is>
      </c>
      <c r="F48" t="inlineStr">
        <is>
          <t>✅ Standard verified</t>
        </is>
      </c>
      <c r="G48" t="n">
        <v>16.4</v>
      </c>
      <c r="H48" t="inlineStr">
        <is>
          <t>COCO-O_mAP=16.4 | COCO_mAP=36.8 | EffRob=-0.18</t>
        </is>
      </c>
      <c r="K48" t="inlineStr">
        <is>
          <t>✅ Standard verified (COCO-O ICCV23 arXiv 2307.12730 Table 7): COCO-O mAP=16.4, clean COCO=36.8, Effective Robustness=-0.18</t>
        </is>
      </c>
      <c r="L48" t="inlineStr">
        <is>
          <t>https://arxiv.org/abs/2307.12730</t>
        </is>
      </c>
    </row>
    <row r="49">
      <c r="A49" t="inlineStr">
        <is>
          <t>Robustness OD</t>
        </is>
      </c>
      <c r="B49" t="inlineStr">
        <is>
          <t>YOLOv3 (DarkNet-53)</t>
        </is>
      </c>
      <c r="F49" t="inlineStr">
        <is>
          <t>✅ Standard verified</t>
        </is>
      </c>
      <c r="G49" t="n">
        <v>14.8</v>
      </c>
      <c r="H49" t="inlineStr">
        <is>
          <t>COCO-O_mAP=14.8 | COCO_mAP=33.7 | EffRob=-0.37</t>
        </is>
      </c>
      <c r="K49" t="inlineStr">
        <is>
          <t>✅ Standard verified (COCO-O ICCV23 arXiv 2307.12730 Table 7): COCO-O mAP=14.8, clean COCO=33.7, Effective Robustness=-0.37</t>
        </is>
      </c>
      <c r="L49" t="inlineStr">
        <is>
          <t>https://arxiv.org/abs/2307.12730</t>
        </is>
      </c>
    </row>
    <row r="50">
      <c r="A50" t="inlineStr">
        <is>
          <t>Robustness OD</t>
        </is>
      </c>
      <c r="B50" t="inlineStr">
        <is>
          <t>SSD (VGG16)</t>
        </is>
      </c>
      <c r="F50" t="inlineStr">
        <is>
          <t>✅ Standard verified</t>
        </is>
      </c>
      <c r="G50" t="n">
        <v>13.6</v>
      </c>
      <c r="H50" t="inlineStr">
        <is>
          <t>COCO-O_mAP=13.6 | COCO_mAP=29.5 | EffRob=+0.36</t>
        </is>
      </c>
      <c r="K50" t="inlineStr">
        <is>
          <t>✅ Standard verified (COCO-O ICCV23 arXiv 2307.12730 Table 7): COCO-O mAP=13.6, clean COCO=29.5, Effective Robustness=+0.36</t>
        </is>
      </c>
      <c r="L50" t="inlineStr">
        <is>
          <t>https://arxiv.org/abs/2307.12730</t>
        </is>
      </c>
    </row>
  </sheetData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2026-05-30T16:25:31Z</dcterms:modified>
  <cp:lastModifiedBy>Bill Chuang</cp:lastModifiedBy>
</cp:coreProperties>
</file>