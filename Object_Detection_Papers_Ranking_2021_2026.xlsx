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Relationship Type="http://schemas.openxmlformats.org/officeDocument/2006/relationships/hyperlink" Target="https://docs.ultralytics.com/models/yolo26/" TargetMode="External" Id="rId30"/><Relationship Type="http://schemas.openxmlformats.org/officeDocument/2006/relationships/hyperlink" Target="https://docs.ultralytics.com/models/yolo26/" TargetMode="External" Id="rId31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docs.ultralytics.com/models/yolo26/" TargetMode="External" Id="rId25"/><Relationship Type="http://schemas.openxmlformats.org/officeDocument/2006/relationships/hyperlink" Target="https://docs.ultralytics.com/models/yolo26/" TargetMode="External" Id="rId26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Relationship Type="http://schemas.openxmlformats.org/officeDocument/2006/relationships/hyperlink" Target="https://arxiv.org/abs/2205.15469" TargetMode="External" Id="rId3"/><Relationship Type="http://schemas.openxmlformats.org/officeDocument/2006/relationships/hyperlink" Target="https://arxiv.org/abs/2205.15469" TargetMode="External" Id="rId4"/><Relationship Type="http://schemas.openxmlformats.org/officeDocument/2006/relationships/hyperlink" Target="https://arxiv.org/abs/2205.15469" TargetMode="External" Id="rId5"/><Relationship Type="http://schemas.openxmlformats.org/officeDocument/2006/relationships/hyperlink" Target="https://arxiv.org/abs/2205.15469" TargetMode="External" Id="rId6"/><Relationship Type="http://schemas.openxmlformats.org/officeDocument/2006/relationships/hyperlink" Target="https://arxiv.org/abs/2205.15469" TargetMode="External" Id="rId7"/><Relationship Type="http://schemas.openxmlformats.org/officeDocument/2006/relationships/hyperlink" Target="https://arxiv.org/abs/2205.15469" TargetMode="External" Id="rId8"/><Relationship Type="http://schemas.openxmlformats.org/officeDocument/2006/relationships/hyperlink" Target="https://arxiv.org/abs/2205.15469" TargetMode="External" Id="rId9"/><Relationship Type="http://schemas.openxmlformats.org/officeDocument/2006/relationships/hyperlink" Target="https://arxiv.org/abs/2205.15469" TargetMode="External" Id="rId10"/><Relationship Type="http://schemas.openxmlformats.org/officeDocument/2006/relationships/hyperlink" Target="https://arxiv.org/abs/2205.15469" TargetMode="External" Id="rId11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Relationship Type="http://schemas.openxmlformats.org/officeDocument/2006/relationships/hyperlink" Target="https://arxiv.org/abs/2303.14816" TargetMode="External" Id="rId8"/><Relationship Type="http://schemas.openxmlformats.org/officeDocument/2006/relationships/hyperlink" Target="https://arxiv.org/abs/2303.14816" TargetMode="External" Id="rId9"/><Relationship Type="http://schemas.openxmlformats.org/officeDocument/2006/relationships/hyperlink" Target="https://arxiv.org/abs/2303.14816" TargetMode="External" Id="rId10"/><Relationship Type="http://schemas.openxmlformats.org/officeDocument/2006/relationships/hyperlink" Target="https://arxiv.org/abs/2303.14816" TargetMode="External" Id="rId11"/><Relationship Type="http://schemas.openxmlformats.org/officeDocument/2006/relationships/hyperlink" Target="https://arxiv.org/abs/2303.14816" TargetMode="External" Id="rId12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✅ Cross-paper verified (official Ultralytics YOLO26 docs): COCO val2017 mAP50-95=55.0 (YOLO26l, 24.8M, T4-TRT 6.2ms)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✅ Cross-paper verified (official Ultralytics YOLO26 docs): COCO val2017 mAP50-95=40.9 (YOLO26n, 2.4M, T4-TRT 1.7ms)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  <row r="37">
      <c r="A37" t="inlineStr">
        <is>
          <t>Open-World OD</t>
        </is>
      </c>
      <c r="B37">
        <f>HYPERLINK("#'Open-World OD'!A1","Open-World OD")</f>
        <v/>
      </c>
      <c r="C37" t="inlineStr">
        <is>
          <t>U-Recall (unknown) / mAP (known) — M-OWODB</t>
        </is>
      </c>
    </row>
    <row r="38">
      <c r="A38" t="inlineStr">
        <is>
          <t>3D-BEV OD</t>
        </is>
      </c>
      <c r="B38">
        <f>HYPERLINK("#'3D-BEV OD'!A1","3D-BEV OD")</f>
        <v/>
      </c>
      <c r="C38" t="inlineStr">
        <is>
          <t>3D AP (dataset-specific: CA-1M/KITTI/ScanNet)</t>
        </is>
      </c>
    </row>
    <row r="39">
      <c r="A39" t="inlineStr">
        <is>
          <t>Tiny-Object OD</t>
        </is>
      </c>
      <c r="B39">
        <f>HYPERLINK("#'Tiny-Object OD'!A1","Tiny-Object OD")</f>
        <v/>
      </c>
      <c r="C39" t="inlineStr">
        <is>
          <t>AP (tiny: AI-TOD / DOTA / remote-sensing)</t>
        </is>
      </c>
    </row>
    <row r="40">
      <c r="A40" t="inlineStr">
        <is>
          <t>Domain-Robust OD</t>
        </is>
      </c>
      <c r="B40">
        <f>HYPERLINK("#'Domain-Robust OD'!A1","Domain-Robust OD")</f>
        <v/>
      </c>
      <c r="C40" t="inlineStr">
        <is>
          <t>mAP / mAP50 / S-measure (dataset-specific; NOT a unified ranking)</t>
        </is>
      </c>
    </row>
    <row r="41">
      <c r="A41" t="inlineStr">
        <is>
          <t>Incremental OD</t>
        </is>
      </c>
      <c r="B41">
        <f>HYPERLINK("#'Incremental OD'!A1","Incremental OD")</f>
        <v/>
      </c>
      <c r="C41" t="inlineStr">
        <is>
          <t>VOC mAP@0.5 / COCO AP (dataset-specific; NOT a unified ranking)</t>
        </is>
      </c>
    </row>
    <row r="42">
      <c r="A42" t="inlineStr">
        <is>
          <t>Open-Vocabulary OD</t>
        </is>
      </c>
      <c r="B42">
        <f>HYPERLINK("#'Open-Vocabulary OD'!A1","Open-Vocabulary OD")</f>
        <v/>
      </c>
      <c r="C42" t="inlineStr">
        <is>
          <t>Novel AP / APr</t>
        </is>
      </c>
    </row>
    <row r="43">
      <c r="A43" t="inlineStr">
        <is>
          <t>Oriented-RS OD</t>
        </is>
      </c>
      <c r="B43">
        <f>HYPERLINK("#'Oriented-RS OD'!A1","Oriented-RS OD")</f>
        <v/>
      </c>
      <c r="C43" t="inlineStr">
        <is>
          <t>Oriented mAP</t>
        </is>
      </c>
    </row>
    <row r="44">
      <c r="A44" t="inlineStr">
        <is>
          <t>Referring OD</t>
        </is>
      </c>
      <c r="B44">
        <f>HYPERLINK("#'Referring OD'!A1","Referring OD")</f>
        <v/>
      </c>
      <c r="C44" t="inlineStr">
        <is>
          <t>Acc@0.5</t>
        </is>
      </c>
    </row>
    <row r="45">
      <c r="A45" t="inlineStr">
        <is>
          <t>Security-Robustness OD</t>
        </is>
      </c>
      <c r="B45">
        <f>HYPERLINK("#'Security-Robustness OD'!A1","Security-Robustness OD")</f>
        <v/>
      </c>
      <c r="C45" t="inlineStr">
        <is>
          <t>robust AP / F1·AUROC</t>
        </is>
      </c>
    </row>
    <row r="46">
      <c r="A46" t="inlineStr">
        <is>
          <t>Co-SOD &amp; Ranking</t>
        </is>
      </c>
      <c r="B46">
        <f>HYPERLINK("#'Co-SOD &amp; Ranking'!A1","Co-SOD &amp; Ranking")</f>
        <v/>
      </c>
      <c r="C46" t="inlineStr">
        <is>
          <t>S-measure / SA-SOR</t>
        </is>
      </c>
    </row>
    <row r="47">
      <c r="A47" t="inlineStr">
        <is>
          <t>CD-FSOD</t>
        </is>
      </c>
      <c r="B47">
        <f>HYPERLINK("#'CD-FSOD'!A1","CD-FSOD")</f>
        <v/>
      </c>
      <c r="C47" t="inlineStr">
        <is>
          <t>CD-FSOD novel AP</t>
        </is>
      </c>
    </row>
    <row r="48">
      <c r="A48" t="inlineStr">
        <is>
          <t>Event-Camera OD</t>
        </is>
      </c>
      <c r="B48">
        <f>HYPERLINK("#'Event-Camera OD'!A1","Event-Camera OD")</f>
        <v/>
      </c>
      <c r="C48" t="inlineStr">
        <is>
          <t>mAP (event Gen1/1Mpx)</t>
        </is>
      </c>
    </row>
    <row r="49">
      <c r="A49" t="inlineStr">
        <is>
          <t>Thermal-Multispectral OD</t>
        </is>
      </c>
      <c r="B49">
        <f>HYPERLINK("#'Thermal-Multispectral OD'!A1","Thermal-Multispectral OD")</f>
        <v/>
      </c>
      <c r="C49" t="inlineStr">
        <is>
          <t>mAP / mAP50 (thermal)</t>
        </is>
      </c>
    </row>
    <row r="50">
      <c r="A50" t="inlineStr">
        <is>
          <t>Camouflaged OD</t>
        </is>
      </c>
      <c r="B50">
        <f>HYPERLINK("#'Camouflaged OD'!A1","Camouflaged OD")</f>
        <v/>
      </c>
      <c r="C50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  <row r="43">
      <c r="A43" t="inlineStr">
        <is>
          <t>Real-Time OD</t>
        </is>
      </c>
      <c r="B43" t="inlineStr">
        <is>
          <t>YOLO26x</t>
        </is>
      </c>
      <c r="F43" t="inlineStr">
        <is>
          <t>✅ Cross-paper verified</t>
        </is>
      </c>
      <c r="G43" t="n">
        <v>57.5</v>
      </c>
      <c r="H43" t="inlineStr">
        <is>
          <t>AP=57.5 | AP_e2e=56.9</t>
        </is>
      </c>
      <c r="I43" t="n">
        <v>85</v>
      </c>
      <c r="J43" t="inlineStr">
        <is>
          <t>55.7M</t>
        </is>
      </c>
      <c r="K43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3" t="inlineStr">
        <is>
          <t>https://docs.ultralytics.com/models/yolo26/</t>
        </is>
      </c>
    </row>
    <row r="44">
      <c r="A44" t="inlineStr">
        <is>
          <t>Real-Time OD</t>
        </is>
      </c>
      <c r="B44" t="inlineStr">
        <is>
          <t>YOLO26l</t>
        </is>
      </c>
      <c r="F44" t="inlineStr">
        <is>
          <t>✅ Cross-paper verified</t>
        </is>
      </c>
      <c r="G44" t="n">
        <v>55</v>
      </c>
      <c r="H44" t="inlineStr">
        <is>
          <t>AP=55.0 | AP_e2e=54.4</t>
        </is>
      </c>
      <c r="I44" t="n">
        <v>161</v>
      </c>
      <c r="J44" t="inlineStr">
        <is>
          <t>24.8M</t>
        </is>
      </c>
      <c r="K44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4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  <row r="56">
      <c r="A56" t="inlineStr">
        <is>
          <t>Real-Time OD</t>
        </is>
      </c>
      <c r="B56" t="inlineStr">
        <is>
          <t>YOLO26x</t>
        </is>
      </c>
      <c r="F56" t="inlineStr">
        <is>
          <t>✅ Cross-paper verified</t>
        </is>
      </c>
      <c r="G56" t="n">
        <v>57.5</v>
      </c>
      <c r="H56" t="inlineStr">
        <is>
          <t>AP=57.5 | AP_e2e=56.9</t>
        </is>
      </c>
      <c r="I56" t="n">
        <v>85</v>
      </c>
      <c r="J56" t="inlineStr">
        <is>
          <t>55.7M</t>
        </is>
      </c>
      <c r="K56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6" t="inlineStr">
        <is>
          <t>https://docs.ultralytics.com/models/yolo26/</t>
        </is>
      </c>
    </row>
    <row r="57">
      <c r="A57" t="inlineStr">
        <is>
          <t>Real-Time OD</t>
        </is>
      </c>
      <c r="B57" t="inlineStr">
        <is>
          <t>YOLO26l</t>
        </is>
      </c>
      <c r="F57" t="inlineStr">
        <is>
          <t>✅ Cross-paper verified</t>
        </is>
      </c>
      <c r="G57" t="n">
        <v>55</v>
      </c>
      <c r="H57" t="inlineStr">
        <is>
          <t>AP=55.0 | AP_e2e=54.4</t>
        </is>
      </c>
      <c r="I57" t="n">
        <v>161</v>
      </c>
      <c r="J57" t="inlineStr">
        <is>
          <t>24.8M</t>
        </is>
      </c>
      <c r="K57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7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  <hyperlink xmlns:r="http://schemas.openxmlformats.org/officeDocument/2006/relationships" ref="L56" r:id="rId25"/>
    <hyperlink xmlns:r="http://schemas.openxmlformats.org/officeDocument/2006/relationships" ref="L57" r:id="rId2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/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0.9379999999999999</v>
      </c>
      <c r="H4" t="inlineStr">
        <is>
          <t>Sα 0.938 / MAE 0.020 (HRSOD S-measure, PGNet T1)</t>
        </is>
      </c>
      <c r="K4" t="inlineStr">
        <is>
          <t>✅ Standard verified — HRSOD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DHQSOD</t>
        </is>
      </c>
      <c r="E5" t="inlineStr">
        <is>
          <t>2021</t>
        </is>
      </c>
      <c r="F5" t="inlineStr">
        <is>
          <t>✅ Cross-paper verified</t>
        </is>
      </c>
      <c r="G5" t="n">
        <v>0.92</v>
      </c>
      <c r="H5" t="inlineStr">
        <is>
          <t>Sα 0.920 / MAE 0.022 (HRSOD S-measure, PGNet T1)</t>
        </is>
      </c>
      <c r="K5" t="inlineStr">
        <is>
          <t>✅ Cross-paper verified — HRSOD S-measure reported in PGNet CVPR22 (arXiv 2204.05041) Table 1; original method DHQSOD (2021).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0.906</v>
      </c>
      <c r="H6" t="inlineStr">
        <is>
          <t>Sα 0.906 / MAE 0.033 (HRSOD S-measure, PGNet T1)</t>
        </is>
      </c>
      <c r="K6" t="inlineStr">
        <is>
          <t>✅ Cross-paper verified — HRSOD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0.905</v>
      </c>
      <c r="H7" t="inlineStr">
        <is>
          <t>Sα 0.905 / MAE 0.032 (HRSOD S-measure, PGNet T1)</t>
        </is>
      </c>
      <c r="K7" t="inlineStr">
        <is>
          <t>✅ Cross-paper verified — HRSOD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CTDNet</t>
        </is>
      </c>
      <c r="E8" t="inlineStr">
        <is>
          <t>2021</t>
        </is>
      </c>
      <c r="F8" t="inlineStr">
        <is>
          <t>✅ Cross-paper verified</t>
        </is>
      </c>
      <c r="G8" t="n">
        <v>0.905</v>
      </c>
      <c r="H8" t="inlineStr">
        <is>
          <t>Sα 0.905 / MAE 0.032 (HRSOD S-measure, PGNet T1)</t>
        </is>
      </c>
      <c r="K8" t="inlineStr">
        <is>
          <t>✅ Cross-paper verified — HRSOD S-measure reported in PGNet CVPR22 (arXiv 2204.05041) Table 1; original method CTDNet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GCPANet</t>
        </is>
      </c>
      <c r="E9" t="inlineStr">
        <is>
          <t>2020</t>
        </is>
      </c>
      <c r="F9" t="inlineStr">
        <is>
          <t>✅ Cross-paper verified</t>
        </is>
      </c>
      <c r="G9" t="n">
        <v>0.898</v>
      </c>
      <c r="H9" t="inlineStr">
        <is>
          <t>Sα 0.898 / MAE 0.036 (HRSOD S-measure, PGNet T1)</t>
        </is>
      </c>
      <c r="K9" t="inlineStr">
        <is>
          <t>✅ Cross-paper verified — HRSOD S-measure reported in PGNet CVPR22 (arXiv 2204.05041) Table 1; original method GCPANet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ITSD</t>
        </is>
      </c>
      <c r="E10" t="inlineStr">
        <is>
          <t>2020</t>
        </is>
      </c>
      <c r="F10" t="inlineStr">
        <is>
          <t>✅ Cross-paper verified</t>
        </is>
      </c>
      <c r="G10" t="n">
        <v>0.898</v>
      </c>
      <c r="H10" t="inlineStr">
        <is>
          <t>Sα 0.898 / MAE 0.036 (HRSOD S-measure, PGNet T1)</t>
        </is>
      </c>
      <c r="K10" t="inlineStr">
        <is>
          <t>✅ Cross-paper verified — HRSOD S-measure reported in PGNet CVPR22 (arXiv 2204.05041) Table 1; original method ITSD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DASNet</t>
        </is>
      </c>
      <c r="E11" t="inlineStr">
        <is>
          <t>2020</t>
        </is>
      </c>
      <c r="F11" t="inlineStr">
        <is>
          <t>✅ Cross-paper verified</t>
        </is>
      </c>
      <c r="G11" t="n">
        <v>0.897</v>
      </c>
      <c r="H11" t="inlineStr">
        <is>
          <t>Sα 0.897 / MAE 0.032 (HRSOD S-measure, PGNet T1)</t>
        </is>
      </c>
      <c r="K11" t="inlineStr">
        <is>
          <t>✅ Cross-paper verified — HRSOD S-measure reported in PGNet CVPR22 (arXiv 2204.05041) Table 1; original method DASNet (2020).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F3Net</t>
        </is>
      </c>
      <c r="E12" t="inlineStr">
        <is>
          <t>2020</t>
        </is>
      </c>
      <c r="F12" t="inlineStr">
        <is>
          <t>✅ Cross-paper verified</t>
        </is>
      </c>
      <c r="G12" t="n">
        <v>0.897</v>
      </c>
      <c r="H12" t="inlineStr">
        <is>
          <t>Sα 0.897 / MAE 0.035 (HRSOD S-measure, PGNet T1)</t>
        </is>
      </c>
      <c r="K12" t="inlineStr">
        <is>
          <t>✅ Cross-paper verified — HRSOD S-measure reported in PGNet CVPR22 (arXiv 2204.05041) Table 1; original method F3Net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0.954</v>
      </c>
      <c r="H4" t="inlineStr">
        <is>
          <t>Sα 0.954 / MAE 0.010 (DAVIS-S S-measure, PGNet T1)</t>
        </is>
      </c>
      <c r="K4" t="inlineStr">
        <is>
          <t>✅ Standard verified — DAVIS-S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GCPANet</t>
        </is>
      </c>
      <c r="E5" t="inlineStr">
        <is>
          <t>2020</t>
        </is>
      </c>
      <c r="F5" t="inlineStr">
        <is>
          <t>✅ Cross-paper verified</t>
        </is>
      </c>
      <c r="G5" t="n">
        <v>0.929</v>
      </c>
      <c r="H5" t="inlineStr">
        <is>
          <t>Sα 0.929 / MAE 0.020 (DAVIS-S S-measure, PGNet T1)</t>
        </is>
      </c>
      <c r="K5" t="inlineStr">
        <is>
          <t>✅ Cross-paper verified — DAVIS-S S-measure reported in PGNet CVPR22 (arXiv 2204.05041) Table 1; original method GCPANet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0.923</v>
      </c>
      <c r="H6" t="inlineStr">
        <is>
          <t>Sα 0.923 / MAE 0.019 (DAVIS-S S-measure, PGNet T1)</t>
        </is>
      </c>
      <c r="K6" t="inlineStr">
        <is>
          <t>✅ Cross-paper verified — DAVIS-S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0.922</v>
      </c>
      <c r="H7" t="inlineStr">
        <is>
          <t>Sα 0.922 / MAE 0.019 (DAVIS-S S-measure, PGNet T1)</t>
        </is>
      </c>
      <c r="K7" t="inlineStr">
        <is>
          <t>✅ Cross-paper verified — DAVIS-S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DHQSOD</t>
        </is>
      </c>
      <c r="E8" t="inlineStr">
        <is>
          <t>2021</t>
        </is>
      </c>
      <c r="F8" t="inlineStr">
        <is>
          <t>✅ Cross-paper verified</t>
        </is>
      </c>
      <c r="G8" t="n">
        <v>0.92</v>
      </c>
      <c r="H8" t="inlineStr">
        <is>
          <t>Sα 0.920 / MAE 0.012 (DAVIS-S S-measure, PGNet T1)</t>
        </is>
      </c>
      <c r="K8" t="inlineStr">
        <is>
          <t>✅ Cross-paper verified — DAVIS-S S-measure reported in PGNet CVPR22 (arXiv 2204.05041) Table 1; original method DHQSOD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0.914</v>
      </c>
      <c r="H9" t="inlineStr">
        <is>
          <t>Sα 0.914 / MAE 0.020 (DAVIS-S S-measure, PGNet T1)</t>
        </is>
      </c>
      <c r="K9" t="inlineStr">
        <is>
          <t>✅ Cross-paper verified — DAVIS-S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0.911</v>
      </c>
      <c r="H10" t="inlineStr">
        <is>
          <t>Sα 0.911 / MAE 0.020 (DAVIS-S S-measure, PGNet T1)</t>
        </is>
      </c>
      <c r="K10" t="inlineStr">
        <is>
          <t>✅ Cross-paper verified — DAVIS-S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CTDNet</t>
        </is>
      </c>
      <c r="E11" t="inlineStr">
        <is>
          <t>2021</t>
        </is>
      </c>
      <c r="F11" t="inlineStr">
        <is>
          <t>✅ Cross-paper verified</t>
        </is>
      </c>
      <c r="G11" t="n">
        <v>0.911</v>
      </c>
      <c r="H11" t="inlineStr">
        <is>
          <t>Sα 0.911 / MAE 0.019 (DAVIS-S S-measure, PGNet T1)</t>
        </is>
      </c>
      <c r="K11" t="inlineStr">
        <is>
          <t>✅ Cross-paper verified — DAVIS-S S-measure reported in PGNet CVPR22 (arXiv 2204.05041) Table 1; original method CTDNet (2021).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ITSD</t>
        </is>
      </c>
      <c r="E12" t="inlineStr">
        <is>
          <t>2020</t>
        </is>
      </c>
      <c r="F12" t="inlineStr">
        <is>
          <t>✅ Cross-paper verified</t>
        </is>
      </c>
      <c r="G12" t="n">
        <v>0.909</v>
      </c>
      <c r="H12" t="inlineStr">
        <is>
          <t>Sα 0.909 / MAE 0.022 (DAVIS-S S-measure, PGNet T1)</t>
        </is>
      </c>
      <c r="K12" t="inlineStr">
        <is>
          <t>✅ Cross-paper verified — DAVIS-S S-measure reported in PGNet CVPR22 (arXiv 2204.05041) Table 1; original method ITSD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0.9350000000000001</v>
      </c>
      <c r="H4" t="inlineStr">
        <is>
          <t>Sα 0.935 / MAE 0.026 (UHRSD S-measure, PGNet T1)</t>
        </is>
      </c>
      <c r="K4" t="inlineStr">
        <is>
          <t>✅ Standard verified — UHRSD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ITSD</t>
        </is>
      </c>
      <c r="E5" t="inlineStr">
        <is>
          <t>2020</t>
        </is>
      </c>
      <c r="F5" t="inlineStr">
        <is>
          <t>✅ Cross-paper verified</t>
        </is>
      </c>
      <c r="G5" t="n">
        <v>0.897</v>
      </c>
      <c r="H5" t="inlineStr">
        <is>
          <t>Sα 0.897 / MAE 0.045 (UHRSD S-measure, PGNet T1)</t>
        </is>
      </c>
      <c r="K5" t="inlineStr">
        <is>
          <t>✅ Cross-paper verified — UHRSD S-measure reported in PGNet CVPR22 (arXiv 2204.05041) Table 1; original method ITSD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CTDNet</t>
        </is>
      </c>
      <c r="E6" t="inlineStr">
        <is>
          <t>2021</t>
        </is>
      </c>
      <c r="F6" t="inlineStr">
        <is>
          <t>✅ Cross-paper verified</t>
        </is>
      </c>
      <c r="G6" t="n">
        <v>0.897</v>
      </c>
      <c r="H6" t="inlineStr">
        <is>
          <t>Sα 0.897 / MAE 0.043 (UHRSD S-measure, PGNet T1)</t>
        </is>
      </c>
      <c r="K6" t="inlineStr">
        <is>
          <t>✅ Cross-paper verified — UHRSD S-measure reported in PGNet CVPR22 (arXiv 2204.05041) Table 1; original method CTDNet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PFSNet</t>
        </is>
      </c>
      <c r="E7" t="inlineStr">
        <is>
          <t>2021</t>
        </is>
      </c>
      <c r="F7" t="inlineStr">
        <is>
          <t>✅ Cross-paper verified</t>
        </is>
      </c>
      <c r="G7" t="n">
        <v>0.897</v>
      </c>
      <c r="H7" t="inlineStr">
        <is>
          <t>Sα 0.897 / MAE 0.043 (UHRSD S-measure, PGNet T1)</t>
        </is>
      </c>
      <c r="K7" t="inlineStr">
        <is>
          <t>✅ Cross-paper verified — UHRSD S-measure reported in PGNet CVPR22 (arXiv 2204.05041) Table 1; original method PFSNet (2021).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GCPANet</t>
        </is>
      </c>
      <c r="E8" t="inlineStr">
        <is>
          <t>2020</t>
        </is>
      </c>
      <c r="F8" t="inlineStr">
        <is>
          <t>✅ Cross-paper verified</t>
        </is>
      </c>
      <c r="G8" t="n">
        <v>0.896</v>
      </c>
      <c r="H8" t="inlineStr">
        <is>
          <t>Sα 0.896 / MAE 0.047 (UHRSD S-measure, PGNet T1)</t>
        </is>
      </c>
      <c r="K8" t="inlineStr">
        <is>
          <t>✅ Cross-paper verified — UHRSD S-measure reported in PGNet CVPR22 (arXiv 2204.05041) Table 1; original method GCPANet (2020).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0.89</v>
      </c>
      <c r="H9" t="inlineStr">
        <is>
          <t>Sα 0.890 / MAE 0.046 (UHRSD S-measure, PGNet T1)</t>
        </is>
      </c>
      <c r="K9" t="inlineStr">
        <is>
          <t>✅ Cross-paper verified — UHRSD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0.889</v>
      </c>
      <c r="H10" t="inlineStr">
        <is>
          <t>Sα 0.889 / MAE 0.045 (UHRSD S-measure, PGNet T1)</t>
        </is>
      </c>
      <c r="K10" t="inlineStr">
        <is>
          <t>✅ Cross-paper verified — UHRSD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LDF</t>
        </is>
      </c>
      <c r="E11" t="inlineStr">
        <is>
          <t>2020</t>
        </is>
      </c>
      <c r="F11" t="inlineStr">
        <is>
          <t>✅ Cross-paper verified</t>
        </is>
      </c>
      <c r="G11" t="n">
        <v>0.888</v>
      </c>
      <c r="H11" t="inlineStr">
        <is>
          <t>Sα 0.888 / MAE 0.047 (UHRSD S-measure, PGNet T1)</t>
        </is>
      </c>
      <c r="K11" t="inlineStr">
        <is>
          <t>✅ Cross-paper verified — UHRSD S-measure reported in PGNet CVPR22 (arXiv 2204.05041) Table 1; original method LDF (2020).</t>
        </is>
      </c>
      <c r="L11" t="inlineStr">
        <is>
          <t>https://arxiv.org/abs/2204.05041</t>
        </is>
      </c>
    </row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  <row r="4">
      <c r="A4" t="inlineStr">
        <is>
          <t>Co-SOD &amp; Ranking</t>
        </is>
      </c>
      <c r="B4" t="inlineStr">
        <is>
          <t>GCoNet+</t>
        </is>
      </c>
      <c r="E4" t="inlineStr">
        <is>
          <t>2023</t>
        </is>
      </c>
      <c r="F4" t="inlineStr">
        <is>
          <t>✅ Standard verified</t>
        </is>
      </c>
      <c r="G4" t="n">
        <v>0.843</v>
      </c>
      <c r="H4" t="inlineStr">
        <is>
          <t>CoSOD3k_Sm=0.843 | CoCA_Sm=0.738 | CoSal2015_Sm=0.881</t>
        </is>
      </c>
      <c r="K4" t="inlineStr">
        <is>
          <t>✅ Standard verified — co-SOD, GCoNet+ TPAMI23 (arXiv 2205.15469) Table 3; CoSOD3k S-measure=0.843.</t>
        </is>
      </c>
      <c r="L4" t="inlineStr">
        <is>
          <t>https://arxiv.org/abs/2205.15469</t>
        </is>
      </c>
    </row>
    <row r="5">
      <c r="A5" t="inlineStr">
        <is>
          <t>Co-SOD &amp; Ranking</t>
        </is>
      </c>
      <c r="B5" t="inlineStr">
        <is>
          <t>CoADNet</t>
        </is>
      </c>
      <c r="E5" t="inlineStr">
        <is>
          <t>2020</t>
        </is>
      </c>
      <c r="F5" t="inlineStr">
        <is>
          <t>✅ Cross-paper verified</t>
        </is>
      </c>
      <c r="G5" t="n">
        <v>0.824</v>
      </c>
      <c r="H5" t="inlineStr">
        <is>
          <t>CoSOD3k_Sm=0.824 | CoSal2015_Sm=0.824</t>
        </is>
      </c>
      <c r="K5" t="inlineStr">
        <is>
          <t>✅ Cross-paper verified — co-SOD CoSOD3k S-measure=0.824 reported in GCoNet+ TPAMI23 Table 3; original method CoADNet (2020).</t>
        </is>
      </c>
      <c r="L5" t="inlineStr">
        <is>
          <t>https://arxiv.org/abs/2205.15469</t>
        </is>
      </c>
    </row>
    <row r="6">
      <c r="A6" t="inlineStr">
        <is>
          <t>Co-SOD &amp; Ranking</t>
        </is>
      </c>
      <c r="B6" t="inlineStr">
        <is>
          <t>UFO</t>
        </is>
      </c>
      <c r="E6" t="inlineStr">
        <is>
          <t>2022</t>
        </is>
      </c>
      <c r="F6" t="inlineStr">
        <is>
          <t>✅ Cross-paper verified</t>
        </is>
      </c>
      <c r="G6" t="n">
        <v>0.819</v>
      </c>
      <c r="H6" t="inlineStr">
        <is>
          <t>CoSOD3k_Sm=0.819 | CoCA_Sm=0.697 | CoSal2015_Sm=0.860</t>
        </is>
      </c>
      <c r="K6" t="inlineStr">
        <is>
          <t>✅ Cross-paper verified — co-SOD CoSOD3k S-measure=0.819 reported in GCoNet+ TPAMI23 Table 3; original method UFO (2022).</t>
        </is>
      </c>
      <c r="L6" t="inlineStr">
        <is>
          <t>https://arxiv.org/abs/2205.15469</t>
        </is>
      </c>
    </row>
    <row r="7">
      <c r="A7" t="inlineStr">
        <is>
          <t>Co-SOD &amp; Ranking</t>
        </is>
      </c>
      <c r="B7" t="inlineStr">
        <is>
          <t>DCFM</t>
        </is>
      </c>
      <c r="E7" t="inlineStr">
        <is>
          <t>2022</t>
        </is>
      </c>
      <c r="F7" t="inlineStr">
        <is>
          <t>✅ Cross-paper verified</t>
        </is>
      </c>
      <c r="G7" t="n">
        <v>0.8100000000000001</v>
      </c>
      <c r="H7" t="inlineStr">
        <is>
          <t>CoSOD3k_Sm=0.810 | CoCA_Sm=0.710 | CoSal2015_Sm=0.838</t>
        </is>
      </c>
      <c r="K7" t="inlineStr">
        <is>
          <t>✅ Cross-paper verified — co-SOD CoSOD3k S-measure=0.810 reported in GCoNet+ TPAMI23 Table 3; original method DCFM (2022).</t>
        </is>
      </c>
      <c r="L7" t="inlineStr">
        <is>
          <t>https://arxiv.org/abs/2205.15469</t>
        </is>
      </c>
    </row>
    <row r="8">
      <c r="A8" t="inlineStr">
        <is>
          <t>Co-SOD &amp; Ranking</t>
        </is>
      </c>
      <c r="B8" t="inlineStr">
        <is>
          <t>GCoNet</t>
        </is>
      </c>
      <c r="E8" t="inlineStr">
        <is>
          <t>2021</t>
        </is>
      </c>
      <c r="F8" t="inlineStr">
        <is>
          <t>✅ Cross-paper verified</t>
        </is>
      </c>
      <c r="G8" t="n">
        <v>0.802</v>
      </c>
      <c r="H8" t="inlineStr">
        <is>
          <t>CoSOD3k_Sm=0.802 | CoCA_Sm=0.673 | CoSal2015_Sm=0.845</t>
        </is>
      </c>
      <c r="K8" t="inlineStr">
        <is>
          <t>✅ Cross-paper verified — co-SOD CoSOD3k S-measure=0.802 reported in GCoNet+ TPAMI23 Table 3; original method GCoNet (2021).</t>
        </is>
      </c>
      <c r="L8" t="inlineStr">
        <is>
          <t>https://arxiv.org/abs/2205.15469</t>
        </is>
      </c>
    </row>
    <row r="9">
      <c r="A9" t="inlineStr">
        <is>
          <t>Co-SOD &amp; Ranking</t>
        </is>
      </c>
      <c r="B9" t="inlineStr">
        <is>
          <t>CADC</t>
        </is>
      </c>
      <c r="E9" t="inlineStr">
        <is>
          <t>2021</t>
        </is>
      </c>
      <c r="F9" t="inlineStr">
        <is>
          <t>✅ Cross-paper verified</t>
        </is>
      </c>
      <c r="G9" t="n">
        <v>0.801</v>
      </c>
      <c r="H9" t="inlineStr">
        <is>
          <t>CoSOD3k_Sm=0.801 | CoCA_Sm=0.681 | CoSal2015_Sm=0.866</t>
        </is>
      </c>
      <c r="K9" t="inlineStr">
        <is>
          <t>✅ Cross-paper verified — co-SOD CoSOD3k S-measure=0.801 reported in GCoNet+ TPAMI23 Table 3; original method CADC (2021).</t>
        </is>
      </c>
      <c r="L9" t="inlineStr">
        <is>
          <t>https://arxiv.org/abs/2205.15469</t>
        </is>
      </c>
    </row>
    <row r="10">
      <c r="A10" t="inlineStr">
        <is>
          <t>Co-SOD &amp; Ranking</t>
        </is>
      </c>
      <c r="B10" t="inlineStr">
        <is>
          <t>GICD</t>
        </is>
      </c>
      <c r="E10" t="inlineStr">
        <is>
          <t>2020</t>
        </is>
      </c>
      <c r="F10" t="inlineStr">
        <is>
          <t>✅ Cross-paper verified</t>
        </is>
      </c>
      <c r="G10" t="n">
        <v>0.797</v>
      </c>
      <c r="H10" t="inlineStr">
        <is>
          <t>CoSOD3k_Sm=0.797 | CoCA_Sm=0.658 | CoSal2015_Sm=0.844</t>
        </is>
      </c>
      <c r="K10" t="inlineStr">
        <is>
          <t>✅ Cross-paper verified — co-SOD CoSOD3k S-measure=0.797 reported in GCoNet+ TPAMI23 Table 3; original method GICD (2020).</t>
        </is>
      </c>
      <c r="L10" t="inlineStr">
        <is>
          <t>https://arxiv.org/abs/2205.15469</t>
        </is>
      </c>
    </row>
    <row r="11">
      <c r="A11" t="inlineStr">
        <is>
          <t>Co-SOD &amp; Ranking</t>
        </is>
      </c>
      <c r="B11" t="inlineStr">
        <is>
          <t>DeepACG</t>
        </is>
      </c>
      <c r="E11" t="inlineStr">
        <is>
          <t>2021</t>
        </is>
      </c>
      <c r="F11" t="inlineStr">
        <is>
          <t>✅ Cross-paper verified</t>
        </is>
      </c>
      <c r="G11" t="n">
        <v>0.792</v>
      </c>
      <c r="H11" t="inlineStr">
        <is>
          <t>CoSOD3k_Sm=0.792 | CoCA_Sm=0.688 | CoSal2015_Sm=0.854</t>
        </is>
      </c>
      <c r="K11" t="inlineStr">
        <is>
          <t>✅ Cross-paper verified — co-SOD CoSOD3k S-measure=0.792 reported in GCoNet+ TPAMI23 Table 3; original method DeepACG (2021).</t>
        </is>
      </c>
      <c r="L11" t="inlineStr">
        <is>
          <t>https://arxiv.org/abs/2205.15469</t>
        </is>
      </c>
    </row>
    <row r="12">
      <c r="A12" t="inlineStr">
        <is>
          <t>Co-SOD &amp; Ranking</t>
        </is>
      </c>
      <c r="B12" t="inlineStr">
        <is>
          <t>GCAGC</t>
        </is>
      </c>
      <c r="E12" t="inlineStr">
        <is>
          <t>2020</t>
        </is>
      </c>
      <c r="F12" t="inlineStr">
        <is>
          <t>✅ Cross-paper verified</t>
        </is>
      </c>
      <c r="G12" t="n">
        <v>0.785</v>
      </c>
      <c r="H12" t="inlineStr">
        <is>
          <t>CoSOD3k_Sm=0.785 | CoCA_Sm=0.669 | CoSal2015_Sm=0.817</t>
        </is>
      </c>
      <c r="K12" t="inlineStr">
        <is>
          <t>✅ Cross-paper verified — co-SOD CoSOD3k S-measure=0.785 reported in GCoNet+ TPAMI23 Table 3; original method GCAGC (2020).</t>
        </is>
      </c>
      <c r="L12" t="inlineStr">
        <is>
          <t>https://arxiv.org/abs/2205.15469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</sheetData>
  <hyperlinks>
    <hyperlink xmlns:r="http://schemas.openxmlformats.org/officeDocument/2006/relationships" ref="L2" r:id="rId1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  <row r="9">
      <c r="A9" t="inlineStr">
        <is>
          <t>Camouflaged OD</t>
        </is>
      </c>
      <c r="B9" t="inlineStr">
        <is>
          <t>FSPNet</t>
        </is>
      </c>
      <c r="E9" t="inlineStr">
        <is>
          <t>2023</t>
        </is>
      </c>
      <c r="F9" t="inlineStr">
        <is>
          <t>✅ Standard verified</t>
        </is>
      </c>
      <c r="G9" t="n">
        <v>0.851</v>
      </c>
      <c r="H9" t="inlineStr">
        <is>
          <t>COD10K_Sm=0.851 | CAMO_Sm=0.856 | NC4K_Sm=0.879 | MAE=0.026</t>
        </is>
      </c>
      <c r="K9" t="inlineStr">
        <is>
          <t>✅ Standard verified — camouflaged OD, FSPNet CVPR23 (arXiv 2303.14816) Table 1; COD10K S-measure=0.851.</t>
        </is>
      </c>
      <c r="L9" t="inlineStr">
        <is>
          <t>https://arxiv.org/abs/2303.14816</t>
        </is>
      </c>
    </row>
    <row r="10">
      <c r="A10" t="inlineStr">
        <is>
          <t>Camouflaged OD</t>
        </is>
      </c>
      <c r="B10" t="inlineStr">
        <is>
          <t>ZoomNet</t>
        </is>
      </c>
      <c r="E10" t="inlineStr">
        <is>
          <t>2022</t>
        </is>
      </c>
      <c r="F10" t="inlineStr">
        <is>
          <t>✅ Cross-paper verified</t>
        </is>
      </c>
      <c r="G10" t="n">
        <v>0.838</v>
      </c>
      <c r="H10" t="inlineStr">
        <is>
          <t>COD10K_Sm=0.838 | CAMO_Sm=0.820 | NC4K_Sm=0.853 | MAE=0.029</t>
        </is>
      </c>
      <c r="K10" t="inlineStr">
        <is>
          <t>✅ Cross-paper verified — COD10K S-measure=0.838 reported in FSPNet CVPR23 Table 1; original method ZoomNet (2022).</t>
        </is>
      </c>
      <c r="L10" t="inlineStr">
        <is>
          <t>https://arxiv.org/abs/2303.14816</t>
        </is>
      </c>
    </row>
    <row r="11">
      <c r="A11" t="inlineStr">
        <is>
          <t>Camouflaged OD</t>
        </is>
      </c>
      <c r="B11" t="inlineStr">
        <is>
          <t>SegMaR</t>
        </is>
      </c>
      <c r="E11" t="inlineStr">
        <is>
          <t>2022</t>
        </is>
      </c>
      <c r="F11" t="inlineStr">
        <is>
          <t>✅ Cross-paper verified</t>
        </is>
      </c>
      <c r="G11" t="n">
        <v>0.833</v>
      </c>
      <c r="H11" t="inlineStr">
        <is>
          <t>COD10K_Sm=0.833 | CAMO_Sm=0.815 | NC4K_Sm=0.841 | MAE=0.034</t>
        </is>
      </c>
      <c r="K11" t="inlineStr">
        <is>
          <t>✅ Cross-paper verified — COD10K S-measure=0.833 reported in FSPNet CVPR23 Table 1; original method SegMaR (2022).</t>
        </is>
      </c>
      <c r="L11" t="inlineStr">
        <is>
          <t>https://arxiv.org/abs/2303.14816</t>
        </is>
      </c>
    </row>
    <row r="12">
      <c r="A12" t="inlineStr">
        <is>
          <t>Camouflaged OD</t>
        </is>
      </c>
      <c r="B12" t="inlineStr">
        <is>
          <t>BGNet</t>
        </is>
      </c>
      <c r="E12" t="inlineStr">
        <is>
          <t>2022</t>
        </is>
      </c>
      <c r="F12" t="inlineStr">
        <is>
          <t>✅ Cross-paper verified</t>
        </is>
      </c>
      <c r="G12" t="n">
        <v>0.831</v>
      </c>
      <c r="H12" t="inlineStr">
        <is>
          <t>COD10K_Sm=0.831 | CAMO_Sm=0.812 | NC4K_Sm=0.851 | MAE=0.033</t>
        </is>
      </c>
      <c r="K12" t="inlineStr">
        <is>
          <t>✅ Cross-paper verified — COD10K S-measure=0.831 reported in FSPNet CVPR23 Table 1; original method BGNet (2022).</t>
        </is>
      </c>
      <c r="L12" t="inlineStr">
        <is>
          <t>https://arxiv.org/abs/2303.14816</t>
        </is>
      </c>
    </row>
    <row r="13">
      <c r="A13" t="inlineStr">
        <is>
          <t>Camouflaged OD</t>
        </is>
      </c>
      <c r="B13" t="inlineStr">
        <is>
          <t>OCE-Net</t>
        </is>
      </c>
      <c r="E13" t="inlineStr">
        <is>
          <t>2022</t>
        </is>
      </c>
      <c r="F13" t="inlineStr">
        <is>
          <t>✅ Cross-paper verified</t>
        </is>
      </c>
      <c r="G13" t="n">
        <v>0.827</v>
      </c>
      <c r="H13" t="inlineStr">
        <is>
          <t>COD10K_Sm=0.827 | CAMO_Sm=0.802 | NC4K_Sm=0.853 | MAE=0.033</t>
        </is>
      </c>
      <c r="K13" t="inlineStr">
        <is>
          <t>✅ Cross-paper verified — COD10K S-measure=0.827 reported in FSPNet CVPR23 Table 1; original method OCE-Net (2022).</t>
        </is>
      </c>
      <c r="L13" t="inlineStr">
        <is>
          <t>https://arxiv.org/abs/2303.14816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2026-05-31T05:35:34Z</dcterms:modified>
  <cp:lastModifiedBy>Bill Chuang</cp:lastModifiedBy>
</cp:coreProperties>
</file>