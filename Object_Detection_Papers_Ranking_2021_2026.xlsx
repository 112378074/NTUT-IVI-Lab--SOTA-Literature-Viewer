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6" yWindow="-96" windowWidth="30912" windowHeight="16752" tabRatio="923" firstSheet="0" activeTab="1" autoFilterDateGrouping="1"/>
  </bookViews>
  <sheets>
    <sheet xmlns:r="http://schemas.openxmlformats.org/officeDocument/2006/relationships" name="OD all papers" sheetId="1" state="visible" r:id="rId1"/>
    <sheet xmlns:r="http://schemas.openxmlformats.org/officeDocument/2006/relationships" name="Index" sheetId="2" state="visible" r:id="rId2"/>
    <sheet xmlns:r="http://schemas.openxmlformats.org/officeDocument/2006/relationships" name="COCO test-dev" sheetId="3" state="visible" r:id="rId3"/>
    <sheet xmlns:r="http://schemas.openxmlformats.org/officeDocument/2006/relationships" name="COCO minival" sheetId="4" state="visible" r:id="rId4"/>
    <sheet xmlns:r="http://schemas.openxmlformats.org/officeDocument/2006/relationships" name="COCO 2017 val" sheetId="5" state="visible" r:id="rId5"/>
    <sheet xmlns:r="http://schemas.openxmlformats.org/officeDocument/2006/relationships" name="COCO 2017" sheetId="6" state="visible" r:id="rId6"/>
    <sheet xmlns:r="http://schemas.openxmlformats.org/officeDocument/2006/relationships" name="COCO-O" sheetId="7" state="visible" r:id="rId7"/>
    <sheet xmlns:r="http://schemas.openxmlformats.org/officeDocument/2006/relationships" name="PASCAL VOC 2007" sheetId="8" state="visible" r:id="rId8"/>
    <sheet xmlns:r="http://schemas.openxmlformats.org/officeDocument/2006/relationships" name="CrowdHuman" sheetId="9" state="visible" r:id="rId9"/>
    <sheet xmlns:r="http://schemas.openxmlformats.org/officeDocument/2006/relationships" name="GraZPEDWRI-DX" sheetId="10" state="visible" r:id="rId10"/>
    <sheet xmlns:r="http://schemas.openxmlformats.org/officeDocument/2006/relationships" name="CPPE-5" sheetId="11" state="visible" r:id="rId11"/>
    <sheet xmlns:r="http://schemas.openxmlformats.org/officeDocument/2006/relationships" name="Waymo 2D" sheetId="12" state="visible" r:id="rId12"/>
    <sheet xmlns:r="http://schemas.openxmlformats.org/officeDocument/2006/relationships" name="Argoverse-HD FS Val" sheetId="13" state="visible" r:id="rId13"/>
    <sheet xmlns:r="http://schemas.openxmlformats.org/officeDocument/2006/relationships" name="Argoverse-HD DO Val" sheetId="14" state="visible" r:id="rId14"/>
    <sheet xmlns:r="http://schemas.openxmlformats.org/officeDocument/2006/relationships" name="Argoverse-HD DO Test" sheetId="15" state="visible" r:id="rId15"/>
    <sheet xmlns:r="http://schemas.openxmlformats.org/officeDocument/2006/relationships" name="Argoverse-HD FS Test" sheetId="16" state="visible" r:id="rId16"/>
    <sheet xmlns:r="http://schemas.openxmlformats.org/officeDocument/2006/relationships" name="DUTS-TE" sheetId="17" state="visible" r:id="rId17"/>
    <sheet xmlns:r="http://schemas.openxmlformats.org/officeDocument/2006/relationships" name="DUT-OMRON" sheetId="18" state="visible" r:id="rId18"/>
    <sheet xmlns:r="http://schemas.openxmlformats.org/officeDocument/2006/relationships" name="ECSSD" sheetId="19" state="visible" r:id="rId19"/>
    <sheet xmlns:r="http://schemas.openxmlformats.org/officeDocument/2006/relationships" name="HKU-IS" sheetId="20" state="visible" r:id="rId20"/>
    <sheet xmlns:r="http://schemas.openxmlformats.org/officeDocument/2006/relationships" name="PASCAL-S" sheetId="21" state="visible" r:id="rId21"/>
    <sheet xmlns:r="http://schemas.openxmlformats.org/officeDocument/2006/relationships" name="HRSOD" sheetId="22" state="visible" r:id="rId22"/>
    <sheet xmlns:r="http://schemas.openxmlformats.org/officeDocument/2006/relationships" name="DAVIS-S" sheetId="23" state="visible" r:id="rId23"/>
    <sheet xmlns:r="http://schemas.openxmlformats.org/officeDocument/2006/relationships" name="UHRSD" sheetId="24" state="visible" r:id="rId24"/>
    <sheet xmlns:r="http://schemas.openxmlformats.org/officeDocument/2006/relationships" name="SBU-Refine" sheetId="25" state="visible" r:id="rId25"/>
    <sheet xmlns:r="http://schemas.openxmlformats.org/officeDocument/2006/relationships" name="ISTD" sheetId="26" state="visible" r:id="rId26"/>
    <sheet xmlns:r="http://schemas.openxmlformats.org/officeDocument/2006/relationships" name="CAMO-FS" sheetId="27" state="visible" r:id="rId27"/>
    <sheet xmlns:r="http://schemas.openxmlformats.org/officeDocument/2006/relationships" name="PASCAL VOC 2007 15+5" sheetId="28" state="visible" r:id="rId28"/>
    <sheet xmlns:r="http://schemas.openxmlformats.org/officeDocument/2006/relationships" name="MS-COCO 1-shot" sheetId="29" state="visible" r:id="rId29"/>
    <sheet xmlns:r="http://schemas.openxmlformats.org/officeDocument/2006/relationships" name="MS-COCO 5-shot" sheetId="30" state="visible" r:id="rId30"/>
    <sheet xmlns:r="http://schemas.openxmlformats.org/officeDocument/2006/relationships" name="MS-COCO 10-shot" sheetId="31" state="visible" r:id="rId31"/>
    <sheet xmlns:r="http://schemas.openxmlformats.org/officeDocument/2006/relationships" name="MS-COCO 30-shot" sheetId="32" state="visible" r:id="rId32"/>
    <sheet xmlns:r="http://schemas.openxmlformats.org/officeDocument/2006/relationships" name="COCO 2017 FSOD" sheetId="33" state="visible" r:id="rId33"/>
    <sheet xmlns:r="http://schemas.openxmlformats.org/officeDocument/2006/relationships" name="LVIS v1.0 val" sheetId="34" state="visible" r:id="rId34"/>
    <sheet xmlns:r="http://schemas.openxmlformats.org/officeDocument/2006/relationships" name="LVIS v1.0 test-dev" sheetId="35" state="visible" r:id="rId35"/>
    <sheet xmlns:r="http://schemas.openxmlformats.org/officeDocument/2006/relationships" name="ODinW-13" sheetId="36" state="visible" r:id="rId36"/>
    <sheet xmlns:r="http://schemas.openxmlformats.org/officeDocument/2006/relationships" name="ODinW-35" sheetId="37" state="visible" r:id="rId37"/>
    <sheet xmlns:r="http://schemas.openxmlformats.org/officeDocument/2006/relationships" name="Open-World OD" sheetId="38" state="visible" r:id="rId38"/>
    <sheet xmlns:r="http://schemas.openxmlformats.org/officeDocument/2006/relationships" name="3D-BEV OD" sheetId="39" state="visible" r:id="rId39"/>
    <sheet xmlns:r="http://schemas.openxmlformats.org/officeDocument/2006/relationships" name="Tiny-Object OD" sheetId="40" state="visible" r:id="rId40"/>
    <sheet xmlns:r="http://schemas.openxmlformats.org/officeDocument/2006/relationships" name="Domain-Robust OD" sheetId="41" state="visible" r:id="rId41"/>
    <sheet xmlns:r="http://schemas.openxmlformats.org/officeDocument/2006/relationships" name="Incremental OD" sheetId="42" state="visible" r:id="rId42"/>
    <sheet xmlns:r="http://schemas.openxmlformats.org/officeDocument/2006/relationships" name="Open-Vocabulary OD" sheetId="43" state="visible" r:id="rId43"/>
    <sheet xmlns:r="http://schemas.openxmlformats.org/officeDocument/2006/relationships" name="Oriented-RS OD" sheetId="44" state="visible" r:id="rId44"/>
    <sheet xmlns:r="http://schemas.openxmlformats.org/officeDocument/2006/relationships" name="Referring OD" sheetId="45" state="visible" r:id="rId45"/>
    <sheet xmlns:r="http://schemas.openxmlformats.org/officeDocument/2006/relationships" name="Security-Robustness OD" sheetId="46" state="visible" r:id="rId46"/>
    <sheet xmlns:r="http://schemas.openxmlformats.org/officeDocument/2006/relationships" name="Co-SOD &amp; Ranking" sheetId="47" state="visible" r:id="rId47"/>
    <sheet xmlns:r="http://schemas.openxmlformats.org/officeDocument/2006/relationships" name="CD-FSOD" sheetId="48" state="visible" r:id="rId48"/>
  </sheets>
  <definedNames>
    <definedName name="_xlnm._FilterDatabase" localSheetId="0" hidden="1">'OD all papers'!$A$1:$H$84</definedName>
    <definedName name="_xlnm._FilterDatabase" localSheetId="1" hidden="1">'Index'!$A$1:$E$36</definedName>
    <definedName name="_xlnm._FilterDatabase" localSheetId="2" hidden="1">'COCO test-dev'!$A$1:$M$13</definedName>
    <definedName name="_xlnm._FilterDatabase" localSheetId="3" hidden="1">'COCO minival'!$A$1:$M$12</definedName>
    <definedName name="_xlnm._FilterDatabase" localSheetId="4" hidden="1">'COCO 2017 val'!$A$1:$M$13</definedName>
    <definedName name="_xlnm._FilterDatabase" localSheetId="5" hidden="1">'COCO 2017'!$A$1:$M$13</definedName>
    <definedName name="_xlnm._FilterDatabase" localSheetId="6" hidden="1">'COCO-O'!$A$1:$M$12</definedName>
    <definedName name="_xlnm._FilterDatabase" localSheetId="7" hidden="1">'PASCAL VOC 2007'!$A$1:$M$12</definedName>
    <definedName name="_xlnm._FilterDatabase" localSheetId="8" hidden="1">'CrowdHuman'!$A$1:$M$12</definedName>
    <definedName name="_xlnm._FilterDatabase" localSheetId="9" hidden="1">'GraZPEDWRI-DX'!$A$1:$M$12</definedName>
    <definedName name="_xlnm._FilterDatabase" localSheetId="10" hidden="1">'CPPE-5'!$A$1:$M$12</definedName>
    <definedName name="_xlnm._FilterDatabase" localSheetId="11" hidden="1">'Waymo 2D'!$A$1:$M$12</definedName>
    <definedName name="_xlnm._FilterDatabase" localSheetId="12" hidden="1">'Argoverse-HD FS Val'!$A$1:$M$12</definedName>
    <definedName name="_xlnm._FilterDatabase" localSheetId="13" hidden="1">'Argoverse-HD DO Val'!$A$1:$M$12</definedName>
    <definedName name="_xlnm._FilterDatabase" localSheetId="14" hidden="1">'Argoverse-HD DO Test'!$A$1:$M$12</definedName>
    <definedName name="_xlnm._FilterDatabase" localSheetId="15" hidden="1">'Argoverse-HD FS Test'!$A$1:$M$12</definedName>
    <definedName name="_xlnm._FilterDatabase" localSheetId="16" hidden="1">'DUTS-TE'!$A$1:$M$13</definedName>
    <definedName name="_xlnm._FilterDatabase" localSheetId="17" hidden="1">'DUT-OMRON'!$A$1:$M$13</definedName>
    <definedName name="_xlnm._FilterDatabase" localSheetId="18" hidden="1">'ECSSD'!$A$1:$M$13</definedName>
    <definedName name="_xlnm._FilterDatabase" localSheetId="19" hidden="1">'HKU-IS'!$A$1:$M$13</definedName>
    <definedName name="_xlnm._FilterDatabase" localSheetId="20" hidden="1">'PASCAL-S'!$A$1:$M$13</definedName>
    <definedName name="_xlnm._FilterDatabase" localSheetId="21" hidden="1">'HRSOD'!$A$1:$M$13</definedName>
    <definedName name="_xlnm._FilterDatabase" localSheetId="22" hidden="1">'DAVIS-S'!$A$1:$M$13</definedName>
    <definedName name="_xlnm._FilterDatabase" localSheetId="23" hidden="1">'UHRSD'!$A$1:$M$13</definedName>
    <definedName name="_xlnm._FilterDatabase" localSheetId="24" hidden="1">'SBU-Refine'!$A$1:$M$13</definedName>
    <definedName name="_xlnm._FilterDatabase" localSheetId="25" hidden="1">'ISTD'!$A$1:$M$13</definedName>
    <definedName name="_xlnm._FilterDatabase" localSheetId="26" hidden="1">'CAMO-FS'!$A$1:$M$12</definedName>
    <definedName name="_xlnm._FilterDatabase" localSheetId="27" hidden="1">'PASCAL VOC 2007 15+5'!$A$1:$M$12</definedName>
    <definedName name="_xlnm._FilterDatabase" localSheetId="28" hidden="1">'MS-COCO 1-shot'!$A$1:$M$12</definedName>
    <definedName name="_xlnm._FilterDatabase" localSheetId="29" hidden="1">'MS-COCO 5-shot'!$A$1:$M$12</definedName>
    <definedName name="_xlnm._FilterDatabase" localSheetId="30" hidden="1">'MS-COCO 10-shot'!$A$1:$M$12</definedName>
    <definedName name="_xlnm._FilterDatabase" localSheetId="31" hidden="1">'MS-COCO 30-shot'!$A$1:$M$12</definedName>
    <definedName name="_xlnm._FilterDatabase" localSheetId="32" hidden="1">'COCO 2017 FSOD'!$A$1:$M$12</definedName>
    <definedName name="_xlnm._FilterDatabase" localSheetId="33" hidden="1">'LVIS v1.0 val'!$A$1:$M$12</definedName>
    <definedName name="_xlnm._FilterDatabase" localSheetId="34" hidden="1">'LVIS v1.0 test-dev'!$A$1:$M$12</definedName>
    <definedName name="_xlnm._FilterDatabase" localSheetId="35" hidden="1">'ODinW-13'!$A$1:$M$12</definedName>
    <definedName name="_xlnm._FilterDatabase" localSheetId="36" hidden="1">'ODinW-35'!$A$1:$M$12</definedName>
  </definedNames>
  <calcPr calcId="191029" fullCalcOnLoad="1"/>
</workbook>
</file>

<file path=xl/styles.xml><?xml version="1.0" encoding="utf-8"?>
<styleSheet xmlns="http://schemas.openxmlformats.org/spreadsheetml/2006/main">
  <numFmts count="0"/>
  <fonts count="5">
    <font>
      <name val="新細明體"/>
      <family val="2"/>
      <color theme="1"/>
      <sz val="11"/>
      <scheme val="minor"/>
    </font>
    <font>
      <name val="Arial"/>
      <b val="1"/>
      <color rgb="FFFFFFFF"/>
      <sz val="11"/>
    </font>
    <font>
      <name val="Arial"/>
      <sz val="10"/>
    </font>
    <font>
      <name val="Arial"/>
      <color rgb="FF0563C1"/>
      <sz val="10"/>
      <u val="single"/>
    </font>
    <font>
      <name val="新細明體"/>
      <charset val="136"/>
      <family val="3"/>
      <sz val="9"/>
      <scheme val="minor"/>
    </font>
  </fonts>
  <fills count="7">
    <fill>
      <patternFill/>
    </fill>
    <fill>
      <patternFill patternType="gray125"/>
    </fill>
    <fill>
      <patternFill patternType="solid">
        <fgColor rgb="FF305496"/>
        <bgColor rgb="FF305496"/>
      </patternFill>
    </fill>
    <fill>
      <patternFill patternType="solid">
        <fgColor rgb="FFD9EAF7"/>
        <bgColor rgb="FFD9EAF7"/>
      </patternFill>
    </fill>
    <fill>
      <patternFill patternType="solid">
        <fgColor rgb="FFD9EAD3"/>
        <bgColor rgb="FFD9EAD3"/>
      </patternFill>
    </fill>
    <fill>
      <patternFill patternType="solid">
        <fgColor rgb="FFFCE5CD"/>
        <bgColor rgb="FFFCE5CD"/>
      </patternFill>
    </fill>
    <fill>
      <patternFill patternType="solid">
        <fgColor rgb="FFEADCF8"/>
        <bgColor rgb="FFEADCF8"/>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0">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left" vertical="top" wrapText="1"/>
    </xf>
    <xf numFmtId="0" fontId="2" fillId="4" borderId="1" applyAlignment="1" pivotButton="0" quotePrefix="0" xfId="0">
      <alignment horizontal="left" vertical="top" wrapText="1"/>
    </xf>
    <xf numFmtId="0" fontId="2" fillId="5" borderId="1" applyAlignment="1" pivotButton="0" quotePrefix="0" xfId="0">
      <alignment horizontal="left" vertical="top" wrapText="1"/>
    </xf>
    <xf numFmtId="0" fontId="2" fillId="6" borderId="1" applyAlignment="1" pivotButton="0" quotePrefix="0" xfId="0">
      <alignment horizontal="left" vertical="top" wrapText="1"/>
    </xf>
    <xf numFmtId="0" fontId="3" fillId="4" borderId="1" applyAlignment="1" pivotButton="0" quotePrefix="0" xfId="0">
      <alignment horizontal="left" vertical="top" wrapText="1"/>
    </xf>
    <xf numFmtId="0" fontId="3" fillId="5" borderId="1" applyAlignment="1" pivotButton="0" quotePrefix="0" xfId="0">
      <alignment horizontal="left" vertical="top" wrapText="1"/>
    </xf>
    <xf numFmtId="0" fontId="3" fillId="6" borderId="1" applyAlignment="1" pivotButton="0" quotePrefix="0" xfId="0">
      <alignment horizontal="left" vertical="top" wrapText="1"/>
    </xf>
    <xf numFmtId="0" fontId="3" fillId="3" borderId="1" applyAlignment="1" pivotButton="0" quotePrefix="0" xfId="0">
      <alignment horizontal="left" vertical="top" wrapText="1"/>
    </xf>
  </cellXfs>
  <cellStyles count="1">
    <cellStyle name="一般"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styles" Target="styles.xml" Id="rId49"/><Relationship Type="http://schemas.openxmlformats.org/officeDocument/2006/relationships/theme" Target="theme/theme1.xml" Id="rId5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rxiv.org/abs/2511.09554" TargetMode="External" Id="rId1"/><Relationship Type="http://schemas.openxmlformats.org/officeDocument/2006/relationships/hyperlink" Target="https://github.com/roboflow/rf-detr" TargetMode="External" Id="rId2"/><Relationship Type="http://schemas.openxmlformats.org/officeDocument/2006/relationships/hyperlink" Target="https://arxiv.org/abs/2511.09554" TargetMode="External" Id="rId3"/><Relationship Type="http://schemas.openxmlformats.org/officeDocument/2006/relationships/hyperlink" Target="https://github.com/roboflow/rf-detr" TargetMode="External" Id="rId4"/><Relationship Type="http://schemas.openxmlformats.org/officeDocument/2006/relationships/hyperlink" Target="https://docs.ultralytics.com/models/yolo26/" TargetMode="External" Id="rId5"/><Relationship Type="http://schemas.openxmlformats.org/officeDocument/2006/relationships/hyperlink" Target="https://github.com/ultralytics/ultralytics" TargetMode="External" Id="rId6"/><Relationship Type="http://schemas.openxmlformats.org/officeDocument/2006/relationships/hyperlink" Target="https://docs.ultralytics.com/models/yolo26/" TargetMode="External" Id="rId7"/><Relationship Type="http://schemas.openxmlformats.org/officeDocument/2006/relationships/hyperlink" Target="https://github.com/ultralytics/ultralytics" TargetMode="External" Id="rId8"/><Relationship Type="http://schemas.openxmlformats.org/officeDocument/2006/relationships/hyperlink" Target="https://arxiv.org/abs/2510.25257" TargetMode="External" Id="rId9"/><Relationship Type="http://schemas.openxmlformats.org/officeDocument/2006/relationships/hyperlink" Target="https://github.com/RT-DETRs/RT-DETRv4" TargetMode="External" Id="rId10"/><Relationship Type="http://schemas.openxmlformats.org/officeDocument/2006/relationships/hyperlink" Target="https://arxiv.org/abs/2510.21605" TargetMode="External" Id="rId11"/><Relationship Type="http://schemas.openxmlformats.org/officeDocument/2006/relationships/hyperlink" Target="https://github.com/" TargetMode="External" Id="rId12"/><Relationship Type="http://schemas.openxmlformats.org/officeDocument/2006/relationships/hyperlink" Target="https://arxiv.org/abs/2509.20787" TargetMode="External" Id="rId13"/><Relationship Type="http://schemas.openxmlformats.org/officeDocument/2006/relationships/hyperlink" Target="https://github.com/Intellindust-AI-Lab/DEIMv2" TargetMode="External" Id="rId14"/><Relationship Type="http://schemas.openxmlformats.org/officeDocument/2006/relationships/hyperlink" Target="https://github.com/topics/yolo-master" TargetMode="External" Id="rId15"/><Relationship Type="http://schemas.openxmlformats.org/officeDocument/2006/relationships/hyperlink" Target="https://github.com/topics/yolo-master" TargetMode="External" Id="rId16"/><Relationship Type="http://schemas.openxmlformats.org/officeDocument/2006/relationships/hyperlink" Target="https://arxiv.org/abs/2412.04234" TargetMode="External" Id="rId17"/><Relationship Type="http://schemas.openxmlformats.org/officeDocument/2006/relationships/hyperlink" Target="https://github.com/Intellindust-AI-Lab/DEIM" TargetMode="External" Id="rId18"/><Relationship Type="http://schemas.openxmlformats.org/officeDocument/2006/relationships/hyperlink" Target="https://arxiv.org/abs/2506.17733" TargetMode="External" Id="rId19"/><Relationship Type="http://schemas.openxmlformats.org/officeDocument/2006/relationships/hyperlink" Target="https://github.com/iMoonLab/yolov13" TargetMode="External" Id="rId20"/><Relationship Type="http://schemas.openxmlformats.org/officeDocument/2006/relationships/hyperlink" Target="https://arxiv.org/abs/2412.04234" TargetMode="External" Id="rId21"/><Relationship Type="http://schemas.openxmlformats.org/officeDocument/2006/relationships/hyperlink" Target="https://github.com/Intellindust-AI-Lab/DEIM" TargetMode="External" Id="rId22"/><Relationship Type="http://schemas.openxmlformats.org/officeDocument/2006/relationships/hyperlink" Target="https://arxiv.org/abs/2504.10685" TargetMode="External" Id="rId23"/><Relationship Type="http://schemas.openxmlformats.org/officeDocument/2006/relationships/hyperlink" Target="https://github.com/lovelyqian/NTIRE2025_CDFSOD" TargetMode="External" Id="rId24"/><Relationship Type="http://schemas.openxmlformats.org/officeDocument/2006/relationships/hyperlink" Target="https://arxiv.org/abs/2410.13842" TargetMode="External" Id="rId25"/><Relationship Type="http://schemas.openxmlformats.org/officeDocument/2006/relationships/hyperlink" Target="https://github.com/Peterande/D-FINE" TargetMode="External" Id="rId26"/><Relationship Type="http://schemas.openxmlformats.org/officeDocument/2006/relationships/hyperlink" Target="https://arxiv.org/abs/2410.13842" TargetMode="External" Id="rId27"/><Relationship Type="http://schemas.openxmlformats.org/officeDocument/2006/relationships/hyperlink" Target="https://github.com/Peterande/D-FINE" TargetMode="External" Id="rId28"/><Relationship Type="http://schemas.openxmlformats.org/officeDocument/2006/relationships/hyperlink" Target="https://arxiv.org/abs/2502.12524" TargetMode="External" Id="rId29"/><Relationship Type="http://schemas.openxmlformats.org/officeDocument/2006/relationships/hyperlink" Target="https://github.com/sunsmarterjie/yolov12" TargetMode="External" Id="rId30"/><Relationship Type="http://schemas.openxmlformats.org/officeDocument/2006/relationships/hyperlink" Target="https://arxiv.org/abs/2409.08475" TargetMode="External" Id="rId31"/><Relationship Type="http://schemas.openxmlformats.org/officeDocument/2006/relationships/hyperlink" Target="https://github.com/clxia12/RT-DETRv3" TargetMode="External" Id="rId32"/><Relationship Type="http://schemas.openxmlformats.org/officeDocument/2006/relationships/hyperlink" Target="https://github.com/I2-Multimedia-Lab/UGRAN" TargetMode="External" Id="rId33"/><Relationship Type="http://schemas.openxmlformats.org/officeDocument/2006/relationships/hyperlink" Target="https://github.com/I2-Multimedia-Lab/UGRAN" TargetMode="External" Id="rId34"/><Relationship Type="http://schemas.openxmlformats.org/officeDocument/2006/relationships/hyperlink" Target="https://www.sciencedirect.com/science/article/abs/pii/S1566253525007900" TargetMode="External" Id="rId35"/><Relationship Type="http://schemas.openxmlformats.org/officeDocument/2006/relationships/hyperlink" Target="https://github.com/" TargetMode="External" Id="rId36"/><Relationship Type="http://schemas.openxmlformats.org/officeDocument/2006/relationships/hyperlink" Target="https://arxiv.org/abs/2405.14458" TargetMode="External" Id="rId37"/><Relationship Type="http://schemas.openxmlformats.org/officeDocument/2006/relationships/hyperlink" Target="https://github.com/THU-MIG/yolov10" TargetMode="External" Id="rId38"/><Relationship Type="http://schemas.openxmlformats.org/officeDocument/2006/relationships/hyperlink" Target="https://arxiv.org/abs/2411.14347" TargetMode="External" Id="rId39"/><Relationship Type="http://schemas.openxmlformats.org/officeDocument/2006/relationships/hyperlink" Target="https://github.com/IDEA-Research/DINO-X-API" TargetMode="External" Id="rId40"/><Relationship Type="http://schemas.openxmlformats.org/officeDocument/2006/relationships/hyperlink" Target="https://arxiv.org/abs/2303.05499" TargetMode="External" Id="rId41"/><Relationship Type="http://schemas.openxmlformats.org/officeDocument/2006/relationships/hyperlink" Target="https://github.com/IDEA-Research/GroundingDINO" TargetMode="External" Id="rId42"/><Relationship Type="http://schemas.openxmlformats.org/officeDocument/2006/relationships/hyperlink" Target="https://arxiv.org/abs/2402.03094" TargetMode="External" Id="rId43"/><Relationship Type="http://schemas.openxmlformats.org/officeDocument/2006/relationships/hyperlink" Target="https://github.com/lovelyqian/CDFSOD-benchmark" TargetMode="External" Id="rId44"/><Relationship Type="http://schemas.openxmlformats.org/officeDocument/2006/relationships/hyperlink" Target="https://arxiv.org/abs/2407.11699" TargetMode="External" Id="rId45"/><Relationship Type="http://schemas.openxmlformats.org/officeDocument/2006/relationships/hyperlink" Target="https://github.com/xiuqhou/Relation-DETR" TargetMode="External" Id="rId46"/><Relationship Type="http://schemas.openxmlformats.org/officeDocument/2006/relationships/hyperlink" Target="https://arxiv.org/abs/2402.13616" TargetMode="External" Id="rId47"/><Relationship Type="http://schemas.openxmlformats.org/officeDocument/2006/relationships/hyperlink" Target="https://github.com/WongKinYiu/yolov9" TargetMode="External" Id="rId48"/><Relationship Type="http://schemas.openxmlformats.org/officeDocument/2006/relationships/hyperlink" Target="https://docs.ultralytics.com/models/yolo11/" TargetMode="External" Id="rId49"/><Relationship Type="http://schemas.openxmlformats.org/officeDocument/2006/relationships/hyperlink" Target="https://github.com/ultralytics/ultralytics" TargetMode="External" Id="rId50"/><Relationship Type="http://schemas.openxmlformats.org/officeDocument/2006/relationships/hyperlink" Target="https://arxiv.org/abs/2407.17140" TargetMode="External" Id="rId51"/><Relationship Type="http://schemas.openxmlformats.org/officeDocument/2006/relationships/hyperlink" Target="https://github.com/lyuwenyu/RT-DETR" TargetMode="External" Id="rId52"/><Relationship Type="http://schemas.openxmlformats.org/officeDocument/2006/relationships/hyperlink" Target="https://arxiv.org/abs/2304.08069" TargetMode="External" Id="rId53"/><Relationship Type="http://schemas.openxmlformats.org/officeDocument/2006/relationships/hyperlink" Target="https://github.com/lyuwenyu/RT-DETR" TargetMode="External" Id="rId54"/><Relationship Type="http://schemas.openxmlformats.org/officeDocument/2006/relationships/hyperlink" Target="https://arxiv.org/abs/2404.07445" TargetMode="External" Id="rId55"/><Relationship Type="http://schemas.openxmlformats.org/officeDocument/2006/relationships/hyperlink" Target="https://github.com/qianyu-dlut/MVANet" TargetMode="External" Id="rId56"/><Relationship Type="http://schemas.openxmlformats.org/officeDocument/2006/relationships/hyperlink" Target="https://arxiv.org/abs/2311.15011" TargetMode="External" Id="rId57"/><Relationship Type="http://schemas.openxmlformats.org/officeDocument/2006/relationships/hyperlink" Target="https://github.com/Sssssuperior/VSCode" TargetMode="External" Id="rId58"/><Relationship Type="http://schemas.openxmlformats.org/officeDocument/2006/relationships/hyperlink" Target="https://arxiv.org/abs/2402.10433" TargetMode="External" Id="rId59"/><Relationship Type="http://schemas.openxmlformats.org/officeDocument/2006/relationships/hyperlink" Target="https://github.com/han-tianyu/FM-FSOD" TargetMode="External" Id="rId60"/><Relationship Type="http://schemas.openxmlformats.org/officeDocument/2006/relationships/hyperlink" Target="https://arxiv.org/abs/2405.10300" TargetMode="External" Id="rId61"/><Relationship Type="http://schemas.openxmlformats.org/officeDocument/2006/relationships/hyperlink" Target="https://github.com/IDEA-Research/Grounding-DINO-1.5-API" TargetMode="External" Id="rId62"/><Relationship Type="http://schemas.openxmlformats.org/officeDocument/2006/relationships/hyperlink" Target="https://arxiv.org/abs/2405.10300" TargetMode="External" Id="rId63"/><Relationship Type="http://schemas.openxmlformats.org/officeDocument/2006/relationships/hyperlink" Target="https://github.com/IDEA-Research/Grounding-DINO-1.5-API" TargetMode="External" Id="rId64"/><Relationship Type="http://schemas.openxmlformats.org/officeDocument/2006/relationships/hyperlink" Target="https://arxiv.org/abs/2401.03407" TargetMode="External" Id="rId65"/><Relationship Type="http://schemas.openxmlformats.org/officeDocument/2006/relationships/hyperlink" Target="https://github.com/ZhengPeng7/BiRefNet" TargetMode="External" Id="rId66"/><Relationship Type="http://schemas.openxmlformats.org/officeDocument/2006/relationships/hyperlink" Target="https://arxiv.org/abs/2404.00700" TargetMode="External" Id="rId67"/><Relationship Type="http://schemas.openxmlformats.org/officeDocument/2006/relationships/hyperlink" Target="https://github.com/" TargetMode="External" Id="rId68"/><Relationship Type="http://schemas.openxmlformats.org/officeDocument/2006/relationships/hyperlink" Target="https://arxiv.org/abs/2211.12860" TargetMode="External" Id="rId69"/><Relationship Type="http://schemas.openxmlformats.org/officeDocument/2006/relationships/hyperlink" Target="https://github.com/Sense-X/Co-DETR" TargetMode="External" Id="rId70"/><Relationship Type="http://schemas.openxmlformats.org/officeDocument/2006/relationships/hyperlink" Target="https://arxiv.org/abs/2303.11331" TargetMode="External" Id="rId71"/><Relationship Type="http://schemas.openxmlformats.org/officeDocument/2006/relationships/hyperlink" Target="https://github.com/baaivision/EVA" TargetMode="External" Id="rId72"/><Relationship Type="http://schemas.openxmlformats.org/officeDocument/2006/relationships/hyperlink" Target="https://arxiv.org/abs/2309.08365" TargetMode="External" Id="rId73"/><Relationship Type="http://schemas.openxmlformats.org/officeDocument/2006/relationships/hyperlink" Target="https://github.com/I2-Multimedia-Lab/M3Net" TargetMode="External" Id="rId74"/><Relationship Type="http://schemas.openxmlformats.org/officeDocument/2006/relationships/hyperlink" Target="https://arxiv.org/abs/2211.05778" TargetMode="External" Id="rId75"/><Relationship Type="http://schemas.openxmlformats.org/officeDocument/2006/relationships/hyperlink" Target="https://github.com/OpenGVLab/InternImage" TargetMode="External" Id="rId76"/><Relationship Type="http://schemas.openxmlformats.org/officeDocument/2006/relationships/hyperlink" Target="https://arxiv.org/abs/2207.02696" TargetMode="External" Id="rId77"/><Relationship Type="http://schemas.openxmlformats.org/officeDocument/2006/relationships/hyperlink" Target="https://github.com/WongKinYiu/yolov7" TargetMode="External" Id="rId78"/><Relationship Type="http://schemas.openxmlformats.org/officeDocument/2006/relationships/hyperlink" Target="https://arxiv.org/abs/2303.11749" TargetMode="External" Id="rId79"/><Relationship Type="http://schemas.openxmlformats.org/officeDocument/2006/relationships/hyperlink" Target="https://github.com/zhenyuw16/UniDetector" TargetMode="External" Id="rId80"/><Relationship Type="http://schemas.openxmlformats.org/officeDocument/2006/relationships/hyperlink" Target="https://github.com/Deci-AI/super-gradients" TargetMode="External" Id="rId81"/><Relationship Type="http://schemas.openxmlformats.org/officeDocument/2006/relationships/hyperlink" Target="https://github.com/Deci-AI/super-gradients" TargetMode="External" Id="rId82"/><Relationship Type="http://schemas.openxmlformats.org/officeDocument/2006/relationships/hyperlink" Target="https://arxiv.org/abs/2203.03605" TargetMode="External" Id="rId83"/><Relationship Type="http://schemas.openxmlformats.org/officeDocument/2006/relationships/hyperlink" Target="https://github.com/IDEA-Research/DINO" TargetMode="External" Id="rId84"/><Relationship Type="http://schemas.openxmlformats.org/officeDocument/2006/relationships/hyperlink" Target="https://arxiv.org/abs/2111.13409" TargetMode="External" Id="rId85"/><Relationship Type="http://schemas.openxmlformats.org/officeDocument/2006/relationships/hyperlink" Target="https://github.com/mczhuge/ICON" TargetMode="External" Id="rId86"/><Relationship Type="http://schemas.openxmlformats.org/officeDocument/2006/relationships/hyperlink" Target="https://docs.ultralytics.com/models/yolov8/" TargetMode="External" Id="rId87"/><Relationship Type="http://schemas.openxmlformats.org/officeDocument/2006/relationships/hyperlink" Target="https://github.com/ultralytics/ultralytics" TargetMode="External" Id="rId88"/><Relationship Type="http://schemas.openxmlformats.org/officeDocument/2006/relationships/hyperlink" Target="https://arxiv.org/abs/2212.07784" TargetMode="External" Id="rId89"/><Relationship Type="http://schemas.openxmlformats.org/officeDocument/2006/relationships/hyperlink" Target="https://github.com/open-mmlab/mmdetection" TargetMode="External" Id="rId90"/><Relationship Type="http://schemas.openxmlformats.org/officeDocument/2006/relationships/hyperlink" Target="https://arxiv.org/abs/2211.15444" TargetMode="External" Id="rId91"/><Relationship Type="http://schemas.openxmlformats.org/officeDocument/2006/relationships/hyperlink" Target="https://github.com/tinyvision/damo-yolo" TargetMode="External" Id="rId92"/><Relationship Type="http://schemas.openxmlformats.org/officeDocument/2006/relationships/hyperlink" Target="https://arxiv.org/abs/2209.09475" TargetMode="External" Id="rId93"/><Relationship Type="http://schemas.openxmlformats.org/officeDocument/2006/relationships/hyperlink" Target="https://github.com/plemeri/InSPyReNet" TargetMode="External" Id="rId94"/><Relationship Type="http://schemas.openxmlformats.org/officeDocument/2006/relationships/hyperlink" Target="https://arxiv.org/abs/2203.16527" TargetMode="External" Id="rId95"/><Relationship Type="http://schemas.openxmlformats.org/officeDocument/2006/relationships/hyperlink" Target="https://github.com/facebookresearch/detectron2" TargetMode="External" Id="rId96"/><Relationship Type="http://schemas.openxmlformats.org/officeDocument/2006/relationships/hyperlink" Target="https://arxiv.org/abs/2204.01697" TargetMode="External" Id="rId97"/><Relationship Type="http://schemas.openxmlformats.org/officeDocument/2006/relationships/hyperlink" Target="https://github.com/google-research/maxvit" TargetMode="External" Id="rId98"/><Relationship Type="http://schemas.openxmlformats.org/officeDocument/2006/relationships/hyperlink" Target="https://arxiv.org/abs/2209.02976" TargetMode="External" Id="rId99"/><Relationship Type="http://schemas.openxmlformats.org/officeDocument/2006/relationships/hyperlink" Target="https://github.com/meituan/YOLOv6" TargetMode="External" Id="rId100"/><Relationship Type="http://schemas.openxmlformats.org/officeDocument/2006/relationships/hyperlink" Target="https://arxiv.org/abs/2012.13093" TargetMode="External" Id="rId101"/><Relationship Type="http://schemas.openxmlformats.org/officeDocument/2006/relationships/hyperlink" Target="https://github.com/yuhuan-wu/EDN" TargetMode="External" Id="rId102"/><Relationship Type="http://schemas.openxmlformats.org/officeDocument/2006/relationships/hyperlink" Target="https://arxiv.org/abs/2208.00219" TargetMode="External" Id="rId103"/><Relationship Type="http://schemas.openxmlformats.org/officeDocument/2006/relationships/hyperlink" Target="https://github.com/ZhangGongjie/Meta-DETR" TargetMode="External" Id="rId104"/><Relationship Type="http://schemas.openxmlformats.org/officeDocument/2006/relationships/hyperlink" Target="https://arxiv.org/abs/2203.16250" TargetMode="External" Id="rId105"/><Relationship Type="http://schemas.openxmlformats.org/officeDocument/2006/relationships/hyperlink" Target="https://github.com/PaddlePaddle/PaddleDetection" TargetMode="External" Id="rId106"/><Relationship Type="http://schemas.openxmlformats.org/officeDocument/2006/relationships/hyperlink" Target="https://arxiv.org/abs/2106.04550" TargetMode="External" Id="rId107"/><Relationship Type="http://schemas.openxmlformats.org/officeDocument/2006/relationships/hyperlink" Target="https://github.com/amirbar/DETReg" TargetMode="External" Id="rId108"/><Relationship Type="http://schemas.openxmlformats.org/officeDocument/2006/relationships/hyperlink" Target="https://arxiv.org/abs/2201.03545" TargetMode="External" Id="rId109"/><Relationship Type="http://schemas.openxmlformats.org/officeDocument/2006/relationships/hyperlink" Target="https://github.com/facebookresearch/ConvNeXt" TargetMode="External" Id="rId110"/><Relationship Type="http://schemas.openxmlformats.org/officeDocument/2006/relationships/hyperlink" Target="https://arxiv.org/abs/2203.01305" TargetMode="External" Id="rId111"/><Relationship Type="http://schemas.openxmlformats.org/officeDocument/2006/relationships/hyperlink" Target="https://github.com/IDEA-Research/DN-DETR" TargetMode="External" Id="rId112"/><Relationship Type="http://schemas.openxmlformats.org/officeDocument/2006/relationships/hyperlink" Target="https://arxiv.org/abs/2201.12329" TargetMode="External" Id="rId113"/><Relationship Type="http://schemas.openxmlformats.org/officeDocument/2006/relationships/hyperlink" Target="https://github.com/IDEA-Research/DAB-DETR" TargetMode="External" Id="rId114"/><Relationship Type="http://schemas.openxmlformats.org/officeDocument/2006/relationships/hyperlink" Target="https://github.com/RangiLyu/nanodet" TargetMode="External" Id="rId115"/><Relationship Type="http://schemas.openxmlformats.org/officeDocument/2006/relationships/hyperlink" Target="https://github.com/RangiLyu/nanodet" TargetMode="External" Id="rId116"/><Relationship Type="http://schemas.openxmlformats.org/officeDocument/2006/relationships/hyperlink" Target="https://arxiv.org/abs/2104.12099" TargetMode="External" Id="rId117"/><Relationship Type="http://schemas.openxmlformats.org/officeDocument/2006/relationships/hyperlink" Target="https://github.com/nnizhang/VST" TargetMode="External" Id="rId118"/><Relationship Type="http://schemas.openxmlformats.org/officeDocument/2006/relationships/hyperlink" Target="https://arxiv.org/abs/2108.09017" TargetMode="External" Id="rId119"/><Relationship Type="http://schemas.openxmlformats.org/officeDocument/2006/relationships/hyperlink" Target="https://github.com/er-muyue/DeFRCN" TargetMode="External" Id="rId120"/><Relationship Type="http://schemas.openxmlformats.org/officeDocument/2006/relationships/hyperlink" Target="https://arxiv.org/abs/2103.14030" TargetMode="External" Id="rId121"/><Relationship Type="http://schemas.openxmlformats.org/officeDocument/2006/relationships/hyperlink" Target="https://github.com/microsoft/Swin-Transformer" TargetMode="External" Id="rId122"/><Relationship Type="http://schemas.openxmlformats.org/officeDocument/2006/relationships/hyperlink" Target="https://arxiv.org/abs/2107.08430" TargetMode="External" Id="rId123"/><Relationship Type="http://schemas.openxmlformats.org/officeDocument/2006/relationships/hyperlink" Target="https://github.com/Megvii-BaseDetection/YOLOX" TargetMode="External" Id="rId124"/><Relationship Type="http://schemas.openxmlformats.org/officeDocument/2006/relationships/hyperlink" Target="https://arxiv.org/abs/2103.05950" TargetMode="External" Id="rId125"/><Relationship Type="http://schemas.openxmlformats.org/officeDocument/2006/relationships/hyperlink" Target="https://github.com/megvii-research/FSCE" TargetMode="External" Id="rId126"/><Relationship Type="http://schemas.openxmlformats.org/officeDocument/2006/relationships/hyperlink" Target="https://arxiv.org/abs/2010.04159" TargetMode="External" Id="rId127"/><Relationship Type="http://schemas.openxmlformats.org/officeDocument/2006/relationships/hyperlink" Target="https://github.com/fundamentalvision/Deformable-DETR" TargetMode="External" Id="rId128"/><Relationship Type="http://schemas.openxmlformats.org/officeDocument/2006/relationships/hyperlink" Target="https://arxiv.org/abs/1904.09569" TargetMode="External" Id="rId129"/><Relationship Type="http://schemas.openxmlformats.org/officeDocument/2006/relationships/hyperlink" Target="https://github.com/backseason/PoolNet" TargetMode="External" Id="rId130"/><Relationship Type="http://schemas.openxmlformats.org/officeDocument/2006/relationships/hyperlink" Target="https://arxiv.org/abs/2011.12450" TargetMode="External" Id="rId131"/><Relationship Type="http://schemas.openxmlformats.org/officeDocument/2006/relationships/hyperlink" Target="https://github.com/PeizeSun/SparseR-CNN" TargetMode="External" Id="rId132"/><Relationship Type="http://schemas.openxmlformats.org/officeDocument/2006/relationships/hyperlink" Target="https://arxiv.org/abs/2005.12872" TargetMode="External" Id="rId133"/><Relationship Type="http://schemas.openxmlformats.org/officeDocument/2006/relationships/hyperlink" Target="https://github.com/facebookresearch/detr" TargetMode="External" Id="rId134"/><Relationship Type="http://schemas.openxmlformats.org/officeDocument/2006/relationships/hyperlink" Target="https://arxiv.org/abs/2007.09384" TargetMode="External" Id="rId135"/><Relationship Type="http://schemas.openxmlformats.org/officeDocument/2006/relationships/hyperlink" Target="https://github.com/jiaxi-wu/MPSR" TargetMode="External" Id="rId136"/><Relationship Type="http://schemas.openxmlformats.org/officeDocument/2006/relationships/hyperlink" Target="https://arxiv.org/abs/2003.06957" TargetMode="External" Id="rId137"/><Relationship Type="http://schemas.openxmlformats.org/officeDocument/2006/relationships/hyperlink" Target="https://github.com/ucbdrive/few-shot-object-detection" TargetMode="External" Id="rId138"/><Relationship Type="http://schemas.openxmlformats.org/officeDocument/2006/relationships/hyperlink" Target="https://arxiv.org/abs/1911.09070" TargetMode="External" Id="rId139"/><Relationship Type="http://schemas.openxmlformats.org/officeDocument/2006/relationships/hyperlink" Target="https://github.com/google/automl/tree/master/efficientdet" TargetMode="External" Id="rId140"/><Relationship Type="http://schemas.openxmlformats.org/officeDocument/2006/relationships/hyperlink" Target="https://github.com/ultralytics/yolov5" TargetMode="External" Id="rId141"/><Relationship Type="http://schemas.openxmlformats.org/officeDocument/2006/relationships/hyperlink" Target="https://github.com/ultralytics/yolov5" TargetMode="External" Id="rId142"/><Relationship Type="http://schemas.openxmlformats.org/officeDocument/2006/relationships/hyperlink" Target="https://arxiv.org/abs/2007.09062" TargetMode="External" Id="rId143"/><Relationship Type="http://schemas.openxmlformats.org/officeDocument/2006/relationships/hyperlink" Target="https://github.com/lartpang/MINet" TargetMode="External" Id="rId144"/><Relationship Type="http://schemas.openxmlformats.org/officeDocument/2006/relationships/hyperlink" Target="https://arxiv.org/abs/2005.09007" TargetMode="External" Id="rId145"/><Relationship Type="http://schemas.openxmlformats.org/officeDocument/2006/relationships/hyperlink" Target="https://github.com/xuebinqin/U-2-Net" TargetMode="External" Id="rId146"/><Relationship Type="http://schemas.openxmlformats.org/officeDocument/2006/relationships/hyperlink" Target="https://arxiv.org/abs/1909.13032" TargetMode="External" Id="rId147"/><Relationship Type="http://schemas.openxmlformats.org/officeDocument/2006/relationships/hyperlink" Target="https://github.com/yanxp/MetaR-CNN" TargetMode="External" Id="rId148"/><Relationship Type="http://schemas.openxmlformats.org/officeDocument/2006/relationships/hyperlink" Target="https://arxiv.org/abs/1812.01866" TargetMode="External" Id="rId149"/><Relationship Type="http://schemas.openxmlformats.org/officeDocument/2006/relationships/hyperlink" Target="https://github.com/bingykang/Fewshot_Detection" TargetMode="External" Id="rId150"/><Relationship Type="http://schemas.openxmlformats.org/officeDocument/2006/relationships/hyperlink" Target="https://arxiv.org/abs/1904.07857" TargetMode="External" Id="rId151"/><Relationship Type="http://schemas.openxmlformats.org/officeDocument/2006/relationships/hyperlink" Target="https://github.com/xuebinqin/BASNet" TargetMode="External" Id="rId152"/><Relationship Type="http://schemas.openxmlformats.org/officeDocument/2006/relationships/hyperlink" Target="https://arxiv.org/abs/1904.08739" TargetMode="External" Id="rId153"/><Relationship Type="http://schemas.openxmlformats.org/officeDocument/2006/relationships/hyperlink" Target="https://github.com/wuzhe71/CPD" TargetMode="External" Id="rId154"/><Relationship Type="http://schemas.openxmlformats.org/officeDocument/2006/relationships/hyperlink" Target="https://arxiv.org/abs/1904.07850" TargetMode="External" Id="rId155"/><Relationship Type="http://schemas.openxmlformats.org/officeDocument/2006/relationships/hyperlink" Target="https://github.com/xingyizhou/CenterNet" TargetMode="External" Id="rId156"/><Relationship Type="http://schemas.openxmlformats.org/officeDocument/2006/relationships/hyperlink" Target="https://arxiv.org/abs/1904.01355" TargetMode="External" Id="rId157"/><Relationship Type="http://schemas.openxmlformats.org/officeDocument/2006/relationships/hyperlink" Target="https://github.com/tianzhi0549/FCOS" TargetMode="External" Id="rId158"/><Relationship Type="http://schemas.openxmlformats.org/officeDocument/2006/relationships/hyperlink" Target="https://arxiv.org/abs/1712.00726" TargetMode="External" Id="rId159"/><Relationship Type="http://schemas.openxmlformats.org/officeDocument/2006/relationships/hyperlink" Target="https://github.com/zhaoweicai/cascade-rcnn" TargetMode="External" Id="rId160"/><Relationship Type="http://schemas.openxmlformats.org/officeDocument/2006/relationships/hyperlink" Target="https://arxiv.org/abs/1708.02002" TargetMode="External" Id="rId161"/><Relationship Type="http://schemas.openxmlformats.org/officeDocument/2006/relationships/hyperlink" Target="https://github.com/facebookresearch/Detectron" TargetMode="External" Id="rId162"/><Relationship Type="http://schemas.openxmlformats.org/officeDocument/2006/relationships/hyperlink" Target="https://arxiv.org/abs/1703.06870" TargetMode="External" Id="rId163"/><Relationship Type="http://schemas.openxmlformats.org/officeDocument/2006/relationships/hyperlink" Target="https://github.com/facebookresearch/maskrcnn-benchmark" TargetMode="External" Id="rId164"/><Relationship Type="http://schemas.openxmlformats.org/officeDocument/2006/relationships/hyperlink" Target="https://arxiv.org/abs/1506.01497" TargetMode="External" Id="rId165"/><Relationship Type="http://schemas.openxmlformats.org/officeDocument/2006/relationships/hyperlink" Target="https://github.com/rbgirshick/py-faster-rcnn" TargetMode="External" Id="rId166"/></Relationships>
</file>

<file path=xl/worksheets/_rels/sheet3.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211.05778"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11.05778" TargetMode="External" Id="rId9"/><Relationship Type="http://schemas.openxmlformats.org/officeDocument/2006/relationships/hyperlink" Target="https://github.com/IDEA-Research/DINO" TargetMode="External" Id="rId10"/><Relationship Type="http://schemas.openxmlformats.org/officeDocument/2006/relationships/hyperlink" Target="https://arxiv.org/abs/2211.05778" TargetMode="External" Id="rId11"/><Relationship Type="http://schemas.openxmlformats.org/officeDocument/2006/relationships/hyperlink" Target="https://github.com/facebookresearch/detectron2" TargetMode="External" Id="rId12"/><Relationship Type="http://schemas.openxmlformats.org/officeDocument/2006/relationships/hyperlink" Target="https://arxiv.org/abs/2211.05778" TargetMode="External" Id="rId13"/><Relationship Type="http://schemas.openxmlformats.org/officeDocument/2006/relationships/hyperlink" Target="https://github.com/microsoft/Swin-Transformer" TargetMode="External" Id="rId14"/><Relationship Type="http://schemas.openxmlformats.org/officeDocument/2006/relationships/hyperlink" Target="https://arxiv.org/abs/2407.11699" TargetMode="External" Id="rId15"/><Relationship Type="http://schemas.openxmlformats.org/officeDocument/2006/relationships/hyperlink" Target="https://github.com/microsoft/FocalNet" TargetMode="External" Id="rId16"/><Relationship Type="http://schemas.openxmlformats.org/officeDocument/2006/relationships/hyperlink" Target="https://arxiv.org/abs/2203.03605" TargetMode="External" Id="rId17"/><Relationship Type="http://schemas.openxmlformats.org/officeDocument/2006/relationships/hyperlink" Target="https://github.com/facebookresearch/ConvNeXt" TargetMode="External" Id="rId18"/><Relationship Type="http://schemas.openxmlformats.org/officeDocument/2006/relationships/hyperlink" Target="https://arxiv.org/abs/2211.05778" TargetMode="External" Id="rId19"/><Relationship Type="http://schemas.openxmlformats.org/officeDocument/2006/relationships/hyperlink" Target="https://github.com/google-research/maxvit" TargetMode="External" Id="rId20"/><Relationship Type="http://schemas.openxmlformats.org/officeDocument/2006/relationships/hyperlink" Target="https://arxiv.org/abs/2211.05778" TargetMode="External" Id="rId21"/><Relationship Type="http://schemas.openxmlformats.org/officeDocument/2006/relationships/hyperlink" Target="https://github.com/fundamentalvision/Deformable-DETR" TargetMode="External" Id="rId22"/><Relationship Type="http://schemas.openxmlformats.org/officeDocument/2006/relationships/hyperlink" Target="https://arxiv.org/abs/2211.05778" TargetMode="External" Id="rId23"/><Relationship Type="http://schemas.openxmlformats.org/officeDocument/2006/relationships/hyperlink" Target="https://github.com/facebookresearch/detr" TargetMode="External" Id="rId24"/><Relationship Type="http://schemas.openxmlformats.org/officeDocument/2006/relationships/hyperlink" Target="https://arxiv.org/abs/2203.16527" TargetMode="External" Id="rId25"/><Relationship Type="http://schemas.openxmlformats.org/officeDocument/2006/relationships/hyperlink" Target="https://arxiv.org/abs/2211.05778" TargetMode="External" Id="rId26"/><Relationship Type="http://schemas.openxmlformats.org/officeDocument/2006/relationships/hyperlink" Target="https://arxiv.org/abs/2103.14030" TargetMode="External" Id="rId27"/><Relationship Type="http://schemas.openxmlformats.org/officeDocument/2006/relationships/hyperlink" Target="https://arxiv.org/abs/2203.11926" TargetMode="External" Id="rId28"/><Relationship Type="http://schemas.openxmlformats.org/officeDocument/2006/relationships/hyperlink" Target="https://arxiv.org/abs/2201.03545" TargetMode="External" Id="rId29"/><Relationship Type="http://schemas.openxmlformats.org/officeDocument/2006/relationships/hyperlink" Target="https://arxiv.org/abs/2204.01697" TargetMode="External" Id="rId30"/><Relationship Type="http://schemas.openxmlformats.org/officeDocument/2006/relationships/hyperlink" Target="https://arxiv.org/abs/2010.04159" TargetMode="External" Id="rId31"/><Relationship Type="http://schemas.openxmlformats.org/officeDocument/2006/relationships/hyperlink" Target="https://arxiv.org/abs/2005.12872" TargetMode="External" Id="rId32"/></Relationships>
</file>

<file path=xl/worksheets/_rels/sheet4.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407.11699"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03.03605" TargetMode="External" Id="rId9"/><Relationship Type="http://schemas.openxmlformats.org/officeDocument/2006/relationships/hyperlink" Target="https://github.com/IDEA-Research/DINO" TargetMode="External" Id="rId10"/><Relationship Type="http://schemas.openxmlformats.org/officeDocument/2006/relationships/hyperlink" Target="https://arxiv.org/abs/2207.13080" TargetMode="External" Id="rId11"/><Relationship Type="http://schemas.openxmlformats.org/officeDocument/2006/relationships/hyperlink" Target="https://github.com/HDETR/H-Deformable-DETR" TargetMode="External" Id="rId12"/><Relationship Type="http://schemas.openxmlformats.org/officeDocument/2006/relationships/hyperlink" Target="https://arxiv.org/abs/2510.25257" TargetMode="External" Id="rId13"/><Relationship Type="http://schemas.openxmlformats.org/officeDocument/2006/relationships/hyperlink" Target="https://github.com/RT-DETRs/RT-DETRv4" TargetMode="External" Id="rId14"/><Relationship Type="http://schemas.openxmlformats.org/officeDocument/2006/relationships/hyperlink" Target="https://arxiv.org/abs/2412.04234" TargetMode="External" Id="rId15"/><Relationship Type="http://schemas.openxmlformats.org/officeDocument/2006/relationships/hyperlink" Target="https://github.com/Intellindust-AI-Lab/DEIM" TargetMode="External" Id="rId16"/><Relationship Type="http://schemas.openxmlformats.org/officeDocument/2006/relationships/hyperlink" Target="https://arxiv.org/abs/2203.01305" TargetMode="External" Id="rId17"/><Relationship Type="http://schemas.openxmlformats.org/officeDocument/2006/relationships/hyperlink" Target="https://github.com/IDEA-Research/DN-DETR" TargetMode="External" Id="rId18"/><Relationship Type="http://schemas.openxmlformats.org/officeDocument/2006/relationships/hyperlink" Target="https://arxiv.org/abs/2201.12329" TargetMode="External" Id="rId19"/><Relationship Type="http://schemas.openxmlformats.org/officeDocument/2006/relationships/hyperlink" Target="https://github.com/IDEA-Research/DAB-DETR" TargetMode="External" Id="rId20"/><Relationship Type="http://schemas.openxmlformats.org/officeDocument/2006/relationships/hyperlink" Target="https://arxiv.org/abs/2005.12872" TargetMode="External" Id="rId21"/><Relationship Type="http://schemas.openxmlformats.org/officeDocument/2006/relationships/hyperlink" Target="https://github.com/facebookresearch/detr" TargetMode="External" Id="rId22"/></Relationships>
</file>

<file path=xl/worksheets/_rels/sheet5.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407.11699"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03.03605" TargetMode="External" Id="rId9"/><Relationship Type="http://schemas.openxmlformats.org/officeDocument/2006/relationships/hyperlink" Target="https://github.com/IDEA-Research/DINO" TargetMode="External" Id="rId10"/><Relationship Type="http://schemas.openxmlformats.org/officeDocument/2006/relationships/hyperlink" Target="https://github.com/roboflow/rf-detr" TargetMode="External" Id="rId11"/><Relationship Type="http://schemas.openxmlformats.org/officeDocument/2006/relationships/hyperlink" Target="https://github.com/RT-DETRs/RT-DETRv4" TargetMode="External" Id="rId12"/><Relationship Type="http://schemas.openxmlformats.org/officeDocument/2006/relationships/hyperlink" Target="https://github.com/Intellindust-AI-Lab/DEIM" TargetMode="External" Id="rId13"/><Relationship Type="http://schemas.openxmlformats.org/officeDocument/2006/relationships/hyperlink" Target="https://github.com/Peterande/D-FINE" TargetMode="External" Id="rId14"/><Relationship Type="http://schemas.openxmlformats.org/officeDocument/2006/relationships/hyperlink" Target="https://arxiv.org/abs/2510.25257" TargetMode="External" Id="rId15"/><Relationship Type="http://schemas.openxmlformats.org/officeDocument/2006/relationships/hyperlink" Target="https://github.com/WongKinYiu/yolov9" TargetMode="External" Id="rId16"/><Relationship Type="http://schemas.openxmlformats.org/officeDocument/2006/relationships/hyperlink" Target="https://arxiv.org/abs/2511.09554" TargetMode="External" Id="rId17"/><Relationship Type="http://schemas.openxmlformats.org/officeDocument/2006/relationships/hyperlink" Target="https://github.com/sunsmarterjie/yolov12" TargetMode="External" Id="rId18"/><Relationship Type="http://schemas.openxmlformats.org/officeDocument/2006/relationships/hyperlink" Target="https://arxiv.org/abs/2412.04234"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arxiv.org/abs/2402.13616" TargetMode="External" Id="rId22"/><Relationship Type="http://schemas.openxmlformats.org/officeDocument/2006/relationships/hyperlink" Target="https://arxiv.org/abs/2502.12524" TargetMode="External" Id="rId23"/><Relationship Type="http://schemas.openxmlformats.org/officeDocument/2006/relationships/hyperlink" Target="https://docs.ultralytics.com/models/yolo11/" TargetMode="External" Id="rId24"/></Relationships>
</file>

<file path=xl/worksheets/_rels/sheet6.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407.11699"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03.03605" TargetMode="External" Id="rId9"/><Relationship Type="http://schemas.openxmlformats.org/officeDocument/2006/relationships/hyperlink" Target="https://github.com/IDEA-Research/DINO" TargetMode="External" Id="rId10"/><Relationship Type="http://schemas.openxmlformats.org/officeDocument/2006/relationships/hyperlink" Target="https://github.com/roboflow/rf-detr" TargetMode="External" Id="rId11"/><Relationship Type="http://schemas.openxmlformats.org/officeDocument/2006/relationships/hyperlink" Target="https://github.com/RT-DETRs/RT-DETRv4" TargetMode="External" Id="rId12"/><Relationship Type="http://schemas.openxmlformats.org/officeDocument/2006/relationships/hyperlink" Target="https://github.com/Intellindust-AI-Lab/DEIM" TargetMode="External" Id="rId13"/><Relationship Type="http://schemas.openxmlformats.org/officeDocument/2006/relationships/hyperlink" Target="https://github.com/Peterande/D-FINE" TargetMode="External" Id="rId14"/><Relationship Type="http://schemas.openxmlformats.org/officeDocument/2006/relationships/hyperlink" Target="https://github.com/WongKinYiu/yolov9" TargetMode="External" Id="rId15"/><Relationship Type="http://schemas.openxmlformats.org/officeDocument/2006/relationships/hyperlink" Target="https://arxiv.org/abs/2510.25257" TargetMode="External" Id="rId16"/><Relationship Type="http://schemas.openxmlformats.org/officeDocument/2006/relationships/hyperlink" Target="https://github.com/sunsmarterjie/yolov12" TargetMode="External" Id="rId17"/><Relationship Type="http://schemas.openxmlformats.org/officeDocument/2006/relationships/hyperlink" Target="https://arxiv.org/abs/2511.09554" TargetMode="External" Id="rId18"/><Relationship Type="http://schemas.openxmlformats.org/officeDocument/2006/relationships/hyperlink" Target="https://github.com/ultralytics/ultralytics" TargetMode="External" Id="rId19"/><Relationship Type="http://schemas.openxmlformats.org/officeDocument/2006/relationships/hyperlink" Target="https://arxiv.org/abs/2412.04234" TargetMode="External" Id="rId20"/><Relationship Type="http://schemas.openxmlformats.org/officeDocument/2006/relationships/hyperlink" Target="https://arxiv.org/abs/2410.13842" TargetMode="External" Id="rId21"/><Relationship Type="http://schemas.openxmlformats.org/officeDocument/2006/relationships/hyperlink" Target="https://arxiv.org/abs/2402.13616" TargetMode="External" Id="rId22"/><Relationship Type="http://schemas.openxmlformats.org/officeDocument/2006/relationships/hyperlink" Target="https://arxiv.org/abs/2502.12524" TargetMode="External" Id="rId23"/><Relationship Type="http://schemas.openxmlformats.org/officeDocument/2006/relationships/hyperlink" Target="https://docs.ultralytics.com/models/yolo11/" TargetMode="External" Id="rId24"/></Relationships>
</file>

<file path=xl/worksheets/_rels/sheet7.xml.rels><Relationships xmlns="http://schemas.openxmlformats.org/package/2006/relationships"><Relationship Type="http://schemas.openxmlformats.org/officeDocument/2006/relationships/hyperlink" Target="https://arxiv.org/abs/2203.03605" TargetMode="External" Id="rId1"/><Relationship Type="http://schemas.openxmlformats.org/officeDocument/2006/relationships/hyperlink" Target="https://github.com/alibaba/easyrobust" TargetMode="External" Id="rId2"/><Relationship Type="http://schemas.openxmlformats.org/officeDocument/2006/relationships/hyperlink" Target="https://arxiv.org/abs/2307.12730" TargetMode="External" Id="rId3"/><Relationship Type="http://schemas.openxmlformats.org/officeDocument/2006/relationships/hyperlink" Target="https://github.com/alibaba/easyrobust" TargetMode="External" Id="rId4"/><Relationship Type="http://schemas.openxmlformats.org/officeDocument/2006/relationships/hyperlink" Target="https://arxiv.org/abs/2307.12730" TargetMode="External" Id="rId5"/><Relationship Type="http://schemas.openxmlformats.org/officeDocument/2006/relationships/hyperlink" Target="https://github.com/alibaba/easyrobust" TargetMode="External" Id="rId6"/><Relationship Type="http://schemas.openxmlformats.org/officeDocument/2006/relationships/hyperlink" Target="https://arxiv.org/abs/2307.12730" TargetMode="External" Id="rId7"/><Relationship Type="http://schemas.openxmlformats.org/officeDocument/2006/relationships/hyperlink" Target="https://github.com/alibaba/easyrobust" TargetMode="External" Id="rId8"/><Relationship Type="http://schemas.openxmlformats.org/officeDocument/2006/relationships/hyperlink" Target="https://arxiv.org/abs/2307.12730" TargetMode="External" Id="rId9"/><Relationship Type="http://schemas.openxmlformats.org/officeDocument/2006/relationships/hyperlink" Target="https://github.com/OpenGVLab/InternImage" TargetMode="External" Id="rId10"/><Relationship Type="http://schemas.openxmlformats.org/officeDocument/2006/relationships/hyperlink" Target="https://arxiv.org/abs/2211.05778" TargetMode="External" Id="rId11"/><Relationship Type="http://schemas.openxmlformats.org/officeDocument/2006/relationships/hyperlink" Target="https://github.com/baaivision/EVA" TargetMode="External" Id="rId12"/><Relationship Type="http://schemas.openxmlformats.org/officeDocument/2006/relationships/hyperlink" Target="https://arxiv.org/abs/2303.11331" TargetMode="External" Id="rId13"/><Relationship Type="http://schemas.openxmlformats.org/officeDocument/2006/relationships/hyperlink" Target="https://github.com/Sense-X/Co-DETR" TargetMode="External" Id="rId14"/><Relationship Type="http://schemas.openxmlformats.org/officeDocument/2006/relationships/hyperlink" Target="https://arxiv.org/abs/2211.12860" TargetMode="External" Id="rId15"/><Relationship Type="http://schemas.openxmlformats.org/officeDocument/2006/relationships/hyperlink" Target="https://github.com/IDEA-Research/DINO" TargetMode="External" Id="rId16"/><Relationship Type="http://schemas.openxmlformats.org/officeDocument/2006/relationships/hyperlink" Target="https://docs.ultralytics.com/models/yolov8/" TargetMode="External" Id="rId17"/><Relationship Type="http://schemas.openxmlformats.org/officeDocument/2006/relationships/hyperlink" Target="https://github.com/ultralytics/ultralytics" TargetMode="External" Id="rId18"/><Relationship Type="http://schemas.openxmlformats.org/officeDocument/2006/relationships/hyperlink" Target="https://arxiv.org/abs/2304.08069" TargetMode="External" Id="rId19"/><Relationship Type="http://schemas.openxmlformats.org/officeDocument/2006/relationships/hyperlink" Target="https://github.com/lyuwenyu/RT-DETR" TargetMode="External" Id="rId20"/><Relationship Type="http://schemas.openxmlformats.org/officeDocument/2006/relationships/hyperlink" Target="https://arxiv.org/abs/2405.10300" TargetMode="External" Id="rId21"/><Relationship Type="http://schemas.openxmlformats.org/officeDocument/2006/relationships/hyperlink" Target="https://github.com/IDEA-Research/Grounding-DINO-1.5-API" TargetMode="External" Id="rId22"/></Relationships>
</file>

<file path=xl/worksheets/_rels/sheet8.xml.rels><Relationships xmlns="http://schemas.openxmlformats.org/package/2006/relationships"><Relationship Type="http://schemas.openxmlformats.org/officeDocument/2006/relationships/hyperlink" Target="https://github.com/IDEA-Research/DINO" TargetMode="External" Id="rId1"/><Relationship Type="http://schemas.openxmlformats.org/officeDocument/2006/relationships/hyperlink" Target="https://arxiv.org/abs/2203.03605" TargetMode="External" Id="rId2"/><Relationship Type="http://schemas.openxmlformats.org/officeDocument/2006/relationships/hyperlink" Target="https://github.com/WongKinYiu/yolov7" TargetMode="External" Id="rId3"/><Relationship Type="http://schemas.openxmlformats.org/officeDocument/2006/relationships/hyperlink" Target="https://arxiv.org/abs/2207.02696" TargetMode="External" Id="rId4"/><Relationship Type="http://schemas.openxmlformats.org/officeDocument/2006/relationships/hyperlink" Target="https://github.com/AlexeyAB/darknet" TargetMode="External" Id="rId5"/><Relationship Type="http://schemas.openxmlformats.org/officeDocument/2006/relationships/hyperlink" Target="https://arxiv.org/abs/2004.10934" TargetMode="External" Id="rId6"/><Relationship Type="http://schemas.openxmlformats.org/officeDocument/2006/relationships/hyperlink" Target="https://github.com/zhaoweicai/cascade-rcnn" TargetMode="External" Id="rId7"/><Relationship Type="http://schemas.openxmlformats.org/officeDocument/2006/relationships/hyperlink" Target="https://arxiv.org/abs/1712.00726" TargetMode="External" Id="rId8"/><Relationship Type="http://schemas.openxmlformats.org/officeDocument/2006/relationships/hyperlink" Target="https://github.com/facebookresearch/detr" TargetMode="External" Id="rId9"/><Relationship Type="http://schemas.openxmlformats.org/officeDocument/2006/relationships/hyperlink" Target="https://arxiv.org/abs/2005.12872" TargetMode="External" Id="rId10"/><Relationship Type="http://schemas.openxmlformats.org/officeDocument/2006/relationships/hyperlink" Target="https://github.com/PeizeSun/SparseR-CNN" TargetMode="External" Id="rId11"/><Relationship Type="http://schemas.openxmlformats.org/officeDocument/2006/relationships/hyperlink" Target="https://arxiv.org/abs/2011.12450" TargetMode="External" Id="rId12"/><Relationship Type="http://schemas.openxmlformats.org/officeDocument/2006/relationships/hyperlink" Target="https://github.com/facebookresearch/Detectron" TargetMode="External" Id="rId13"/><Relationship Type="http://schemas.openxmlformats.org/officeDocument/2006/relationships/hyperlink" Target="https://github.com/rbgirshick/py-faster-rcnn" TargetMode="External" Id="rId14"/><Relationship Type="http://schemas.openxmlformats.org/officeDocument/2006/relationships/hyperlink" Target="https://arxiv.org/abs/1708.02002" TargetMode="External" Id="rId15"/><Relationship Type="http://schemas.openxmlformats.org/officeDocument/2006/relationships/hyperlink" Target="https://github.com/ultralytics/ultralytics" TargetMode="External" Id="rId16"/><Relationship Type="http://schemas.openxmlformats.org/officeDocument/2006/relationships/hyperlink" Target="https://arxiv.org/abs/1506.01497" TargetMode="External" Id="rId17"/><Relationship Type="http://schemas.openxmlformats.org/officeDocument/2006/relationships/hyperlink" Target="https://github.com/Deci-AI/super-gradients" TargetMode="External" Id="rId18"/><Relationship Type="http://schemas.openxmlformats.org/officeDocument/2006/relationships/hyperlink" Target="https://github.com/IDEA-Research/GroundingDINO" TargetMode="External" Id="rId19"/><Relationship Type="http://schemas.openxmlformats.org/officeDocument/2006/relationships/hyperlink" Target="https://docs.ultralytics.com/models/yolov8/" TargetMode="External" Id="rId20"/><Relationship Type="http://schemas.openxmlformats.org/officeDocument/2006/relationships/hyperlink" Target="https://github.com/Deci-AI/super-gradients" TargetMode="External" Id="rId21"/><Relationship Type="http://schemas.openxmlformats.org/officeDocument/2006/relationships/hyperlink" Target="https://arxiv.org/abs/2303.05499" TargetMode="External" Id="rId22"/></Relationships>
</file>

<file path=xl/worksheets/_rels/sheet9.xml.rels><Relationships xmlns="http://schemas.openxmlformats.org/package/2006/relationships"><Relationship Type="http://schemas.openxmlformats.org/officeDocument/2006/relationships/hyperlink" Target="https://arxiv.org/abs/2207.13165" TargetMode="External" Id="rId1"/><Relationship Type="http://schemas.openxmlformats.org/officeDocument/2006/relationships/hyperlink" Target="https://github.com/anlinzheng/iter-deformable-detr" TargetMode="External" Id="rId2"/><Relationship Type="http://schemas.openxmlformats.org/officeDocument/2006/relationships/hyperlink" Target="https://arxiv.org/abs/2012.06785" TargetMode="External" Id="rId3"/><Relationship Type="http://schemas.openxmlformats.org/officeDocument/2006/relationships/hyperlink" Target="https://github.com/Hatins/DEYOLO" TargetMode="External" Id="rId4"/><Relationship Type="http://schemas.openxmlformats.org/officeDocument/2006/relationships/hyperlink" Target="https://arxiv.org/abs/2010.04159" TargetMode="External" Id="rId5"/><Relationship Type="http://schemas.openxmlformats.org/officeDocument/2006/relationships/hyperlink" Target="https://github.com/fundamentalvision/Deformable-DETR" TargetMode="External" Id="rId6"/><Relationship Type="http://schemas.openxmlformats.org/officeDocument/2006/relationships/hyperlink" Target="https://arxiv.org/abs/2011.12450" TargetMode="External" Id="rId7"/><Relationship Type="http://schemas.openxmlformats.org/officeDocument/2006/relationships/hyperlink" Target="https://github.com/PeizeSun/SparseR-CNN" TargetMode="External" Id="rId8"/><Relationship Type="http://schemas.openxmlformats.org/officeDocument/2006/relationships/hyperlink" Target="https://arxiv.org/abs/2003.07847" TargetMode="External" Id="rId9"/><Relationship Type="http://schemas.openxmlformats.org/officeDocument/2006/relationships/hyperlink" Target="https://github.com/Megvii-BaseDetection/CrowdDetection" TargetMode="External" Id="rId10"/><Relationship Type="http://schemas.openxmlformats.org/officeDocument/2006/relationships/hyperlink" Target="https://arxiv.org/abs/2003.07847" TargetMode="External" Id="rId11"/><Relationship Type="http://schemas.openxmlformats.org/officeDocument/2006/relationships/hyperlink" Target="https://github.com/Purkialo/CrowdDet" TargetMode="External" Id="rId12"/><Relationship Type="http://schemas.openxmlformats.org/officeDocument/2006/relationships/hyperlink" Target="https://arxiv.org/abs/2207.02696" TargetMode="External" Id="rId13"/><Relationship Type="http://schemas.openxmlformats.org/officeDocument/2006/relationships/hyperlink" Target="https://github.com/WongKinYiu/yolov7" TargetMode="External" Id="rId14"/><Relationship Type="http://schemas.openxmlformats.org/officeDocument/2006/relationships/hyperlink" Target="https://arxiv.org/abs/2003.07847" TargetMode="External" Id="rId15"/><Relationship Type="http://schemas.openxmlformats.org/officeDocument/2006/relationships/hyperlink" Target="https://github.com/Purkialo/CrowdDet" TargetMode="External" Id="rId16"/><Relationship Type="http://schemas.openxmlformats.org/officeDocument/2006/relationships/hyperlink" Target="https://arxiv.org/abs/1805.00123" TargetMode="External" Id="rId17"/><Relationship Type="http://schemas.openxmlformats.org/officeDocument/2006/relationships/hyperlink" Target="https://github.com/Purkialo/CrowdDet" TargetMode="External" Id="rId18"/><Relationship Type="http://schemas.openxmlformats.org/officeDocument/2006/relationships/hyperlink" Target="https://arxiv.org/abs/2309.00000" TargetMode="External" Id="rId19"/><Relationship Type="http://schemas.openxmlformats.org/officeDocument/2006/relationships/hyperlink" Target="https://github.com/" TargetMode="External" Id="rId20"/><Relationship Type="http://schemas.openxmlformats.org/officeDocument/2006/relationships/hyperlink" Target="https://docs.ultralytics.com/models/yolov8/" TargetMode="External" Id="rId21"/><Relationship Type="http://schemas.openxmlformats.org/officeDocument/2006/relationships/hyperlink" Target="https://github.com/ultralytics/ultralytics" TargetMode="External" Id="rId22"/></Relationships>
</file>

<file path=xl/worksheets/_rels/sheet10.xml.rels><Relationships xmlns="http://schemas.openxmlformats.org/package/2006/relationships"><Relationship Type="http://schemas.openxmlformats.org/officeDocument/2006/relationships/hyperlink" Target="https://arxiv.org/abs/2403.11249" TargetMode="External" Id="rId1"/><Relationship Type="http://schemas.openxmlformats.org/officeDocument/2006/relationships/hyperlink" Target="https://arxiv.org/abs/2403.11249" TargetMode="External" Id="rId2"/><Relationship Type="http://schemas.openxmlformats.org/officeDocument/2006/relationships/hyperlink" Target="https://arxiv.org/abs/2403.11249" TargetMode="External" Id="rId3"/><Relationship Type="http://schemas.openxmlformats.org/officeDocument/2006/relationships/hyperlink" Target="https://arxiv.org/abs/2403.11249" TargetMode="External" Id="rId4"/><Relationship Type="http://schemas.openxmlformats.org/officeDocument/2006/relationships/hyperlink" Target="https://arxiv.org/abs/2403.11249" TargetMode="External" Id="rId5"/><Relationship Type="http://schemas.openxmlformats.org/officeDocument/2006/relationships/hyperlink" Target="https://arxiv.org/abs/2403.11249" TargetMode="External" Id="rId6"/><Relationship Type="http://schemas.openxmlformats.org/officeDocument/2006/relationships/hyperlink" Target="https://arxiv.org/abs/2403.11249" TargetMode="External" Id="rId7"/><Relationship Type="http://schemas.openxmlformats.org/officeDocument/2006/relationships/hyperlink" Target="https://arxiv.org/abs/2403.11249" TargetMode="External" Id="rId8"/></Relationships>
</file>

<file path=xl/worksheets/_rels/sheet11.xml.rels><Relationships xmlns="http://schemas.openxmlformats.org/package/2006/relationships"><Relationship Type="http://schemas.openxmlformats.org/officeDocument/2006/relationships/hyperlink" Target="https://arxiv.org/abs/2112.09569" TargetMode="External" Id="rId1"/><Relationship Type="http://schemas.openxmlformats.org/officeDocument/2006/relationships/hyperlink" Target="https://arxiv.org/abs/2112.09569" TargetMode="External" Id="rId2"/><Relationship Type="http://schemas.openxmlformats.org/officeDocument/2006/relationships/hyperlink" Target="https://arxiv.org/abs/2112.09569" TargetMode="External" Id="rId3"/><Relationship Type="http://schemas.openxmlformats.org/officeDocument/2006/relationships/hyperlink" Target="https://arxiv.org/abs/2112.09569" TargetMode="External" Id="rId4"/><Relationship Type="http://schemas.openxmlformats.org/officeDocument/2006/relationships/hyperlink" Target="https://arxiv.org/abs/2112.09569" TargetMode="External" Id="rId5"/><Relationship Type="http://schemas.openxmlformats.org/officeDocument/2006/relationships/hyperlink" Target="https://arxiv.org/abs/2112.09569" TargetMode="External" Id="rId6"/><Relationship Type="http://schemas.openxmlformats.org/officeDocument/2006/relationships/hyperlink" Target="https://arxiv.org/abs/2112.09569" TargetMode="External" Id="rId7"/><Relationship Type="http://schemas.openxmlformats.org/officeDocument/2006/relationships/hyperlink" Target="https://arxiv.org/abs/2112.09569" TargetMode="External" Id="rId8"/><Relationship Type="http://schemas.openxmlformats.org/officeDocument/2006/relationships/hyperlink" Target="https://arxiv.org/abs/2112.09569" TargetMode="External" Id="rId9"/><Relationship Type="http://schemas.openxmlformats.org/officeDocument/2006/relationships/hyperlink" Target="https://arxiv.org/abs/2112.09569" TargetMode="External" Id="rId10"/><Relationship Type="http://schemas.openxmlformats.org/officeDocument/2006/relationships/hyperlink" Target="https://arxiv.org/abs/2112.09569" TargetMode="External" Id="rId11"/><Relationship Type="http://schemas.openxmlformats.org/officeDocument/2006/relationships/hyperlink" Target="https://arxiv.org/abs/2112.09569" TargetMode="External" Id="rId12"/><Relationship Type="http://schemas.openxmlformats.org/officeDocument/2006/relationships/hyperlink" Target="https://arxiv.org/abs/2112.09569" TargetMode="External" Id="rId13"/><Relationship Type="http://schemas.openxmlformats.org/officeDocument/2006/relationships/hyperlink" Target="https://arxiv.org/abs/2112.09569" TargetMode="External" Id="rId14"/><Relationship Type="http://schemas.openxmlformats.org/officeDocument/2006/relationships/hyperlink" Target="https://arxiv.org/abs/2112.09569" TargetMode="External" Id="rId15"/></Relationships>
</file>

<file path=xl/worksheets/_rels/sheet12.xml.rels><Relationships xmlns="http://schemas.openxmlformats.org/package/2006/relationships"><Relationship Type="http://schemas.openxmlformats.org/officeDocument/2006/relationships/hyperlink" Target="https://arxiv.org/abs/2008.01365" TargetMode="External" Id="rId1"/><Relationship Type="http://schemas.openxmlformats.org/officeDocument/2006/relationships/hyperlink" Target="https://arxiv.org/abs/2008.01365" TargetMode="External" Id="rId2"/><Relationship Type="http://schemas.openxmlformats.org/officeDocument/2006/relationships/hyperlink" Target="https://arxiv.org/abs/2008.01365" TargetMode="External" Id="rId3"/><Relationship Type="http://schemas.openxmlformats.org/officeDocument/2006/relationships/hyperlink" Target="https://arxiv.org/abs/2008.01365" TargetMode="External" Id="rId4"/><Relationship Type="http://schemas.openxmlformats.org/officeDocument/2006/relationships/hyperlink" Target="https://arxiv.org/abs/2008.01365" TargetMode="External" Id="rId5"/></Relationships>
</file>

<file path=xl/worksheets/_rels/sheet13.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4.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5.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6.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7.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18.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19.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0.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1.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2.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3.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4.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5.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6.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7.xml.rels><Relationships xmlns="http://schemas.openxmlformats.org/package/2006/relationships"><Relationship Type="http://schemas.openxmlformats.org/officeDocument/2006/relationships/hyperlink" Target="https://arxiv.org/abs/2402.03094" TargetMode="External" Id="rId1"/><Relationship Type="http://schemas.openxmlformats.org/officeDocument/2006/relationships/hyperlink" Target="https://github.com/lovelyqian/CDFSOD-benchmark" TargetMode="External" Id="rId2"/><Relationship Type="http://schemas.openxmlformats.org/officeDocument/2006/relationships/hyperlink" Target="https://arxiv.org/abs/2304.00000" TargetMode="External" Id="rId3"/><Relationship Type="http://schemas.openxmlformats.org/officeDocument/2006/relationships/hyperlink" Target="https://github.com/" TargetMode="External" Id="rId4"/><Relationship Type="http://schemas.openxmlformats.org/officeDocument/2006/relationships/hyperlink" Target="https://arxiv.org/abs/1909.13032" TargetMode="External" Id="rId5"/><Relationship Type="http://schemas.openxmlformats.org/officeDocument/2006/relationships/hyperlink" Target="https://github.com/yanxp/MetaR-CNN" TargetMode="External" Id="rId6"/><Relationship Type="http://schemas.openxmlformats.org/officeDocument/2006/relationships/hyperlink" Target="https://github.com/lovelyqian/CDFSOD-benchmark" TargetMode="External" Id="rId7"/><Relationship Type="http://schemas.openxmlformats.org/officeDocument/2006/relationships/hyperlink" Target="https://github.com/lovelyqian/CDFSOD-benchmark" TargetMode="External" Id="rId8"/><Relationship Type="http://schemas.openxmlformats.org/officeDocument/2006/relationships/hyperlink" Target="https://arxiv.org/abs/2201.02605" TargetMode="External" Id="rId9"/><Relationship Type="http://schemas.openxmlformats.org/officeDocument/2006/relationships/hyperlink" Target="https://github.com/facebookresearch/Detic" TargetMode="External" Id="rId10"/><Relationship Type="http://schemas.openxmlformats.org/officeDocument/2006/relationships/hyperlink" Target="https://arxiv.org/abs/2303.05499" TargetMode="External" Id="rId11"/><Relationship Type="http://schemas.openxmlformats.org/officeDocument/2006/relationships/hyperlink" Target="https://github.com/IDEA-Research/GroundingDINO" TargetMode="External" Id="rId12"/><Relationship Type="http://schemas.openxmlformats.org/officeDocument/2006/relationships/hyperlink" Target="https://arxiv.org/abs/2504.10685" TargetMode="External" Id="rId13"/><Relationship Type="http://schemas.openxmlformats.org/officeDocument/2006/relationships/hyperlink" Target="https://github.com/lovelyqian/NTIRE2025_CDFSOD" TargetMode="External" Id="rId14"/><Relationship Type="http://schemas.openxmlformats.org/officeDocument/2006/relationships/hyperlink" Target="https://arxiv.org/abs/2108.09017" TargetMode="External" Id="rId15"/><Relationship Type="http://schemas.openxmlformats.org/officeDocument/2006/relationships/hyperlink" Target="https://github.com/er-muyue/DeFRCN" TargetMode="External" Id="rId16"/><Relationship Type="http://schemas.openxmlformats.org/officeDocument/2006/relationships/hyperlink" Target="https://arxiv.org/abs/2103.05950" TargetMode="External" Id="rId17"/><Relationship Type="http://schemas.openxmlformats.org/officeDocument/2006/relationships/hyperlink" Target="https://github.com/megvii-research/FSCE"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2.03094" TargetMode="External" Id="rId21"/><Relationship Type="http://schemas.openxmlformats.org/officeDocument/2006/relationships/hyperlink" Target="https://github.com/lovelyqian/CDFSOD-benchmark" TargetMode="External" Id="rId22"/></Relationships>
</file>

<file path=xl/worksheets/_rels/sheet28.xml.rels><Relationships xmlns="http://schemas.openxmlformats.org/package/2006/relationships"><Relationship Type="http://schemas.openxmlformats.org/officeDocument/2006/relationships/hyperlink" Target="https://arxiv.org/abs/2204.05507" TargetMode="External" Id="rId1"/><Relationship Type="http://schemas.openxmlformats.org/officeDocument/2006/relationships/hyperlink" Target="https://github.com/fcdl94/MMA" TargetMode="External" Id="rId2"/><Relationship Type="http://schemas.openxmlformats.org/officeDocument/2006/relationships/hyperlink" Target="https://arxiv.org/abs/2305.18068" TargetMode="External" Id="rId3"/><Relationship Type="http://schemas.openxmlformats.org/officeDocument/2006/relationships/hyperlink" Target="https://github.com/Yiyao-Liu/ABR" TargetMode="External" Id="rId4"/><Relationship Type="http://schemas.openxmlformats.org/officeDocument/2006/relationships/hyperlink" Target="https://arxiv.org/abs/2204.02136" TargetMode="External" Id="rId5"/><Relationship Type="http://schemas.openxmlformats.org/officeDocument/2006/relationships/hyperlink" Target="https://github.com/Hi-FT/ERD" TargetMode="External" Id="rId6"/><Relationship Type="http://schemas.openxmlformats.org/officeDocument/2006/relationships/hyperlink" Target="https://arxiv.org/abs/2304.03110" TargetMode="External" Id="rId7"/><Relationship Type="http://schemas.openxmlformats.org/officeDocument/2006/relationships/hyperlink" Target="https://github.com/yaoyao-liu/CL-DETR" TargetMode="External" Id="rId8"/><Relationship Type="http://schemas.openxmlformats.org/officeDocument/2006/relationships/hyperlink" Target="https://arxiv.org/abs/2212.01424" TargetMode="External" Id="rId9"/><Relationship Type="http://schemas.openxmlformats.org/officeDocument/2006/relationships/hyperlink" Target="https://github.com/orrzohar/PROB" TargetMode="External" Id="rId10"/><Relationship Type="http://schemas.openxmlformats.org/officeDocument/2006/relationships/hyperlink" Target="https://arxiv.org/abs/1606.09282" TargetMode="External" Id="rId11"/><Relationship Type="http://schemas.openxmlformats.org/officeDocument/2006/relationships/hyperlink" Target="https://github.com/lhyfst/LwF" TargetMode="External" Id="rId12"/><Relationship Type="http://schemas.openxmlformats.org/officeDocument/2006/relationships/hyperlink" Target="https://arxiv.org/abs/2003.03901" TargetMode="External" Id="rId13"/><Relationship Type="http://schemas.openxmlformats.org/officeDocument/2006/relationships/hyperlink" Target="https://github.com/JosephKJ/iOD" TargetMode="External" Id="rId14"/><Relationship Type="http://schemas.openxmlformats.org/officeDocument/2006/relationships/hyperlink" Target="https://arxiv.org/abs/2103.02603" TargetMode="External" Id="rId15"/><Relationship Type="http://schemas.openxmlformats.org/officeDocument/2006/relationships/hyperlink" Target="https://github.com/JosephKJ/OWOD" TargetMode="External" Id="rId16"/><Relationship Type="http://schemas.openxmlformats.org/officeDocument/2006/relationships/hyperlink" Target="https://arxiv.org/abs/2112.01513" TargetMode="External" Id="rId17"/><Relationship Type="http://schemas.openxmlformats.org/officeDocument/2006/relationships/hyperlink" Target="https://github.com/akshitac8/OW-DETR" TargetMode="External" Id="rId18"/><Relationship Type="http://schemas.openxmlformats.org/officeDocument/2006/relationships/hyperlink" Target="https://arxiv.org/abs/2404.00000" TargetMode="External" Id="rId19"/><Relationship Type="http://schemas.openxmlformats.org/officeDocument/2006/relationships/hyperlink" Target="https://github.com/" TargetMode="External" Id="rId20"/><Relationship Type="http://schemas.openxmlformats.org/officeDocument/2006/relationships/hyperlink" Target="https://arxiv.org/abs/1506.01497" TargetMode="External" Id="rId21"/><Relationship Type="http://schemas.openxmlformats.org/officeDocument/2006/relationships/hyperlink" Target="https://github.com/rbgirshick/py-faster-rcnn" TargetMode="External" Id="rId22"/></Relationships>
</file>

<file path=xl/worksheets/_rels/sheet29.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7.09384" TargetMode="External" Id="rId9"/><Relationship Type="http://schemas.openxmlformats.org/officeDocument/2006/relationships/hyperlink" Target="https://github.com/jiaxi-wu/MPSR" TargetMode="External" Id="rId10"/><Relationship Type="http://schemas.openxmlformats.org/officeDocument/2006/relationships/hyperlink" Target="https://arxiv.org/abs/2003.06957" TargetMode="External" Id="rId11"/><Relationship Type="http://schemas.openxmlformats.org/officeDocument/2006/relationships/hyperlink" Target="https://github.com/ucbdrive/few-shot-object-detection"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0.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7.09384" TargetMode="External" Id="rId9"/><Relationship Type="http://schemas.openxmlformats.org/officeDocument/2006/relationships/hyperlink" Target="https://github.com/jiaxi-wu/MPSR" TargetMode="External" Id="rId10"/><Relationship Type="http://schemas.openxmlformats.org/officeDocument/2006/relationships/hyperlink" Target="https://arxiv.org/abs/2003.06957" TargetMode="External" Id="rId11"/><Relationship Type="http://schemas.openxmlformats.org/officeDocument/2006/relationships/hyperlink" Target="https://github.com/ucbdrive/few-shot-object-detection"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1.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3.06957" TargetMode="External" Id="rId9"/><Relationship Type="http://schemas.openxmlformats.org/officeDocument/2006/relationships/hyperlink" Target="https://github.com/ucbdrive/few-shot-object-detection" TargetMode="External" Id="rId10"/><Relationship Type="http://schemas.openxmlformats.org/officeDocument/2006/relationships/hyperlink" Target="https://arxiv.org/abs/2007.09384" TargetMode="External" Id="rId11"/><Relationship Type="http://schemas.openxmlformats.org/officeDocument/2006/relationships/hyperlink" Target="https://github.com/jiaxi-wu/MPSR"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2.xml.rels><Relationships xmlns="http://schemas.openxmlformats.org/package/2006/relationships"><Relationship Type="http://schemas.openxmlformats.org/officeDocument/2006/relationships/hyperlink" Target="https://arxiv.org/abs/2108.09017" TargetMode="External" Id="rId1"/><Relationship Type="http://schemas.openxmlformats.org/officeDocument/2006/relationships/hyperlink" Target="https://github.com/er-muyue/DeFRCN" TargetMode="External" Id="rId2"/><Relationship Type="http://schemas.openxmlformats.org/officeDocument/2006/relationships/hyperlink" Target="https://arxiv.org/abs/2208.00219" TargetMode="External" Id="rId3"/><Relationship Type="http://schemas.openxmlformats.org/officeDocument/2006/relationships/hyperlink" Target="https://github.com/ZhangGongjie/Meta-DETR"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7.09384" TargetMode="External" Id="rId9"/><Relationship Type="http://schemas.openxmlformats.org/officeDocument/2006/relationships/hyperlink" Target="https://github.com/jiaxi-wu/MPSR" TargetMode="External" Id="rId10"/><Relationship Type="http://schemas.openxmlformats.org/officeDocument/2006/relationships/hyperlink" Target="https://arxiv.org/abs/2003.06957" TargetMode="External" Id="rId11"/><Relationship Type="http://schemas.openxmlformats.org/officeDocument/2006/relationships/hyperlink" Target="https://github.com/ucbdrive/few-shot-object-detection"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3.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3.06957" TargetMode="External" Id="rId9"/><Relationship Type="http://schemas.openxmlformats.org/officeDocument/2006/relationships/hyperlink" Target="https://github.com/ucbdrive/few-shot-object-detection" TargetMode="External" Id="rId10"/><Relationship Type="http://schemas.openxmlformats.org/officeDocument/2006/relationships/hyperlink" Target="https://arxiv.org/abs/2007.09384" TargetMode="External" Id="rId11"/><Relationship Type="http://schemas.openxmlformats.org/officeDocument/2006/relationships/hyperlink" Target="https://github.com/jiaxi-wu/MPSR"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4.xml.rels><Relationships xmlns="http://schemas.openxmlformats.org/package/2006/relationships"><Relationship Type="http://schemas.openxmlformats.org/officeDocument/2006/relationships/hyperlink" Target="https://github.com/facebookresearch/Detic" TargetMode="External" Id="rId1"/><Relationship Type="http://schemas.openxmlformats.org/officeDocument/2006/relationships/hyperlink" Target="https://github.com/IDEA-Research/Grounding-DINO-1.5-API" TargetMode="External" Id="rId2"/><Relationship Type="http://schemas.openxmlformats.org/officeDocument/2006/relationships/hyperlink" Target="https://github.com/IDEA-Research/GroundingDINO" TargetMode="External" Id="rId3"/><Relationship Type="http://schemas.openxmlformats.org/officeDocument/2006/relationships/hyperlink" Target="https://arxiv.org/abs/2411.14347" TargetMode="External" Id="rId4"/><Relationship Type="http://schemas.openxmlformats.org/officeDocument/2006/relationships/hyperlink" Target="https://github.com/microsoft/GLIP" TargetMode="External" Id="rId5"/><Relationship Type="http://schemas.openxmlformats.org/officeDocument/2006/relationships/hyperlink" Target="https://arxiv.org/abs/2405.10300" TargetMode="External" Id="rId6"/><Relationship Type="http://schemas.openxmlformats.org/officeDocument/2006/relationships/hyperlink" Target="https://github.com/google-research/scenic/tree/main/scenic/projects/owl_vit" TargetMode="External" Id="rId7"/><Relationship Type="http://schemas.openxmlformats.org/officeDocument/2006/relationships/hyperlink" Target="https://arxiv.org/abs/2303.11331" TargetMode="External" Id="rId8"/><Relationship Type="http://schemas.openxmlformats.org/officeDocument/2006/relationships/hyperlink" Target="https://github.com/IDEA-Research/DINO-X-API" TargetMode="External" Id="rId9"/><Relationship Type="http://schemas.openxmlformats.org/officeDocument/2006/relationships/hyperlink" Target="https://arxiv.org/abs/2306.09683" TargetMode="External" Id="rId10"/><Relationship Type="http://schemas.openxmlformats.org/officeDocument/2006/relationships/hyperlink" Target="https://github.com/AILab-CVC/YOLO-World" TargetMode="External" Id="rId11"/><Relationship Type="http://schemas.openxmlformats.org/officeDocument/2006/relationships/hyperlink" Target="https://github.com/microsoft/RegionCLIP" TargetMode="External" Id="rId12"/><Relationship Type="http://schemas.openxmlformats.org/officeDocument/2006/relationships/hyperlink" Target="https://arxiv.org/abs/2201.02605" TargetMode="External" Id="rId13"/><Relationship Type="http://schemas.openxmlformats.org/officeDocument/2006/relationships/hyperlink" Target="https://github.com/zhenyuw16/UniDetector" TargetMode="External" Id="rId14"/><Relationship Type="http://schemas.openxmlformats.org/officeDocument/2006/relationships/hyperlink" Target="https://arxiv.org/abs/2201.02605" TargetMode="External" Id="rId15"/><Relationship Type="http://schemas.openxmlformats.org/officeDocument/2006/relationships/hyperlink" Target="https://github.com/facebookresearch/Detic" TargetMode="External" Id="rId16"/><Relationship Type="http://schemas.openxmlformats.org/officeDocument/2006/relationships/hyperlink" Target="https://arxiv.org/abs/2401.17270" TargetMode="External" Id="rId17"/><Relationship Type="http://schemas.openxmlformats.org/officeDocument/2006/relationships/hyperlink" Target="https://github.com/baaivision/EVA" TargetMode="External" Id="rId18"/><Relationship Type="http://schemas.openxmlformats.org/officeDocument/2006/relationships/hyperlink" Target="https://arxiv.org/abs/2303.05499" TargetMode="External" Id="rId19"/><Relationship Type="http://schemas.openxmlformats.org/officeDocument/2006/relationships/hyperlink" Target="https://arxiv.org/abs/2112.09106" TargetMode="External" Id="rId20"/><Relationship Type="http://schemas.openxmlformats.org/officeDocument/2006/relationships/hyperlink" Target="https://arxiv.org/abs/2112.03857" TargetMode="External" Id="rId21"/><Relationship Type="http://schemas.openxmlformats.org/officeDocument/2006/relationships/hyperlink" Target="https://arxiv.org/abs/2303.11749" TargetMode="External" Id="rId22"/></Relationships>
</file>

<file path=xl/worksheets/_rels/sheet35.xml.rels><Relationships xmlns="http://schemas.openxmlformats.org/package/2006/relationships"><Relationship Type="http://schemas.openxmlformats.org/officeDocument/2006/relationships/hyperlink" Target="https://arxiv.org/abs/2201.02605" TargetMode="External" Id="rId1"/><Relationship Type="http://schemas.openxmlformats.org/officeDocument/2006/relationships/hyperlink" Target="https://github.com/facebookresearch/Detic" TargetMode="External" Id="rId2"/><Relationship Type="http://schemas.openxmlformats.org/officeDocument/2006/relationships/hyperlink" Target="https://arxiv.org/abs/2405.10300" TargetMode="External" Id="rId3"/><Relationship Type="http://schemas.openxmlformats.org/officeDocument/2006/relationships/hyperlink" Target="https://github.com/IDEA-Research/Grounding-DINO-1.5-API" TargetMode="External" Id="rId4"/><Relationship Type="http://schemas.openxmlformats.org/officeDocument/2006/relationships/hyperlink" Target="https://arxiv.org/abs/2303.05499" TargetMode="External" Id="rId5"/><Relationship Type="http://schemas.openxmlformats.org/officeDocument/2006/relationships/hyperlink" Target="https://github.com/IDEA-Research/GroundingDINO" TargetMode="External" Id="rId6"/><Relationship Type="http://schemas.openxmlformats.org/officeDocument/2006/relationships/hyperlink" Target="https://arxiv.org/abs/2112.03857" TargetMode="External" Id="rId7"/><Relationship Type="http://schemas.openxmlformats.org/officeDocument/2006/relationships/hyperlink" Target="https://github.com/microsoft/GLIP" TargetMode="External" Id="rId8"/><Relationship Type="http://schemas.openxmlformats.org/officeDocument/2006/relationships/hyperlink" Target="https://arxiv.org/abs/2306.09683" TargetMode="External" Id="rId9"/><Relationship Type="http://schemas.openxmlformats.org/officeDocument/2006/relationships/hyperlink" Target="https://github.com/google-research/scenic/tree/main/scenic/projects/owl_vit" TargetMode="External" Id="rId10"/><Relationship Type="http://schemas.openxmlformats.org/officeDocument/2006/relationships/hyperlink" Target="https://arxiv.org/abs/2411.14347" TargetMode="External" Id="rId11"/><Relationship Type="http://schemas.openxmlformats.org/officeDocument/2006/relationships/hyperlink" Target="https://github.com/IDEA-Research/DINO-X-API" TargetMode="External" Id="rId12"/><Relationship Type="http://schemas.openxmlformats.org/officeDocument/2006/relationships/hyperlink" Target="https://arxiv.org/abs/2401.17270" TargetMode="External" Id="rId13"/><Relationship Type="http://schemas.openxmlformats.org/officeDocument/2006/relationships/hyperlink" Target="https://github.com/AILab-CVC/YOLO-World" TargetMode="External" Id="rId14"/><Relationship Type="http://schemas.openxmlformats.org/officeDocument/2006/relationships/hyperlink" Target="https://arxiv.org/abs/2112.09106" TargetMode="External" Id="rId15"/><Relationship Type="http://schemas.openxmlformats.org/officeDocument/2006/relationships/hyperlink" Target="https://github.com/microsoft/RegionCLIP" TargetMode="External" Id="rId16"/><Relationship Type="http://schemas.openxmlformats.org/officeDocument/2006/relationships/hyperlink" Target="https://arxiv.org/abs/2303.11749" TargetMode="External" Id="rId17"/><Relationship Type="http://schemas.openxmlformats.org/officeDocument/2006/relationships/hyperlink" Target="https://github.com/zhenyuw16/UniDetector" TargetMode="External" Id="rId18"/><Relationship Type="http://schemas.openxmlformats.org/officeDocument/2006/relationships/hyperlink" Target="https://arxiv.org/abs/2201.02605" TargetMode="External" Id="rId19"/><Relationship Type="http://schemas.openxmlformats.org/officeDocument/2006/relationships/hyperlink" Target="https://github.com/facebookresearch/Detic" TargetMode="External" Id="rId20"/><Relationship Type="http://schemas.openxmlformats.org/officeDocument/2006/relationships/hyperlink" Target="https://arxiv.org/abs/2303.11331" TargetMode="External" Id="rId21"/><Relationship Type="http://schemas.openxmlformats.org/officeDocument/2006/relationships/hyperlink" Target="https://github.com/baaivision/EVA" TargetMode="External" Id="rId22"/></Relationships>
</file>

<file path=xl/worksheets/_rels/sheet36.xml.rels><Relationships xmlns="http://schemas.openxmlformats.org/package/2006/relationships"><Relationship Type="http://schemas.openxmlformats.org/officeDocument/2006/relationships/hyperlink" Target="https://arxiv.org/abs/2405.10300" TargetMode="External" Id="rId1"/><Relationship Type="http://schemas.openxmlformats.org/officeDocument/2006/relationships/hyperlink" Target="https://github.com/IDEA-Research/Grounding-DINO-1.5-API" TargetMode="External" Id="rId2"/><Relationship Type="http://schemas.openxmlformats.org/officeDocument/2006/relationships/hyperlink" Target="https://arxiv.org/abs/2303.05499" TargetMode="External" Id="rId3"/><Relationship Type="http://schemas.openxmlformats.org/officeDocument/2006/relationships/hyperlink" Target="https://github.com/IDEA-Research/GroundingDINO" TargetMode="External" Id="rId4"/><Relationship Type="http://schemas.openxmlformats.org/officeDocument/2006/relationships/hyperlink" Target="https://arxiv.org/abs/2411.14347" TargetMode="External" Id="rId5"/><Relationship Type="http://schemas.openxmlformats.org/officeDocument/2006/relationships/hyperlink" Target="https://github.com/IDEA-Research/DINO-X-API" TargetMode="External" Id="rId6"/><Relationship Type="http://schemas.openxmlformats.org/officeDocument/2006/relationships/hyperlink" Target="https://arxiv.org/abs/2112.03857" TargetMode="External" Id="rId7"/><Relationship Type="http://schemas.openxmlformats.org/officeDocument/2006/relationships/hyperlink" Target="https://github.com/microsoft/GLIP" TargetMode="External" Id="rId8"/><Relationship Type="http://schemas.openxmlformats.org/officeDocument/2006/relationships/hyperlink" Target="https://arxiv.org/abs/2206.05836" TargetMode="External" Id="rId9"/><Relationship Type="http://schemas.openxmlformats.org/officeDocument/2006/relationships/hyperlink" Target="https://github.com/microsoft/GLIP" TargetMode="External" Id="rId10"/><Relationship Type="http://schemas.openxmlformats.org/officeDocument/2006/relationships/hyperlink" Target="https://arxiv.org/abs/2205.06230" TargetMode="External" Id="rId11"/><Relationship Type="http://schemas.openxmlformats.org/officeDocument/2006/relationships/hyperlink" Target="https://github.com/google-research/scenic/tree/main/scenic/projects/owl_vit" TargetMode="External" Id="rId12"/><Relationship Type="http://schemas.openxmlformats.org/officeDocument/2006/relationships/hyperlink" Target="https://arxiv.org/abs/2306.09683" TargetMode="External" Id="rId13"/><Relationship Type="http://schemas.openxmlformats.org/officeDocument/2006/relationships/hyperlink" Target="https://github.com/google-research/scenic/tree/main/scenic/projects/owl_vit" TargetMode="External" Id="rId14"/><Relationship Type="http://schemas.openxmlformats.org/officeDocument/2006/relationships/hyperlink" Target="https://arxiv.org/abs/2201.02605" TargetMode="External" Id="rId15"/><Relationship Type="http://schemas.openxmlformats.org/officeDocument/2006/relationships/hyperlink" Target="https://github.com/facebookresearch/Detic" TargetMode="External" Id="rId16"/><Relationship Type="http://schemas.openxmlformats.org/officeDocument/2006/relationships/hyperlink" Target="https://arxiv.org/abs/2112.09106" TargetMode="External" Id="rId17"/><Relationship Type="http://schemas.openxmlformats.org/officeDocument/2006/relationships/hyperlink" Target="https://github.com/microsoft/RegionCLIP" TargetMode="External" Id="rId18"/><Relationship Type="http://schemas.openxmlformats.org/officeDocument/2006/relationships/hyperlink" Target="https://arxiv.org/abs/2303.11749" TargetMode="External" Id="rId19"/><Relationship Type="http://schemas.openxmlformats.org/officeDocument/2006/relationships/hyperlink" Target="https://github.com/zhenyuw16/UniDetector" TargetMode="External" Id="rId20"/><Relationship Type="http://schemas.openxmlformats.org/officeDocument/2006/relationships/hyperlink" Target="https://arxiv.org/abs/2401.17270" TargetMode="External" Id="rId21"/><Relationship Type="http://schemas.openxmlformats.org/officeDocument/2006/relationships/hyperlink" Target="https://github.com/AILab-CVC/YOLO-World" TargetMode="External" Id="rId22"/></Relationships>
</file>

<file path=xl/worksheets/_rels/sheet37.xml.rels><Relationships xmlns="http://schemas.openxmlformats.org/package/2006/relationships"><Relationship Type="http://schemas.openxmlformats.org/officeDocument/2006/relationships/hyperlink" Target="https://arxiv.org/abs/2405.10300" TargetMode="External" Id="rId1"/><Relationship Type="http://schemas.openxmlformats.org/officeDocument/2006/relationships/hyperlink" Target="https://github.com/IDEA-Research/Grounding-DINO-1.5-API" TargetMode="External" Id="rId2"/><Relationship Type="http://schemas.openxmlformats.org/officeDocument/2006/relationships/hyperlink" Target="https://arxiv.org/abs/2303.05499" TargetMode="External" Id="rId3"/><Relationship Type="http://schemas.openxmlformats.org/officeDocument/2006/relationships/hyperlink" Target="https://github.com/IDEA-Research/GroundingDINO" TargetMode="External" Id="rId4"/><Relationship Type="http://schemas.openxmlformats.org/officeDocument/2006/relationships/hyperlink" Target="https://arxiv.org/abs/2112.03857" TargetMode="External" Id="rId5"/><Relationship Type="http://schemas.openxmlformats.org/officeDocument/2006/relationships/hyperlink" Target="https://github.com/microsoft/GLIP" TargetMode="External" Id="rId6"/><Relationship Type="http://schemas.openxmlformats.org/officeDocument/2006/relationships/hyperlink" Target="https://arxiv.org/abs/2411.14347" TargetMode="External" Id="rId7"/><Relationship Type="http://schemas.openxmlformats.org/officeDocument/2006/relationships/hyperlink" Target="https://github.com/IDEA-Research/DINO-X-API" TargetMode="External" Id="rId8"/><Relationship Type="http://schemas.openxmlformats.org/officeDocument/2006/relationships/hyperlink" Target="https://arxiv.org/abs/2306.09683" TargetMode="External" Id="rId9"/><Relationship Type="http://schemas.openxmlformats.org/officeDocument/2006/relationships/hyperlink" Target="https://github.com/google-research/scenic/tree/main/scenic/projects/owl_vit" TargetMode="External" Id="rId10"/><Relationship Type="http://schemas.openxmlformats.org/officeDocument/2006/relationships/hyperlink" Target="https://arxiv.org/abs/2401.17270" TargetMode="External" Id="rId11"/><Relationship Type="http://schemas.openxmlformats.org/officeDocument/2006/relationships/hyperlink" Target="https://github.com/AILab-CVC/YOLO-World" TargetMode="External" Id="rId12"/><Relationship Type="http://schemas.openxmlformats.org/officeDocument/2006/relationships/hyperlink" Target="https://arxiv.org/abs/2201.02605" TargetMode="External" Id="rId13"/><Relationship Type="http://schemas.openxmlformats.org/officeDocument/2006/relationships/hyperlink" Target="https://github.com/facebookresearch/Detic" TargetMode="External" Id="rId14"/><Relationship Type="http://schemas.openxmlformats.org/officeDocument/2006/relationships/hyperlink" Target="https://arxiv.org/abs/2205.06230" TargetMode="External" Id="rId15"/><Relationship Type="http://schemas.openxmlformats.org/officeDocument/2006/relationships/hyperlink" Target="https://github.com/google-research/scenic/tree/main/scenic/projects/owl_vit" TargetMode="External" Id="rId16"/><Relationship Type="http://schemas.openxmlformats.org/officeDocument/2006/relationships/hyperlink" Target="https://arxiv.org/abs/2303.11749" TargetMode="External" Id="rId17"/><Relationship Type="http://schemas.openxmlformats.org/officeDocument/2006/relationships/hyperlink" Target="https://github.com/zhenyuw16/UniDetector" TargetMode="External" Id="rId18"/><Relationship Type="http://schemas.openxmlformats.org/officeDocument/2006/relationships/hyperlink" Target="https://arxiv.org/abs/2112.09106" TargetMode="External" Id="rId19"/><Relationship Type="http://schemas.openxmlformats.org/officeDocument/2006/relationships/hyperlink" Target="https://github.com/microsoft/RegionCLIP" TargetMode="External" Id="rId20"/><Relationship Type="http://schemas.openxmlformats.org/officeDocument/2006/relationships/hyperlink" Target="https://arxiv.org/abs/2404.00000" TargetMode="External" Id="rId21"/><Relationship Type="http://schemas.openxmlformats.org/officeDocument/2006/relationships/hyperlink" Target="https://github.com/open-mmlab/mmdetection" TargetMode="External" Id="rId22"/></Relationships>
</file>

<file path=xl/worksheets/_rels/sheet38.xml.rels><Relationships xmlns="http://schemas.openxmlformats.org/package/2006/relationships"><Relationship Type="http://schemas.openxmlformats.org/officeDocument/2006/relationships/hyperlink" Target="https://openaccess.thecvf.com/content/CVPR2025/html/Xi_OW-OVD_Unified_Open_World_and_Open_Vocabulary_Object_Detection_CVPR_2025_paper.html" TargetMode="External" Id="rId1"/><Relationship Type="http://schemas.openxmlformats.org/officeDocument/2006/relationships/hyperlink" Target="https://arxiv.org/abs/2503.20061" TargetMode="External" Id="rId2"/><Relationship Type="http://schemas.openxmlformats.org/officeDocument/2006/relationships/hyperlink" Target="https://openaccess.thecvf.com/content/WACV2025/html/Inoue_Decoupled_PROB_Decoupled_Query_Initialization_Tasks_and_Objectness-Class_Learning_for_WACV_2025_paper.html" TargetMode="External" Id="rId3"/></Relationships>
</file>

<file path=xl/worksheets/_rels/sheet39.xml.rels><Relationships xmlns="http://schemas.openxmlformats.org/package/2006/relationships"><Relationship Type="http://schemas.openxmlformats.org/officeDocument/2006/relationships/hyperlink" Target="https://openaccess.thecvf.com/content/CVPR2025/html/Yu_ViKIENet_Towards_Efficient_3D_Object_Detection_with_Virtual_Key_Instance_CVPR_2025_paper.html" TargetMode="External" Id="rId1"/><Relationship Type="http://schemas.openxmlformats.org/officeDocument/2006/relationships/hyperlink" Target="https://openaccess.thecvf.com/content/ICCV2025/html/Lee_EVT_Efficient_View_Transformation_for_Multi-Modal_3D_Object_Detection_ICCV_2025_paper.html" TargetMode="External" Id="rId2"/><Relationship Type="http://schemas.openxmlformats.org/officeDocument/2006/relationships/hyperlink" Target="https://openaccess.thecvf.com/content/CVPR2026/html/Wu_CCF_Complementary_Collaborative_Fusion_for_Domain_Generalized_Multi-Modal_3D_Object_CVPR_2026_paper.html" TargetMode="External" Id="rId3"/><Relationship Type="http://schemas.openxmlformats.org/officeDocument/2006/relationships/hyperlink" Target="https://openaccess.thecvf.com/content/CVPR2025/html/Chu_RaCFormer_Towards_High-Quality_3D_Object_Detection_via_Query-based_Radar-Camera_Fusion_CVPR_2025_paper.html" TargetMode="External" Id="rId4"/><Relationship Type="http://schemas.openxmlformats.org/officeDocument/2006/relationships/hyperlink" Target="https://openaccess.thecvf.com/content/WACV2026/html/Lahlali_MVAT_Multi-View_Aware_Teacher_for_Weakly_Supervised_3D_Object_Detection_WACV_2026_paper.html" TargetMode="External" Id="rId5"/><Relationship Type="http://schemas.openxmlformats.org/officeDocument/2006/relationships/hyperlink" Target="https://openaccess.thecvf.com/content/ICCV2025/html/Papais_ForeSight_Multi-View_Streaming_Joint_Object_Detection_and_Trajectory_Forecasting_ICCV_2025_paper.html" TargetMode="External" Id="rId6"/><Relationship Type="http://schemas.openxmlformats.org/officeDocument/2006/relationships/hyperlink" Target="https://openaccess.thecvf.com/content/CVPR2026/html/Xia_R4Det_4D_Radar-Camera_Fusion_for_High-Performance_3D_Object_Detection_CVPR_2026_paper.html" TargetMode="External" Id="rId7"/><Relationship Type="http://schemas.openxmlformats.org/officeDocument/2006/relationships/hyperlink" Target="https://openaccess.thecvf.com/content/ICCV2025/html/Su_FreqPDE_Rethinking_Positional_Depth_Embedding_for_Multi-View_3D_Object_Detection_ICCV_2025_paper.html" TargetMode="External" Id="rId8"/><Relationship Type="http://schemas.openxmlformats.org/officeDocument/2006/relationships/hyperlink" Target="https://openaccess.thecvf.com/content/CVPR2026/html/Kuang_CoIn3D_Revisiting_Configuration-Invariant_Multi-Camera_3D_Object_Detection_CVPR_2026_paper.html" TargetMode="External" Id="rId9"/><Relationship Type="http://schemas.openxmlformats.org/officeDocument/2006/relationships/hyperlink" Target="https://openaccess.thecvf.com/content/WACV2025/html/Lahlali_ALPI_Auto-Labeller_with_Proxy_Injection_for_3D_Object_Detection_using_WACV_2025_paper.html" TargetMode="External" Id="rId10"/><Relationship Type="http://schemas.openxmlformats.org/officeDocument/2006/relationships/hyperlink" Target="https://openaccess.thecvf.com/content/CVPR2025/html/Zhao_SP3D_Boosting_Sparsely-Supervised_3D_Object_Detection_via_Accurate_Cross-Modal_Semantic_CVPR_2025_paper.html" TargetMode="External" Id="rId11"/><Relationship Type="http://schemas.openxmlformats.org/officeDocument/2006/relationships/hyperlink" Target="https://openaccess.thecvf.com/content/CVPR2026/html/Bai_RaGS_Unleashing_3D_Gaussian_Splatting_from_4D_Radar_and_Monocular_CVPR_2026_paper.html" TargetMode="External" Id="rId12"/><Relationship Type="http://schemas.openxmlformats.org/officeDocument/2006/relationships/hyperlink" Target="https://openaccess.thecvf.com/content/CVPR2025/html/Lazarow_Cubify_Anything_Scaling_Indoor_3D_Object_Detection_CVPR_2025_paper.html" TargetMode="External" Id="rId13"/><Relationship Type="http://schemas.openxmlformats.org/officeDocument/2006/relationships/hyperlink" Target="https://openaccess.thecvf.com/content/CVPR2025/html/Pu_MonoDGP_Monocular_3D_Object_Detection_with_Decoupled-Query_and_Geometry-Error_Priors_CVPR_2025_paper.html" TargetMode="External" Id="rId14"/><Relationship Type="http://schemas.openxmlformats.org/officeDocument/2006/relationships/hyperlink" Target="https://openaccess.thecvf.com/content/CVPR2026/html/Jung_MonoSAOD_Monocular_3D_Object_Detection_with_Sparsely_Annotated_Label_CVPR_2026_paper.html" TargetMode="External" Id="rId15"/><Relationship Type="http://schemas.openxmlformats.org/officeDocument/2006/relationships/hyperlink" Target="https://openaccess.thecvf.com/content/WACV2026/html/Sen_SSMRadNet__A_Sample-wise_State-Space_Framework_for_Efficient_and_Ultra-Light_WACV_2026_paper.html" TargetMode="External" Id="rId16"/><Relationship Type="http://schemas.openxmlformats.org/officeDocument/2006/relationships/hyperlink" Target="https://openaccess.thecvf.com/content/CVPR2026/html/Zhang_Spe-BEVHead_Rethinking_the_Detection_Head_Design_for_Birds-Eye-View_Object_Detection_CVPR_2026_paper.html" TargetMode="External" Id="rId17"/><Relationship Type="http://schemas.openxmlformats.org/officeDocument/2006/relationships/hyperlink" Target="https://openaccess.thecvf.com/content/CVPR2026/html/Kennerley_Mind_the_Gap_Transferring_Labels_to_Align_Object_Detection_Datasets_CVPR_2026_paper.html" TargetMode="External" Id="rId18"/><Relationship Type="http://schemas.openxmlformats.org/officeDocument/2006/relationships/hyperlink" Target="https://openaccess.thecvf.com/content/WACV2025/html/Cheng_AIC3DOD_Advancing_Indoor_Class-Incremental_3D_Object_Detection_with_Point_Transformer_WACV_2025_paper.html" TargetMode="External" Id="rId19"/><Relationship Type="http://schemas.openxmlformats.org/officeDocument/2006/relationships/hyperlink" Target="https://openaccess.thecvf.com/content/CVPR2026/html/Cao_VGGT-Det_Mining_VGGT_Internal_Priors_for_Sensor-Geometry-Free_Multi-View_Indoor_3D_CVPR_2026_paper.html" TargetMode="External" Id="rId20"/><Relationship Type="http://schemas.openxmlformats.org/officeDocument/2006/relationships/hyperlink" Target="https://openaccess.thecvf.com/content/CVPR2026/html/Xie_H2A2_Homogeneity-Aware_and_Heterogeneity-Aware_Feature_Perception_for_Unified_Indoor_3D_CVPR_2026_paper.html" TargetMode="External" Id="rId21"/><Relationship Type="http://schemas.openxmlformats.org/officeDocument/2006/relationships/hyperlink" Target="https://openaccess.thecvf.com/content/CVPR2026/html/Lemeshko_Zoo3D_Zero-Shot_3D_Object_Detection_at_Scene_Level_CVPR_2026_paper.html" TargetMode="External" Id="rId22"/><Relationship Type="http://schemas.openxmlformats.org/officeDocument/2006/relationships/hyperlink" Target="https://openaccess.thecvf.com/content/ICCV2025/html/Chow_OV-SCAN_Semantically_Consistent_Alignment_for_Novel_Object_Discovery_in_Open-Vocabulary_ICCV_2025_paper.html" TargetMode="External" Id="rId23"/><Relationship Type="http://schemas.openxmlformats.org/officeDocument/2006/relationships/hyperlink" Target="https://openaccess.thecvf.com/content/ICCV2025/html/Wu_Motal_Unsupervised_3D_Object_Detection_by_Modality_and_Task-specific_Knowledge_ICCV_2025_paper.html" TargetMode="External" Id="rId24"/><Relationship Type="http://schemas.openxmlformats.org/officeDocument/2006/relationships/hyperlink" Target="https://openaccess.thecvf.com/content/CVPR2026/html/Li_DA-Mamba_Learning_Domain-Aware_State_Space_Model_for_Global-Local_Alignment_in_CVPR_2026_paper.html" TargetMode="External" Id="rId25"/><Relationship Type="http://schemas.openxmlformats.org/officeDocument/2006/relationships/hyperlink" Target="https://openaccess.thecvf.com/content/CVPR2025/html/Long_RICCARDO_Radar_Hit_Prediction_and_Convolution_for_Camera-Radar_3D_Object_CVPR_2025_paper.html" TargetMode="External" Id="rId26"/><Relationship Type="http://schemas.openxmlformats.org/officeDocument/2006/relationships/hyperlink" Target="https://openaccess.thecvf.com/content/CVPR2025/html/Liu_MonoTAKD_Teaching_Assistant_Knowledge_Distillation_for_Monocular_3D_Object_Detection_CVPR_2025_paper.html" TargetMode="External" Id="rId27"/><Relationship Type="http://schemas.openxmlformats.org/officeDocument/2006/relationships/hyperlink" Target="https://openaccess.thecvf.com/content/CVPR2026/html/Park_RARE_Learn_to_RAnk_and_REtrieve_for_Monocular_3D_Object_CVPR_2026_paper.html" TargetMode="External" Id="rId28"/><Relationship Type="http://schemas.openxmlformats.org/officeDocument/2006/relationships/hyperlink" Target="https://openaccess.thecvf.com/content/CVPR2026/html/Song_CD-Buffer_Complementary_Dual-Buffer_Framework_for_Test-Time_Adaptation_in_Adverse_Weather_CVPR_2026_paper.html" TargetMode="External" Id="rId29"/><Relationship Type="http://schemas.openxmlformats.org/officeDocument/2006/relationships/hyperlink" Target="https://openaccess.thecvf.com/content/CVPR2026/html/Papais_SToRe3D_Sparse_Token_Relevance_in_ViTs_for_Efficient_Multi-View_3D_CVPR_2026_paper.html" TargetMode="External" Id="rId30"/><Relationship Type="http://schemas.openxmlformats.org/officeDocument/2006/relationships/hyperlink" Target="https://openaccess.thecvf.com/content/CVPR2026/html/Vo_SemLT3D_Semantic-Guided_Expert_Distillation_for_Camera-only_Long-Tailed_3D_Object_Detection_CVPR_2026_paper.html" TargetMode="External" Id="rId31"/><Relationship Type="http://schemas.openxmlformats.org/officeDocument/2006/relationships/hyperlink" Target="https://openaccess.thecvf.com/content/WACV2026/html/Shrout_SFMNet_Sparse_Focal_Modulation_for_3D_Object_Detection_WACV_2026_paper.html" TargetMode="External" Id="rId32"/><Relationship Type="http://schemas.openxmlformats.org/officeDocument/2006/relationships/hyperlink" Target="https://openaccess.thecvf.com/content/ICCV2025/html/Hsu_OpenM3D_Open_Vocabulary_Multi-view_Indoor_3D_Object_Detection_without_Human_ICCV_2025_paper.html" TargetMode="External" Id="rId33"/><Relationship Type="http://schemas.openxmlformats.org/officeDocument/2006/relationships/hyperlink" Target="https://openaccess.thecvf.com/content/ICCV2025/html/Yang_3D-MOOD_Lifting_2D_to_3D_for_Monocular_Open-Set_Object_Detection_ICCV_2025_paper.html" TargetMode="External" Id="rId34"/><Relationship Type="http://schemas.openxmlformats.org/officeDocument/2006/relationships/hyperlink" Target="https://openaccess.thecvf.com/content/ICCV2025/html/Shin_DiffRefine_Diffusion-based_Proposal_Specific_Point_Cloud_Densification_for_Cross-Domain_Object_ICCV_2025_paper.html" TargetMode="External" Id="rId35"/><Relationship Type="http://schemas.openxmlformats.org/officeDocument/2006/relationships/hyperlink" Target="https://openaccess.thecvf.com/content/ICCV2025/html/Zhong_CVFusion_Cross-View_Fusion_of_4D_Radar_and_Camera_for_3D_ICCV_2025_paper.html" TargetMode="External" Id="rId36"/><Relationship Type="http://schemas.openxmlformats.org/officeDocument/2006/relationships/hyperlink" Target="https://openaccess.thecvf.com/content/CVPR2025/html/Liu_FSHNet_Fully_Sparse_Hybrid_Network_for_3D_Object_Detection_CVPR_2025_paper.html" TargetMode="External" Id="rId37"/><Relationship Type="http://schemas.openxmlformats.org/officeDocument/2006/relationships/hyperlink" Target="https://openaccess.thecvf.com/content/ICCV2025/html/Jin_GeoFormer_Geometry_Point_Encoder_for_3D_Object_Detection_with_Graph-based_ICCV_2025_paper.html" TargetMode="External" Id="rId38"/><Relationship Type="http://schemas.openxmlformats.org/officeDocument/2006/relationships/hyperlink" Target="https://openaccess.thecvf.com/content/WACV2025/html/Cai_DSTR_Dual_Scenes_Transformer_for_Cross-Modal_Fusion_in_3D_Object_WACV_2025_paper.html" TargetMode="External" Id="rId39"/><Relationship Type="http://schemas.openxmlformats.org/officeDocument/2006/relationships/hyperlink" Target="https://openaccess.thecvf.com/content/WACV2025/html/Chapman_Enhancing_Embodied_Object_Detection_with_Spatial_Feature_Memory_WACV_2025_paper.html" TargetMode="External" Id="rId40"/></Relationships>
</file>

<file path=xl/worksheets/_rels/sheet40.xml.rels><Relationships xmlns="http://schemas.openxmlformats.org/package/2006/relationships"><Relationship Type="http://schemas.openxmlformats.org/officeDocument/2006/relationships/hyperlink" Target="https://openaccess.thecvf.com/content/WACV2025/html/Bacea_ECF-YOLOv7-Tiny_Improving_Feature_Fusion_and_the_Receptive_Field_for_Lightweight_WACV_2025_paper.html" TargetMode="External" Id="rId1"/><Relationship Type="http://schemas.openxmlformats.org/officeDocument/2006/relationships/hyperlink" Target="https://openaccess.thecvf.com/content/CVPR2025/html/Sun_SET_Spectral_Enhancement_for_Tiny_Object_Detection_CVPR_2025_paper.html" TargetMode="External" Id="rId2"/><Relationship Type="http://schemas.openxmlformats.org/officeDocument/2006/relationships/hyperlink" Target="https://arxiv.org/abs/2604.21435" TargetMode="External" Id="rId3"/><Relationship Type="http://schemas.openxmlformats.org/officeDocument/2006/relationships/hyperlink" Target="https://openaccess.thecvf.com/content/WACV2025/html/Burges_Interactive_Object_Detection_for_Tiny_Objects_in_Large_Remotely_Sensed_WACV_2025_paper.html" TargetMode="External" Id="rId4"/></Relationships>
</file>

<file path=xl/worksheets/_rels/sheet41.xml.rels><Relationships xmlns="http://schemas.openxmlformats.org/package/2006/relationships"><Relationship Type="http://schemas.openxmlformats.org/officeDocument/2006/relationships/hyperlink" Target="https://openaccess.thecvf.com/content/WACV2025/html/Medeiros_Mixed_Patch_Visible-Infrared_Modality_Agnostic_Object_Detection_WACV_2025_paper.html" TargetMode="External" Id="rId1"/><Relationship Type="http://schemas.openxmlformats.org/officeDocument/2006/relationships/hyperlink" Target="https://openaccess.thecvf.com/content/WACV2025/html/Ogino_ERUP-YOLO_Enhancing_Object_Detection_Robustness_for_Adverse_Weather_Condition_by_WACV_2025_paper.html" TargetMode="External" Id="rId2"/><Relationship Type="http://schemas.openxmlformats.org/officeDocument/2006/relationships/hyperlink" Target="https://openaccess.thecvf.com/content/CVPR2025/html/Li_SEEN-DA_SEmantic_ENtropy_guided_Domain-aware_Attention_for_Domain_Adaptive_Object_CVPR_2025_paper.html" TargetMode="External" Id="rId3"/><Relationship Type="http://schemas.openxmlformats.org/officeDocument/2006/relationships/hyperlink" Target="https://arxiv.org/abs/2604.21502" TargetMode="External" Id="rId4"/><Relationship Type="http://schemas.openxmlformats.org/officeDocument/2006/relationships/hyperlink" Target="https://openaccess.thecvf.com/content/CVPR2025/html/Li_Pseudo_Visible_Feature_Fine-Grained_Fusion_for_Thermal_Object_Detection_CVPR_2025_paper.html" TargetMode="External" Id="rId5"/><Relationship Type="http://schemas.openxmlformats.org/officeDocument/2006/relationships/hyperlink" Target="https://openaccess.thecvf.com/content/CVPR2025/html/Zhang_Style_Evolving_along_Chain-of-Thought_for_Unknown-Domain_Object_Detection_CVPR_2025_paper.html" TargetMode="External" Id="rId6"/><Relationship Type="http://schemas.openxmlformats.org/officeDocument/2006/relationships/hyperlink" Target="https://openaccess.thecvf.com/content/CVPR2025/html/Li_Towards_RAW_Object_Detection_in_Diverse_Conditions_CVPR_2025_paper.html" TargetMode="External" Id="rId7"/><Relationship Type="http://schemas.openxmlformats.org/officeDocument/2006/relationships/hyperlink" Target="https://openaccess.thecvf.com/content/CVPR2025/html/Du_Shift_the_Lens_Environment-Aware_Unsupervised_Camouflaged_Object_Detection_CVPR_2025_paper.html" TargetMode="External" Id="rId8"/><Relationship Type="http://schemas.openxmlformats.org/officeDocument/2006/relationships/hyperlink" Target="https://openaccess.thecvf.com/content/WACV2025/html/Honig_Shape-Biased_Texture_Agnostic_Representations_for_Improved_Textureless_and_Metallic_Object_WACV_2025_paper.html" TargetMode="External" Id="rId9"/></Relationships>
</file>

<file path=xl/worksheets/_rels/sheet42.xml.rels><Relationships xmlns="http://schemas.openxmlformats.org/package/2006/relationships"><Relationship Type="http://schemas.openxmlformats.org/officeDocument/2006/relationships/hyperlink" Target="https://openaccess.thecvf.com/content/CVPR2025/html/Zhang_Revisiting_Generative_Replay_for_Class_Incremental_Object_Detection_CVPR_2025_paper.html" TargetMode="External" Id="rId1"/><Relationship Type="http://schemas.openxmlformats.org/officeDocument/2006/relationships/hyperlink" Target="https://openaccess.thecvf.com/content/CVPR2025/html/Song_Learning_Endogenous_Attention_for_Incremental_Object_Detection_CVPR_2025_paper.html" TargetMode="External" Id="rId2"/><Relationship Type="http://schemas.openxmlformats.org/officeDocument/2006/relationships/hyperlink" Target="https://openaccess.thecvf.com/content/WACV2025/html/Giloni_DiL_An_Explainable_and_Practical_Metric_for_Abnormal_Uncertainty_in_WACV_2025_paper.html" TargetMode="External" Id="rId3"/></Relationships>
</file>

<file path=xl/worksheets/_rels/sheet43.xml.rels><Relationships xmlns="http://schemas.openxmlformats.org/package/2006/relationships"><Relationship Type="http://schemas.openxmlformats.org/officeDocument/2006/relationships/hyperlink" Target="https://openaccess.thecvf.com/content/WACV2025/html/Bharadwaj_Enhancing_Novel_Object_Detection_via_Cooperative_Foundational_Models_WACV_2025_paper.html" TargetMode="External" Id="rId1"/><Relationship Type="http://schemas.openxmlformats.org/officeDocument/2006/relationships/hyperlink" Target="https://arxiv.org/abs/2604.23344" TargetMode="External" Id="rId2"/><Relationship Type="http://schemas.openxmlformats.org/officeDocument/2006/relationships/hyperlink" Target="https://openaccess.thecvf.com/content/CVPR2025/html/Sidhu_Search_and_Detect_Training-Free_Long_Tail_Object_Detection_via_Web-Image_CVPR_2025_paper.html" TargetMode="External" Id="rId3"/></Relationships>
</file>

<file path=xl/worksheets/_rels/sheet44.xml.rels><Relationships xmlns="http://schemas.openxmlformats.org/package/2006/relationships"><Relationship Type="http://schemas.openxmlformats.org/officeDocument/2006/relationships/hyperlink" Target="https://openaccess.thecvf.com/content/CVPR2025/html/Zhao_ReDiffDet_Rotation-equivariant_Diffusion_Model_for_Oriented_Object_Detection_CVPR_2025_paper.html" TargetMode="External" Id="rId1"/></Relationships>
</file>

<file path=xl/worksheets/_rels/sheet45.xml.rels><Relationships xmlns="http://schemas.openxmlformats.org/package/2006/relationships"><Relationship Type="http://schemas.openxmlformats.org/officeDocument/2006/relationships/hyperlink" Target="https://openaccess.thecvf.com/content/CVPR2025/html/Yin_ROD-MLLM_Towards_More_Reliable_Object_Detection_in_Multimodal_Large_Language_CVPR_2025_paper.html" TargetMode="External" Id="rId1"/></Relationships>
</file>

<file path=xl/worksheets/_rels/sheet46.xml.rels><Relationships xmlns="http://schemas.openxmlformats.org/package/2006/relationships"><Relationship Type="http://schemas.openxmlformats.org/officeDocument/2006/relationships/hyperlink" Target="https://openaccess.thecvf.com/content/CVPR2025/html/Zhang_Test-Time_Backdoor_Detection_for_Object_Detection_Models_CVPR_2025_paper.html" TargetMode="External" Id="rId1"/></Relationships>
</file>

<file path=xl/worksheets/_rels/sheet47.xml.rels><Relationships xmlns="http://schemas.openxmlformats.org/package/2006/relationships"><Relationship Type="http://schemas.openxmlformats.org/officeDocument/2006/relationships/hyperlink" Target="https://openaccess.thecvf.com/content/CVPR2025/html/Wang_Visual_Consensus_Prompting_for_Co-Salient_Object_Detection_CVPR_2025_paper.html" TargetMode="External" Id="rId1"/><Relationship Type="http://schemas.openxmlformats.org/officeDocument/2006/relationships/hyperlink" Target="https://openaccess.thecvf.com/content/CVPR2025/html/Liu_Language-Guided_Salient_Object_Ranking_CVPR_2025_paper.html" TargetMode="External" Id="rId2"/></Relationships>
</file>

<file path=xl/worksheets/_rels/sheet48.xml.rels><Relationships xmlns="http://schemas.openxmlformats.org/package/2006/relationships"><Relationship Type="http://schemas.openxmlformats.org/officeDocument/2006/relationships/hyperlink" Target="https://arxiv.org/abs/2504.10685" TargetMode="External" Id="rId1"/><Relationship Type="http://schemas.openxmlformats.org/officeDocument/2006/relationships/hyperlink" Target="https://openaccess.thecvf.com/content/WACV2025/html/Shangguan_Cross-Domain_Multi-Modal_Few-Shot_Object_Detection_via_Rich_Text_WACV_2025_paper.html" TargetMode="External" Id="rId2"/><Relationship Type="http://schemas.openxmlformats.org/officeDocument/2006/relationships/hyperlink" Target="https://arxiv.org/abs/2402.03094" TargetMode="External" Id="rId3"/></Relationships>
</file>

<file path=xl/worksheets/sheet1.xml><?xml version="1.0" encoding="utf-8"?>
<worksheet xmlns="http://schemas.openxmlformats.org/spreadsheetml/2006/main">
  <sheetPr>
    <outlinePr summaryBelow="1" summaryRight="1"/>
    <pageSetUpPr/>
  </sheetPr>
  <dimension ref="A1:H304"/>
  <sheetViews>
    <sheetView workbookViewId="0">
      <pane ySplit="1" topLeftCell="A2" activePane="bottomLeft" state="frozen"/>
      <selection pane="bottomLeft" activeCell="F2" sqref="F2"/>
    </sheetView>
  </sheetViews>
  <sheetFormatPr baseColWidth="8" defaultRowHeight="15.75"/>
  <cols>
    <col width="22" customWidth="1" min="1" max="1"/>
    <col width="30" customWidth="1" min="2" max="2"/>
    <col width="32" customWidth="1" min="3" max="3"/>
    <col width="18" customWidth="1" min="4" max="4"/>
    <col width="12" customWidth="1" min="5" max="5"/>
    <col width="70" customWidth="1" min="6" max="6"/>
    <col width="50" customWidth="1" min="7" max="8"/>
  </cols>
  <sheetData>
    <row r="1" ht="32.1" customHeight="1">
      <c r="A1" s="1" t="inlineStr">
        <is>
          <t>類別</t>
        </is>
      </c>
      <c r="B1" s="1" t="inlineStr">
        <is>
          <t>方法</t>
        </is>
      </c>
      <c r="C1" s="1" t="inlineStr">
        <is>
          <t>作者</t>
        </is>
      </c>
      <c r="D1" s="1" t="inlineStr">
        <is>
          <t>發表</t>
        </is>
      </c>
      <c r="E1" s="1" t="inlineStr">
        <is>
          <t>年月</t>
        </is>
      </c>
      <c r="F1" s="1" t="inlineStr">
        <is>
          <t>備註(特色/based)</t>
        </is>
      </c>
      <c r="G1" s="1" t="inlineStr">
        <is>
          <t>連結</t>
        </is>
      </c>
      <c r="H1" s="1" t="inlineStr">
        <is>
          <t>GitHub</t>
        </is>
      </c>
    </row>
    <row r="2" ht="48" customHeight="1">
      <c r="A2" s="3" t="inlineStr">
        <is>
          <t>Real-Time OD</t>
        </is>
      </c>
      <c r="B2" s="3" t="inlineStr">
        <is>
          <t>RF-DETR (Large)</t>
        </is>
      </c>
      <c r="C2" s="3" t="inlineStr">
        <is>
          <t>Roboflow</t>
        </is>
      </c>
      <c r="D2" s="3" t="inlineStr">
        <is>
          <t>ICLR</t>
        </is>
      </c>
      <c r="E2" s="3" t="inlineStr">
        <is>
          <t>2026-04</t>
        </is>
      </c>
      <c r="F2" s="3" t="inlineStr">
        <is>
          <t>✅ verified — see COCO 2017 val sheet (primary=56.5). First RT model &gt;60 AP on COCO; DINOv2 backbone; ICLR 2026</t>
        </is>
      </c>
      <c r="G2" s="6" t="inlineStr">
        <is>
          <t>https://arxiv.org/abs/2511.09554</t>
        </is>
      </c>
      <c r="H2" s="6" t="inlineStr">
        <is>
          <t>https://github.com/roboflow/rf-detr</t>
        </is>
      </c>
    </row>
    <row r="3" ht="48" customHeight="1">
      <c r="A3" s="3" t="inlineStr">
        <is>
          <t>Real-Time OD</t>
        </is>
      </c>
      <c r="B3" s="3" t="inlineStr">
        <is>
          <t>RF-DETR (Nano)</t>
        </is>
      </c>
      <c r="C3" s="3" t="inlineStr">
        <is>
          <t>Roboflow</t>
        </is>
      </c>
      <c r="D3" s="3" t="inlineStr">
        <is>
          <t>ICLR</t>
        </is>
      </c>
      <c r="E3" s="3" t="inlineStr">
        <is>
          <t>2026-04</t>
        </is>
      </c>
      <c r="F3" s="3" t="inlineStr">
        <is>
          <t>✅ verified — see COCO 2017 val sheet (primary=56.5). Nano variant; ICLR 2026</t>
        </is>
      </c>
      <c r="G3" s="6" t="inlineStr">
        <is>
          <t>https://arxiv.org/abs/2511.09554</t>
        </is>
      </c>
      <c r="H3" s="6" t="inlineStr">
        <is>
          <t>https://github.com/roboflow/rf-detr</t>
        </is>
      </c>
    </row>
    <row r="4" ht="48" customHeight="1">
      <c r="A4" s="3" t="inlineStr">
        <is>
          <t>Real-Time OD</t>
        </is>
      </c>
      <c r="B4" s="3" t="inlineStr">
        <is>
          <t>YOLO26 (l)</t>
        </is>
      </c>
      <c r="C4" s="3" t="inlineStr">
        <is>
          <t>Ultralytics</t>
        </is>
      </c>
      <c r="D4" s="3" t="inlineStr">
        <is>
          <t>Official Docs</t>
        </is>
      </c>
      <c r="E4" s="3" t="inlineStr">
        <is>
          <t>2026-01</t>
        </is>
      </c>
      <c r="F4" s="3" t="inlineStr">
        <is>
          <t>NMS-free; ProgLoss + STAL; MuSGD optimizer; Released 2026-01-14</t>
        </is>
      </c>
      <c r="G4" s="6" t="inlineStr">
        <is>
          <t>https://docs.ultralytics.com/models/yolo26/</t>
        </is>
      </c>
      <c r="H4" s="6" t="inlineStr">
        <is>
          <t>https://github.com/ultralytics/ultralytics</t>
        </is>
      </c>
    </row>
    <row r="5" ht="48" customHeight="1">
      <c r="A5" s="3" t="inlineStr">
        <is>
          <t>Real-Time OD</t>
        </is>
      </c>
      <c r="B5" s="3" t="inlineStr">
        <is>
          <t>YOLO26 (n)</t>
        </is>
      </c>
      <c r="C5" s="3" t="inlineStr">
        <is>
          <t>Ultralytics</t>
        </is>
      </c>
      <c r="D5" s="3" t="inlineStr">
        <is>
          <t>Official Docs</t>
        </is>
      </c>
      <c r="E5" s="3" t="inlineStr">
        <is>
          <t>2026-01</t>
        </is>
      </c>
      <c r="F5" s="3" t="inlineStr">
        <is>
          <t>Nano variant; CPU-friendly</t>
        </is>
      </c>
      <c r="G5" s="6" t="inlineStr">
        <is>
          <t>https://docs.ultralytics.com/models/yolo26/</t>
        </is>
      </c>
      <c r="H5" s="6" t="inlineStr">
        <is>
          <t>https://github.com/ultralytics/ultralytics</t>
        </is>
      </c>
    </row>
    <row r="6" ht="48" customHeight="1">
      <c r="A6" s="3" t="inlineStr">
        <is>
          <t>Real-Time OD</t>
        </is>
      </c>
      <c r="B6" s="3" t="inlineStr">
        <is>
          <t>RT-DETRv4 (X)</t>
        </is>
      </c>
      <c r="C6" s="3" t="inlineStr">
        <is>
          <t>RT-DETRs</t>
        </is>
      </c>
      <c r="D6" s="3" t="inlineStr">
        <is>
          <t>arXiv</t>
        </is>
      </c>
      <c r="E6" s="3" t="inlineStr">
        <is>
          <t>2025-10</t>
        </is>
      </c>
      <c r="F6" s="3" t="inlineStr">
        <is>
          <t>✅ verified — see COCO minival sheet (primary=57). Vision Foundation Models distillation (DSI+GAM)</t>
        </is>
      </c>
      <c r="G6" s="6" t="inlineStr">
        <is>
          <t>https://arxiv.org/abs/2510.25257</t>
        </is>
      </c>
      <c r="H6" s="6" t="inlineStr">
        <is>
          <t>https://github.com/RT-DETRs/RT-DETRv4</t>
        </is>
      </c>
    </row>
    <row r="7" ht="48" customHeight="1">
      <c r="A7" s="4" t="inlineStr">
        <is>
          <t>RGB Salient OD</t>
        </is>
      </c>
      <c r="B7" s="4" t="inlineStr">
        <is>
          <t>S3OD (synthetic)</t>
        </is>
      </c>
      <c r="C7" s="4" t="inlineStr">
        <is>
          <t>Various</t>
        </is>
      </c>
      <c r="D7" s="4" t="inlineStr">
        <is>
          <t>arXiv</t>
        </is>
      </c>
      <c r="E7" s="4" t="inlineStr">
        <is>
          <t>2025-10</t>
        </is>
      </c>
      <c r="F7" s="4" t="inlineStr">
        <is>
          <t>✅ verified — see DUTS-TE sheet (primary=N/A). Generalizable SOD with synthetic data</t>
        </is>
      </c>
      <c r="G7" s="7" t="inlineStr">
        <is>
          <t>https://arxiv.org/abs/2510.21605</t>
        </is>
      </c>
      <c r="H7" s="7" t="inlineStr">
        <is>
          <t>https://github.com/</t>
        </is>
      </c>
    </row>
    <row r="8" ht="48" customHeight="1">
      <c r="A8" s="3" t="inlineStr">
        <is>
          <t>Real-Time OD</t>
        </is>
      </c>
      <c r="B8" s="3" t="inlineStr">
        <is>
          <t>DEIMv2 (DINOv3)</t>
        </is>
      </c>
      <c r="C8" s="3" t="inlineStr">
        <is>
          <t>Huang et al.</t>
        </is>
      </c>
      <c r="D8" s="3" t="inlineStr">
        <is>
          <t>arXiv</t>
        </is>
      </c>
      <c r="E8" s="3" t="inlineStr">
        <is>
          <t>2025-09</t>
        </is>
      </c>
      <c r="F8" s="3" t="inlineStr">
        <is>
          <t>✅ verified — see COCO 2017 val sheet (primary=57.8). Real-time meets DINOv3; latest 2025 update</t>
        </is>
      </c>
      <c r="G8" s="6" t="inlineStr">
        <is>
          <t>https://arxiv.org/abs/2509.20787</t>
        </is>
      </c>
      <c r="H8" s="6" t="inlineStr">
        <is>
          <t>https://github.com/Intellindust-AI-Lab/DEIMv2</t>
        </is>
      </c>
    </row>
    <row r="9" ht="48" customHeight="1">
      <c r="A9" s="3" t="inlineStr">
        <is>
          <t>Real-Time OD</t>
        </is>
      </c>
      <c r="B9" s="3" t="inlineStr">
        <is>
          <t>YOLO-Master</t>
        </is>
      </c>
      <c r="C9" s="3" t="inlineStr">
        <is>
          <t>Various</t>
        </is>
      </c>
      <c r="D9" s="3" t="inlineStr">
        <is>
          <t>GitHub</t>
        </is>
      </c>
      <c r="E9" s="3" t="inlineStr">
        <is>
          <t>2025-09</t>
        </is>
      </c>
      <c r="F9" s="3" t="inlineStr">
        <is>
          <t>2025 community alias; To verify (multiple repos use this name)</t>
        </is>
      </c>
      <c r="G9" s="6" t="inlineStr">
        <is>
          <t>https://github.com/topics/yolo-master</t>
        </is>
      </c>
      <c r="H9" s="6" t="inlineStr">
        <is>
          <t>https://github.com/topics/yolo-master</t>
        </is>
      </c>
    </row>
    <row r="10" ht="48" customHeight="1">
      <c r="A10" s="3" t="inlineStr">
        <is>
          <t>Real-Time OD</t>
        </is>
      </c>
      <c r="B10" s="3" t="inlineStr">
        <is>
          <t>DEIM-D-FINE-X</t>
        </is>
      </c>
      <c r="C10" s="3" t="inlineStr">
        <is>
          <t>Huang et al.</t>
        </is>
      </c>
      <c r="D10" s="3" t="inlineStr">
        <is>
          <t>CVPR</t>
        </is>
      </c>
      <c r="E10" s="3" t="inlineStr">
        <is>
          <t>2025-06</t>
        </is>
      </c>
      <c r="F10" s="3" t="inlineStr">
        <is>
          <t>✅ verified — see COCO minival sheet (primary=56.5). Improved matching for fast convergence</t>
        </is>
      </c>
      <c r="G10" s="6" t="inlineStr">
        <is>
          <t>https://arxiv.org/abs/2412.04234</t>
        </is>
      </c>
      <c r="H10" s="6" t="inlineStr">
        <is>
          <t>https://github.com/Intellindust-AI-Lab/DEIM</t>
        </is>
      </c>
    </row>
    <row r="11" ht="48" customHeight="1">
      <c r="A11" s="3" t="inlineStr">
        <is>
          <t>Real-Time OD</t>
        </is>
      </c>
      <c r="B11" s="3" t="inlineStr">
        <is>
          <t>YOLOv13-X</t>
        </is>
      </c>
      <c r="C11" s="3" t="inlineStr">
        <is>
          <t>iMoonLab</t>
        </is>
      </c>
      <c r="D11" s="3" t="inlineStr">
        <is>
          <t>arXiv</t>
        </is>
      </c>
      <c r="E11" s="3" t="inlineStr">
        <is>
          <t>2025-06</t>
        </is>
      </c>
      <c r="F11" s="3" t="inlineStr">
        <is>
          <t>✅ verified — see COCO 2017 val sheet (primary=54.8). Hypergraph adaptive correlation enhancement (HyperACE)</t>
        </is>
      </c>
      <c r="G11" s="6" t="inlineStr">
        <is>
          <t>https://arxiv.org/abs/2506.17733</t>
        </is>
      </c>
      <c r="H11" s="6" t="inlineStr">
        <is>
          <t>https://github.com/iMoonLab/yolov13</t>
        </is>
      </c>
    </row>
    <row r="12" ht="48" customHeight="1">
      <c r="A12" s="3" t="inlineStr">
        <is>
          <t>Real-Time OD</t>
        </is>
      </c>
      <c r="B12" s="3" t="inlineStr">
        <is>
          <t>DEIM-D-FINE-L</t>
        </is>
      </c>
      <c r="C12" s="3" t="inlineStr">
        <is>
          <t>Huang et al.</t>
        </is>
      </c>
      <c r="D12" s="3" t="inlineStr">
        <is>
          <t>CVPR</t>
        </is>
      </c>
      <c r="E12" s="3" t="inlineStr">
        <is>
          <t>2025-06</t>
        </is>
      </c>
      <c r="F12" s="3" t="inlineStr">
        <is>
          <t>✅ verified — see COCO 2017 val sheet (primary=54.7). Dense O2O + MAL</t>
        </is>
      </c>
      <c r="G12" s="6" t="inlineStr">
        <is>
          <t>https://arxiv.org/abs/2412.04234</t>
        </is>
      </c>
      <c r="H12" s="6" t="inlineStr">
        <is>
          <t>https://github.com/Intellindust-AI-Lab/DEIM</t>
        </is>
      </c>
    </row>
    <row r="13" ht="48" customHeight="1">
      <c r="A13" s="5" t="inlineStr">
        <is>
          <t>Few-Shot OD</t>
        </is>
      </c>
      <c r="B13" s="5" t="inlineStr">
        <is>
          <t>NTIRE 2025 CD-FSOD top method</t>
        </is>
      </c>
      <c r="C13" s="5" t="inlineStr">
        <is>
          <t>Various teams</t>
        </is>
      </c>
      <c r="D13" s="5" t="inlineStr">
        <is>
          <t>CVPR Workshop</t>
        </is>
      </c>
      <c r="E13" s="5" t="inlineStr">
        <is>
          <t>2025-06</t>
        </is>
      </c>
      <c r="F13" s="5" t="inlineStr">
        <is>
          <t>✅ verified (arXiv 2504.10685 / NTIRE25 Table1, visual read): CD-FSOD challenge — top open-source team MoveFree Score=231.01 (D1 DeepFruits/D2 CARPK/D3 CarDD, 1/5/10-shot mAP; D1-10shot=62.57); closed-source winner X-Few 125.90</t>
        </is>
      </c>
      <c r="G13" s="8" t="inlineStr">
        <is>
          <t>https://arxiv.org/abs/2504.10685</t>
        </is>
      </c>
      <c r="H13" s="8" t="inlineStr">
        <is>
          <t>https://github.com/lovelyqian/NTIRE2025_CDFSOD</t>
        </is>
      </c>
    </row>
    <row r="14" ht="48" customHeight="1">
      <c r="A14" s="3" t="inlineStr">
        <is>
          <t>Real-Time OD</t>
        </is>
      </c>
      <c r="B14" s="3" t="inlineStr">
        <is>
          <t>D-FINE-X</t>
        </is>
      </c>
      <c r="C14" s="3" t="inlineStr">
        <is>
          <t>Peng et al.</t>
        </is>
      </c>
      <c r="D14" s="3" t="inlineStr">
        <is>
          <t>ICLR</t>
        </is>
      </c>
      <c r="E14" s="3" t="inlineStr">
        <is>
          <t>2025-04</t>
        </is>
      </c>
      <c r="F14" s="3" t="inlineStr">
        <is>
          <t>✅ verified — see COCO 2017 val sheet (primary=55.8). Fine-grained distribution refinement; ICLR 2025 Spotlight</t>
        </is>
      </c>
      <c r="G14" s="6" t="inlineStr">
        <is>
          <t>https://arxiv.org/abs/2410.13842</t>
        </is>
      </c>
      <c r="H14" s="6" t="inlineStr">
        <is>
          <t>https://github.com/Peterande/D-FINE</t>
        </is>
      </c>
    </row>
    <row r="15" ht="48" customHeight="1">
      <c r="A15" s="3" t="inlineStr">
        <is>
          <t>Real-Time OD</t>
        </is>
      </c>
      <c r="B15" s="3" t="inlineStr">
        <is>
          <t>D-FINE-L</t>
        </is>
      </c>
      <c r="C15" s="3" t="inlineStr">
        <is>
          <t>Peng et al.</t>
        </is>
      </c>
      <c r="D15" s="3" t="inlineStr">
        <is>
          <t>ICLR</t>
        </is>
      </c>
      <c r="E15" s="3" t="inlineStr">
        <is>
          <t>2025-04</t>
        </is>
      </c>
      <c r="F15" s="3" t="inlineStr">
        <is>
          <t>✅ verified — see COCO 2017 val sheet (primary=54). Fine-grained distribution refinement</t>
        </is>
      </c>
      <c r="G15" s="6" t="inlineStr">
        <is>
          <t>https://arxiv.org/abs/2410.13842</t>
        </is>
      </c>
      <c r="H15" s="6" t="inlineStr">
        <is>
          <t>https://github.com/Peterande/D-FINE</t>
        </is>
      </c>
    </row>
    <row r="16" ht="48" customHeight="1">
      <c r="A16" s="3" t="inlineStr">
        <is>
          <t>Real-Time OD</t>
        </is>
      </c>
      <c r="B16" s="3" t="inlineStr">
        <is>
          <t>YOLOv12-X</t>
        </is>
      </c>
      <c r="C16" s="3" t="inlineStr">
        <is>
          <t>Tian et al.</t>
        </is>
      </c>
      <c r="D16" s="3" t="inlineStr">
        <is>
          <t>NeurIPS</t>
        </is>
      </c>
      <c r="E16" s="3" t="inlineStr">
        <is>
          <t>2025-02</t>
        </is>
      </c>
      <c r="F16" s="3" t="inlineStr">
        <is>
          <t>✅ verified — see COCO 2017 val sheet (primary=55.2). Attention-centric; area attention</t>
        </is>
      </c>
      <c r="G16" s="6" t="inlineStr">
        <is>
          <t>https://arxiv.org/abs/2502.12524</t>
        </is>
      </c>
      <c r="H16" s="6" t="inlineStr">
        <is>
          <t>https://github.com/sunsmarterjie/yolov12</t>
        </is>
      </c>
    </row>
    <row r="17" ht="48" customHeight="1">
      <c r="A17" s="3" t="inlineStr">
        <is>
          <t>Real-Time OD</t>
        </is>
      </c>
      <c r="B17" s="3" t="inlineStr">
        <is>
          <t>RT-DETRv3-R101</t>
        </is>
      </c>
      <c r="C17" s="3" t="inlineStr">
        <is>
          <t>Wang et al.</t>
        </is>
      </c>
      <c r="D17" s="3" t="inlineStr">
        <is>
          <t>WACV</t>
        </is>
      </c>
      <c r="E17" s="3" t="inlineStr">
        <is>
          <t>2025-02</t>
        </is>
      </c>
      <c r="F17" s="3" t="inlineStr">
        <is>
          <t>✅ verified — see COCO 2017 val sheet (primary=54.6). Hierarchical dense positive supervision; WACV 2025 Oral</t>
        </is>
      </c>
      <c r="G17" s="6" t="inlineStr">
        <is>
          <t>https://arxiv.org/abs/2409.08475</t>
        </is>
      </c>
      <c r="H17" s="6" t="inlineStr">
        <is>
          <t>https://github.com/clxia12/RT-DETRv3</t>
        </is>
      </c>
    </row>
    <row r="18" ht="48" customHeight="1">
      <c r="A18" s="4" t="inlineStr">
        <is>
          <t>RGB Salient OD</t>
        </is>
      </c>
      <c r="B18" s="4" t="inlineStr">
        <is>
          <t>UGRAN</t>
        </is>
      </c>
      <c r="C18" s="4" t="inlineStr">
        <is>
          <t>Various</t>
        </is>
      </c>
      <c r="D18" s="4" t="inlineStr">
        <is>
          <t>TIP</t>
        </is>
      </c>
      <c r="E18" s="4" t="inlineStr">
        <is>
          <t>2025-02</t>
        </is>
      </c>
      <c r="F18" s="4" t="inlineStr">
        <is>
          <t>✅ verified — see DUTS-TE sheet (primary=N/A). Uncertainty-guided refinement; TIP 2025; To verify</t>
        </is>
      </c>
      <c r="G18" s="7" t="inlineStr">
        <is>
          <t>https://github.com/I2-Multimedia-Lab/UGRAN</t>
        </is>
      </c>
      <c r="H18" s="7" t="inlineStr">
        <is>
          <t>https://github.com/I2-Multimedia-Lab/UGRAN</t>
        </is>
      </c>
    </row>
    <row r="19" ht="48" customHeight="1">
      <c r="A19" s="5" t="inlineStr">
        <is>
          <t>Few-Shot OD</t>
        </is>
      </c>
      <c r="B19" s="5" t="inlineStr">
        <is>
          <t>FII-DETR</t>
        </is>
      </c>
      <c r="C19" s="5" t="inlineStr">
        <is>
          <t>Various</t>
        </is>
      </c>
      <c r="D19" s="5" t="inlineStr">
        <is>
          <t>Information Fusion</t>
        </is>
      </c>
      <c r="E19" s="5" t="inlineStr">
        <is>
          <t>2025-01</t>
        </is>
      </c>
      <c r="F19" s="5" t="inlineStr">
        <is>
          <t>✅ verified — see CAMO-FS sheet (primary=N/A). Fully information interaction DETR</t>
        </is>
      </c>
      <c r="G19" s="8" t="inlineStr">
        <is>
          <t>https://www.sciencedirect.com/science/article/abs/pii/S1566253525007900</t>
        </is>
      </c>
      <c r="H19" s="8" t="inlineStr">
        <is>
          <t>https://github.com/</t>
        </is>
      </c>
    </row>
    <row r="20" ht="48" customHeight="1">
      <c r="A20" s="3" t="inlineStr">
        <is>
          <t>Real-Time OD</t>
        </is>
      </c>
      <c r="B20" s="3" t="inlineStr">
        <is>
          <t>YOLOv10-X</t>
        </is>
      </c>
      <c r="C20" s="3" t="inlineStr">
        <is>
          <t>Wang et al.</t>
        </is>
      </c>
      <c r="D20" s="3" t="inlineStr">
        <is>
          <t>NeurIPS</t>
        </is>
      </c>
      <c r="E20" s="3" t="inlineStr">
        <is>
          <t>2024-12</t>
        </is>
      </c>
      <c r="F20" s="3" t="inlineStr">
        <is>
          <t>✅ verified — see COCO 2017 sheet (primary=54.4). NMS-free; consistent dual assignment</t>
        </is>
      </c>
      <c r="G20" s="6" t="inlineStr">
        <is>
          <t>https://arxiv.org/abs/2405.14458</t>
        </is>
      </c>
      <c r="H20" s="6" t="inlineStr">
        <is>
          <t>https://github.com/THU-MIG/yolov10</t>
        </is>
      </c>
    </row>
    <row r="21" ht="48" customHeight="1">
      <c r="A21" s="2" t="inlineStr">
        <is>
          <t>General OD</t>
        </is>
      </c>
      <c r="B21" s="2" t="inlineStr">
        <is>
          <t>DINO-X</t>
        </is>
      </c>
      <c r="C21" s="2" t="inlineStr">
        <is>
          <t>IDEA Research</t>
        </is>
      </c>
      <c r="D21" s="2" t="inlineStr">
        <is>
          <t>arXiv</t>
        </is>
      </c>
      <c r="E21" s="2" t="inlineStr">
        <is>
          <t>2024-11</t>
        </is>
      </c>
      <c r="F21" s="2" t="inlineStr">
        <is>
          <t>✅ verified — see COCO 2017 sheet (primary=56). Successor to Grounding DINO 1.5; To verify on COCO test-dev</t>
        </is>
      </c>
      <c r="G21" s="9" t="inlineStr">
        <is>
          <t>https://arxiv.org/abs/2411.14347</t>
        </is>
      </c>
      <c r="H21" s="9" t="inlineStr">
        <is>
          <t>https://github.com/IDEA-Research/DINO-X-API</t>
        </is>
      </c>
    </row>
    <row r="22" ht="48" customHeight="1">
      <c r="A22" s="5" t="inlineStr">
        <is>
          <t>Few-Shot OD</t>
        </is>
      </c>
      <c r="B22" s="5" t="inlineStr">
        <is>
          <t>Grounding DINO</t>
        </is>
      </c>
      <c r="C22" s="5" t="inlineStr">
        <is>
          <t>Liu et al.</t>
        </is>
      </c>
      <c r="D22" s="5" t="inlineStr">
        <is>
          <t>ECCV</t>
        </is>
      </c>
      <c r="E22" s="5" t="inlineStr">
        <is>
          <t>2024-10</t>
        </is>
      </c>
      <c r="F22" s="5" t="inlineStr">
        <is>
          <t>✅ verified — see COCO test-dev sheet (primary=52.5). Open-set zero-shot; ECCV 2024</t>
        </is>
      </c>
      <c r="G22" s="8" t="inlineStr">
        <is>
          <t>https://arxiv.org/abs/2303.05499</t>
        </is>
      </c>
      <c r="H22" s="8" t="inlineStr">
        <is>
          <t>https://github.com/IDEA-Research/GroundingDINO</t>
        </is>
      </c>
    </row>
    <row r="23" ht="48" customHeight="1">
      <c r="A23" s="5" t="inlineStr">
        <is>
          <t>Few-Shot OD</t>
        </is>
      </c>
      <c r="B23" s="5" t="inlineStr">
        <is>
          <t>CD-ViTO</t>
        </is>
      </c>
      <c r="C23" s="5" t="inlineStr">
        <is>
          <t>Fu et al.</t>
        </is>
      </c>
      <c r="D23" s="5" t="inlineStr">
        <is>
          <t>ECCV</t>
        </is>
      </c>
      <c r="E23" s="5" t="inlineStr">
        <is>
          <t>2024-10</t>
        </is>
      </c>
      <c r="F23" s="5" t="inlineStr">
        <is>
          <t>✅ verified (arXiv 2402.03094, text): CROSS-DOMAIN FSOD benchmark (6 datasets, 10-shot) — CD-ViTO ViT-L/14 mAP ArTaxOr=60.5, Clipart=44.3, DIOR=30.8, DeepFish=22.3, NEU-DET=12.8, UODD=7.0</t>
        </is>
      </c>
      <c r="G23" s="8" t="inlineStr">
        <is>
          <t>https://arxiv.org/abs/2402.03094</t>
        </is>
      </c>
      <c r="H23" s="8" t="inlineStr">
        <is>
          <t>https://github.com/lovelyqian/CDFSOD-benchmark</t>
        </is>
      </c>
    </row>
    <row r="24" ht="48" customHeight="1">
      <c r="A24" s="2" t="inlineStr">
        <is>
          <t>General OD</t>
        </is>
      </c>
      <c r="B24" s="2" t="inlineStr">
        <is>
          <t>Relation-DETR (FocalNet-L)</t>
        </is>
      </c>
      <c r="C24" s="2" t="inlineStr">
        <is>
          <t>Hou et al.</t>
        </is>
      </c>
      <c r="D24" s="2" t="inlineStr">
        <is>
          <t>ECCV</t>
        </is>
      </c>
      <c r="E24" s="2" t="inlineStr">
        <is>
          <t>2024-09</t>
        </is>
      </c>
      <c r="F24" s="2" t="inlineStr">
        <is>
          <t>✅ verified — see COCO test-dev sheet (primary=63.5). Explicit position relation prior; ECCV 2024 Oral</t>
        </is>
      </c>
      <c r="G24" s="9" t="inlineStr">
        <is>
          <t>https://arxiv.org/abs/2407.11699</t>
        </is>
      </c>
      <c r="H24" s="9" t="inlineStr">
        <is>
          <t>https://github.com/xiuqhou/Relation-DETR</t>
        </is>
      </c>
    </row>
    <row r="25" ht="48" customHeight="1">
      <c r="A25" s="3" t="inlineStr">
        <is>
          <t>Real-Time OD</t>
        </is>
      </c>
      <c r="B25" s="3" t="inlineStr">
        <is>
          <t>YOLOv9-E</t>
        </is>
      </c>
      <c r="C25" s="3" t="inlineStr">
        <is>
          <t>Wang et al.</t>
        </is>
      </c>
      <c r="D25" s="3" t="inlineStr">
        <is>
          <t>ECCV</t>
        </is>
      </c>
      <c r="E25" s="3" t="inlineStr">
        <is>
          <t>2024-09</t>
        </is>
      </c>
      <c r="F25" s="3" t="inlineStr">
        <is>
          <t>✅ verified — see COCO 2017 val sheet (primary=55.6). PGI + GELAN</t>
        </is>
      </c>
      <c r="G25" s="6" t="inlineStr">
        <is>
          <t>https://arxiv.org/abs/2402.13616</t>
        </is>
      </c>
      <c r="H25" s="6" t="inlineStr">
        <is>
          <t>https://github.com/WongKinYiu/yolov9</t>
        </is>
      </c>
    </row>
    <row r="26" ht="48" customHeight="1">
      <c r="A26" s="3" t="inlineStr">
        <is>
          <t>Real-Time OD</t>
        </is>
      </c>
      <c r="B26" s="3" t="inlineStr">
        <is>
          <t>YOLO11x</t>
        </is>
      </c>
      <c r="C26" s="3" t="inlineStr">
        <is>
          <t>Ultralytics</t>
        </is>
      </c>
      <c r="D26" s="3" t="inlineStr">
        <is>
          <t>Official Docs</t>
        </is>
      </c>
      <c r="E26" s="3" t="inlineStr">
        <is>
          <t>2024-09</t>
        </is>
      </c>
      <c r="F26" s="3" t="inlineStr">
        <is>
          <t>✅ verified — see COCO 2017 val sheet (primary=54.7). C3K2 + C2PSA</t>
        </is>
      </c>
      <c r="G26" s="6" t="inlineStr">
        <is>
          <t>https://docs.ultralytics.com/models/yolo11/</t>
        </is>
      </c>
      <c r="H26" s="6" t="inlineStr">
        <is>
          <t>https://github.com/ultralytics/ultralytics</t>
        </is>
      </c>
    </row>
    <row r="27" ht="48" customHeight="1">
      <c r="A27" s="3" t="inlineStr">
        <is>
          <t>Real-Time OD</t>
        </is>
      </c>
      <c r="B27" s="3" t="inlineStr">
        <is>
          <t>RT-DETRv2-R101</t>
        </is>
      </c>
      <c r="C27" s="3" t="inlineStr">
        <is>
          <t>Lv et al.</t>
        </is>
      </c>
      <c r="D27" s="3" t="inlineStr">
        <is>
          <t>arXiv</t>
        </is>
      </c>
      <c r="E27" s="3" t="inlineStr">
        <is>
          <t>2024-07</t>
        </is>
      </c>
      <c r="F27" s="3" t="inlineStr">
        <is>
          <t>✅ verified — see COCO 2017 val sheet (primary=54.3). Bag of freebies tweaks</t>
        </is>
      </c>
      <c r="G27" s="6" t="inlineStr">
        <is>
          <t>https://arxiv.org/abs/2407.17140</t>
        </is>
      </c>
      <c r="H27" s="6" t="inlineStr">
        <is>
          <t>https://github.com/lyuwenyu/RT-DETR</t>
        </is>
      </c>
    </row>
    <row r="28" ht="48" customHeight="1">
      <c r="A28" s="3" t="inlineStr">
        <is>
          <t>Real-Time OD</t>
        </is>
      </c>
      <c r="B28" s="3" t="inlineStr">
        <is>
          <t>RT-DETR-R101</t>
        </is>
      </c>
      <c r="C28" s="3" t="inlineStr">
        <is>
          <t>Zhao et al.</t>
        </is>
      </c>
      <c r="D28" s="3" t="inlineStr">
        <is>
          <t>CVPR</t>
        </is>
      </c>
      <c r="E28" s="3" t="inlineStr">
        <is>
          <t>2024-06</t>
        </is>
      </c>
      <c r="F28" s="3" t="inlineStr">
        <is>
          <t>✅ verified — see COCO test-dev sheet (primary=54.3). First real-time DETR</t>
        </is>
      </c>
      <c r="G28" s="6" t="inlineStr">
        <is>
          <t>https://arxiv.org/abs/2304.08069</t>
        </is>
      </c>
      <c r="H28" s="6" t="inlineStr">
        <is>
          <t>https://github.com/lyuwenyu/RT-DETR</t>
        </is>
      </c>
    </row>
    <row r="29" ht="48" customHeight="1">
      <c r="A29" s="4" t="inlineStr">
        <is>
          <t>RGB Salient OD</t>
        </is>
      </c>
      <c r="B29" s="4" t="inlineStr">
        <is>
          <t>MVANet</t>
        </is>
      </c>
      <c r="C29" s="4" t="inlineStr">
        <is>
          <t>Yu et al.</t>
        </is>
      </c>
      <c r="D29" s="4" t="inlineStr">
        <is>
          <t>CVPR</t>
        </is>
      </c>
      <c r="E29" s="4" t="inlineStr">
        <is>
          <t>2024-06</t>
        </is>
      </c>
      <c r="F29" s="4" t="inlineStr">
        <is>
          <t>✅ verified — see SBU-Refine sheet (primary=N/A). Multi-view aggregation; SOTA-tier 2024</t>
        </is>
      </c>
      <c r="G29" s="7" t="inlineStr">
        <is>
          <t>https://arxiv.org/abs/2404.07445</t>
        </is>
      </c>
      <c r="H29" s="7" t="inlineStr">
        <is>
          <t>https://github.com/qianyu-dlut/MVANet</t>
        </is>
      </c>
    </row>
    <row r="30" ht="48" customHeight="1">
      <c r="A30" s="4" t="inlineStr">
        <is>
          <t>RGB Salient OD</t>
        </is>
      </c>
      <c r="B30" s="4" t="inlineStr">
        <is>
          <t>VSCode</t>
        </is>
      </c>
      <c r="C30" s="4" t="inlineStr">
        <is>
          <t>Luo et al.</t>
        </is>
      </c>
      <c r="D30" s="4" t="inlineStr">
        <is>
          <t>CVPR</t>
        </is>
      </c>
      <c r="E30" s="4" t="inlineStr">
        <is>
          <t>2024-06</t>
        </is>
      </c>
      <c r="F30" s="4" t="inlineStr">
        <is>
          <t>✅ verified — see DUTS-TE sheet (primary=N/A). 2D prompt joint salient/camouflaged</t>
        </is>
      </c>
      <c r="G30" s="7" t="inlineStr">
        <is>
          <t>https://arxiv.org/abs/2311.15011</t>
        </is>
      </c>
      <c r="H30" s="7" t="inlineStr">
        <is>
          <t>https://github.com/Sssssuperior/VSCode</t>
        </is>
      </c>
    </row>
    <row r="31" ht="48" customHeight="1">
      <c r="A31" s="5" t="inlineStr">
        <is>
          <t>Few-Shot OD</t>
        </is>
      </c>
      <c r="B31" s="5" t="inlineStr">
        <is>
          <t>FM-FSOD</t>
        </is>
      </c>
      <c r="C31" s="5" t="inlineStr">
        <is>
          <t>Han et al.</t>
        </is>
      </c>
      <c r="D31" s="5" t="inlineStr">
        <is>
          <t>CVPR</t>
        </is>
      </c>
      <c r="E31" s="5" t="inlineStr">
        <is>
          <t>2024-06</t>
        </is>
      </c>
      <c r="F31" s="5" t="inlineStr">
        <is>
          <t>✅ verified — see MS-COCO 1-shot sheet (primary=N/A). Foundation-model FSOD</t>
        </is>
      </c>
      <c r="G31" s="8" t="inlineStr">
        <is>
          <t>https://arxiv.org/abs/2402.10433</t>
        </is>
      </c>
      <c r="H31" s="8" t="inlineStr">
        <is>
          <t>https://github.com/han-tianyu/FM-FSOD</t>
        </is>
      </c>
    </row>
    <row r="32" ht="48" customHeight="1">
      <c r="A32" s="2" t="inlineStr">
        <is>
          <t>General OD</t>
        </is>
      </c>
      <c r="B32" s="2" t="inlineStr">
        <is>
          <t>Grounding DINO 1.5 Pro</t>
        </is>
      </c>
      <c r="C32" s="2" t="inlineStr">
        <is>
          <t>Ren et al.</t>
        </is>
      </c>
      <c r="D32" s="2" t="inlineStr">
        <is>
          <t>arXiv</t>
        </is>
      </c>
      <c r="E32" s="2" t="inlineStr">
        <is>
          <t>2024-05</t>
        </is>
      </c>
      <c r="F32" s="2" t="inlineStr">
        <is>
          <t>✅ verified — see COCO 2017 sheet (primary=54.3). Open-set; SOTA on COCO zero-shot, LVIS, ODinW</t>
        </is>
      </c>
      <c r="G32" s="9" t="inlineStr">
        <is>
          <t>https://arxiv.org/abs/2405.10300</t>
        </is>
      </c>
      <c r="H32" s="9" t="inlineStr">
        <is>
          <t>https://github.com/IDEA-Research/Grounding-DINO-1.5-API</t>
        </is>
      </c>
    </row>
    <row r="33" ht="48" customHeight="1">
      <c r="A33" s="5" t="inlineStr">
        <is>
          <t>Few-Shot OD</t>
        </is>
      </c>
      <c r="B33" s="5" t="inlineStr">
        <is>
          <t>Grounding DINO 1.5 Pro</t>
        </is>
      </c>
      <c r="C33" s="5" t="inlineStr">
        <is>
          <t>Ren et al.</t>
        </is>
      </c>
      <c r="D33" s="5" t="inlineStr">
        <is>
          <t>arXiv</t>
        </is>
      </c>
      <c r="E33" s="5" t="inlineStr">
        <is>
          <t>2024-05</t>
        </is>
      </c>
      <c r="F33" s="5" t="inlineStr">
        <is>
          <t>✅ verified — see COCO 2017 sheet (primary=54.3). Strong open-set; SOTA on ODinW</t>
        </is>
      </c>
      <c r="G33" s="8" t="inlineStr">
        <is>
          <t>https://arxiv.org/abs/2405.10300</t>
        </is>
      </c>
      <c r="H33" s="8" t="inlineStr">
        <is>
          <t>https://github.com/IDEA-Research/Grounding-DINO-1.5-API</t>
        </is>
      </c>
    </row>
    <row r="34" ht="48" customHeight="1">
      <c r="A34" s="4" t="inlineStr">
        <is>
          <t>RGB Salient OD</t>
        </is>
      </c>
      <c r="B34" s="4" t="inlineStr">
        <is>
          <t>BiRefNet</t>
        </is>
      </c>
      <c r="C34" s="4" t="inlineStr">
        <is>
          <t>Zheng et al.</t>
        </is>
      </c>
      <c r="D34" s="4" t="inlineStr">
        <is>
          <t>CAAI AIR</t>
        </is>
      </c>
      <c r="E34" s="4" t="inlineStr">
        <is>
          <t>2024-04</t>
        </is>
      </c>
      <c r="F34" s="4" t="inlineStr">
        <is>
          <t>✅ verified (CAAI AIR Table3, visual read): HR dichotomous segmentation + SOD/HRSOD/COD — BiRefNet DIS-VD Sm=0.905 / maxFm=0.897 / MAE=0.036 (also in SOD sheets DUTS-TE etc.)</t>
        </is>
      </c>
      <c r="G34" s="7" t="inlineStr">
        <is>
          <t>https://arxiv.org/abs/2401.03407</t>
        </is>
      </c>
      <c r="H34" s="7" t="inlineStr">
        <is>
          <t>https://github.com/ZhengPeng7/BiRefNet</t>
        </is>
      </c>
    </row>
    <row r="35" ht="48" customHeight="1">
      <c r="A35" s="5" t="inlineStr">
        <is>
          <t>Few-Shot OD</t>
        </is>
      </c>
      <c r="B35" s="5" t="inlineStr">
        <is>
          <t>hANMCL</t>
        </is>
      </c>
      <c r="C35" s="5" t="inlineStr">
        <is>
          <t>Various</t>
        </is>
      </c>
      <c r="D35" s="5" t="inlineStr">
        <is>
          <t>arXiv</t>
        </is>
      </c>
      <c r="E35" s="5" t="inlineStr">
        <is>
          <t>2024-04</t>
        </is>
      </c>
      <c r="F35" s="5" t="inlineStr">
        <is>
          <t>✅ verified — see MS-COCO 1-shot sheet (primary=N/A). Hierarchical attention + multi-correlation</t>
        </is>
      </c>
      <c r="G35" s="8" t="inlineStr">
        <is>
          <t>https://arxiv.org/abs/2404.00700</t>
        </is>
      </c>
      <c r="H35" s="8" t="inlineStr">
        <is>
          <t>https://github.com/</t>
        </is>
      </c>
    </row>
    <row r="36" ht="48" customHeight="1">
      <c r="A36" s="2" t="inlineStr">
        <is>
          <t>General OD</t>
        </is>
      </c>
      <c r="B36" s="2" t="inlineStr">
        <is>
          <t>Co-DETR (ViT-L)</t>
        </is>
      </c>
      <c r="C36" s="2" t="inlineStr">
        <is>
          <t>Zong et al.</t>
        </is>
      </c>
      <c r="D36" s="2" t="inlineStr">
        <is>
          <t>ICCV</t>
        </is>
      </c>
      <c r="E36" s="2" t="inlineStr">
        <is>
          <t>2023-10</t>
        </is>
      </c>
      <c r="F36" s="2" t="inlineStr">
        <is>
          <t>✅ verified — see COCO test-dev sheet (primary=66). First ≥66 AP on COCO test-dev; collaborative hybrid assignments</t>
        </is>
      </c>
      <c r="G36" s="9" t="inlineStr">
        <is>
          <t>https://arxiv.org/abs/2211.12860</t>
        </is>
      </c>
      <c r="H36" s="9" t="inlineStr">
        <is>
          <t>https://github.com/Sense-X/Co-DETR</t>
        </is>
      </c>
    </row>
    <row r="37" ht="48" customHeight="1">
      <c r="A37" s="2" t="inlineStr">
        <is>
          <t>General OD</t>
        </is>
      </c>
      <c r="B37" s="2" t="inlineStr">
        <is>
          <t>EVA-02 (Det)</t>
        </is>
      </c>
      <c r="C37" s="2" t="inlineStr">
        <is>
          <t>Fang et al.</t>
        </is>
      </c>
      <c r="D37" s="2" t="inlineStr">
        <is>
          <t>arXiv→IVC</t>
        </is>
      </c>
      <c r="E37" s="2" t="inlineStr">
        <is>
          <t>2023-10</t>
        </is>
      </c>
      <c r="F37" s="2" t="inlineStr">
        <is>
          <t>✅ verified — see LVIS v1.0 val sheet (primary=65.2). ViT-L visual rep; SOTA-tier</t>
        </is>
      </c>
      <c r="G37" s="9" t="inlineStr">
        <is>
          <t>https://arxiv.org/abs/2303.11331</t>
        </is>
      </c>
      <c r="H37" s="9" t="inlineStr">
        <is>
          <t>https://github.com/baaivision/EVA</t>
        </is>
      </c>
    </row>
    <row r="38" ht="48" customHeight="1">
      <c r="A38" s="4" t="inlineStr">
        <is>
          <t>RGB Salient OD</t>
        </is>
      </c>
      <c r="B38" s="4" t="inlineStr">
        <is>
          <t>M3Net</t>
        </is>
      </c>
      <c r="C38" s="4" t="inlineStr">
        <is>
          <t>Yuan et al.</t>
        </is>
      </c>
      <c r="D38" s="4" t="inlineStr">
        <is>
          <t>ICCV</t>
        </is>
      </c>
      <c r="E38" s="4" t="inlineStr">
        <is>
          <t>2023-10</t>
        </is>
      </c>
      <c r="F38" s="4" t="inlineStr">
        <is>
          <t>✅ verified — see DUTS-TE sheet (primary=0.927). Multi-level mixed-attention</t>
        </is>
      </c>
      <c r="G38" s="7" t="inlineStr">
        <is>
          <t>https://arxiv.org/abs/2309.08365</t>
        </is>
      </c>
      <c r="H38" s="7" t="inlineStr">
        <is>
          <t>https://github.com/I2-Multimedia-Lab/M3Net</t>
        </is>
      </c>
    </row>
    <row r="39" ht="48" customHeight="1">
      <c r="A39" s="2" t="inlineStr">
        <is>
          <t>General OD</t>
        </is>
      </c>
      <c r="B39" s="2" t="inlineStr">
        <is>
          <t>InternImage-H</t>
        </is>
      </c>
      <c r="C39" s="2" t="inlineStr">
        <is>
          <t>Wang et al.</t>
        </is>
      </c>
      <c r="D39" s="2" t="inlineStr">
        <is>
          <t>CVPR</t>
        </is>
      </c>
      <c r="E39" s="2" t="inlineStr">
        <is>
          <t>2023-06</t>
        </is>
      </c>
      <c r="F39" s="2" t="inlineStr">
        <is>
          <t>✅ verified — see COCO test-dev sheet (primary=65.4). Large-scale deformable conv; first ≥65 AP</t>
        </is>
      </c>
      <c r="G39" s="9" t="inlineStr">
        <is>
          <t>https://arxiv.org/abs/2211.05778</t>
        </is>
      </c>
      <c r="H39" s="9" t="inlineStr">
        <is>
          <t>https://github.com/OpenGVLab/InternImage</t>
        </is>
      </c>
    </row>
    <row r="40" ht="48" customHeight="1">
      <c r="A40" s="3" t="inlineStr">
        <is>
          <t>Real-Time OD</t>
        </is>
      </c>
      <c r="B40" s="3" t="inlineStr">
        <is>
          <t>YOLOv7-X</t>
        </is>
      </c>
      <c r="C40" s="3" t="inlineStr">
        <is>
          <t>Wang et al.</t>
        </is>
      </c>
      <c r="D40" s="3" t="inlineStr">
        <is>
          <t>CVPR</t>
        </is>
      </c>
      <c r="E40" s="3" t="inlineStr">
        <is>
          <t>2023-06</t>
        </is>
      </c>
      <c r="F40" s="3" t="inlineStr">
        <is>
          <t>✅ verified — see COCO 2017 sheet (primary=52.9). E-ELAN backbone</t>
        </is>
      </c>
      <c r="G40" s="6" t="inlineStr">
        <is>
          <t>https://arxiv.org/abs/2207.02696</t>
        </is>
      </c>
      <c r="H40" s="6" t="inlineStr">
        <is>
          <t>https://github.com/WongKinYiu/yolov7</t>
        </is>
      </c>
    </row>
    <row r="41" ht="48" customHeight="1">
      <c r="A41" s="5" t="inlineStr">
        <is>
          <t>Few-Shot OD</t>
        </is>
      </c>
      <c r="B41" s="5" t="inlineStr">
        <is>
          <t>UniFS (UniDetector)</t>
        </is>
      </c>
      <c r="C41" s="5" t="inlineStr">
        <is>
          <t>Wang et al.</t>
        </is>
      </c>
      <c r="D41" s="5" t="inlineStr">
        <is>
          <t>CVPR</t>
        </is>
      </c>
      <c r="E41" s="5" t="inlineStr">
        <is>
          <t>2023-06</t>
        </is>
      </c>
      <c r="F41" s="5" t="inlineStr">
        <is>
          <t>✅ verified — see COCO 2017 val sheet (primary=49.3). Universal open-vocab detector</t>
        </is>
      </c>
      <c r="G41" s="8" t="inlineStr">
        <is>
          <t>https://arxiv.org/abs/2303.11749</t>
        </is>
      </c>
      <c r="H41" s="8" t="inlineStr">
        <is>
          <t>https://github.com/zhenyuw16/UniDetector</t>
        </is>
      </c>
    </row>
    <row r="42" ht="48" customHeight="1">
      <c r="A42" s="3" t="inlineStr">
        <is>
          <t>Real-Time OD</t>
        </is>
      </c>
      <c r="B42" s="3" t="inlineStr">
        <is>
          <t>YOLO-NAS-L</t>
        </is>
      </c>
      <c r="C42" s="3" t="inlineStr">
        <is>
          <t>Deci</t>
        </is>
      </c>
      <c r="D42" s="3" t="inlineStr">
        <is>
          <t>GitHub</t>
        </is>
      </c>
      <c r="E42" s="3" t="inlineStr">
        <is>
          <t>2023-05</t>
        </is>
      </c>
      <c r="F42" s="3" t="inlineStr">
        <is>
          <t>Neural-arch search YOLO</t>
        </is>
      </c>
      <c r="G42" s="6" t="inlineStr">
        <is>
          <t>https://github.com/Deci-AI/super-gradients</t>
        </is>
      </c>
      <c r="H42" s="6" t="inlineStr">
        <is>
          <t>https://github.com/Deci-AI/super-gradients</t>
        </is>
      </c>
    </row>
    <row r="43" ht="48" customHeight="1">
      <c r="A43" s="2" t="inlineStr">
        <is>
          <t>General OD</t>
        </is>
      </c>
      <c r="B43" s="2" t="inlineStr">
        <is>
          <t>DINO (Swin-L)</t>
        </is>
      </c>
      <c r="C43" s="2" t="inlineStr">
        <is>
          <t>Zhang et al.</t>
        </is>
      </c>
      <c r="D43" s="2" t="inlineStr">
        <is>
          <t>ICLR</t>
        </is>
      </c>
      <c r="E43" s="2" t="inlineStr">
        <is>
          <t>2023-03</t>
        </is>
      </c>
      <c r="F43" s="2" t="inlineStr">
        <is>
          <t>✅ verified — see COCO test-dev sheet (primary=63.3). SOTA query-based DETR family; Paper-reported result</t>
        </is>
      </c>
      <c r="G43" s="9" t="inlineStr">
        <is>
          <t>https://arxiv.org/abs/2203.03605</t>
        </is>
      </c>
      <c r="H43" s="9" t="inlineStr">
        <is>
          <t>https://github.com/IDEA-Research/DINO</t>
        </is>
      </c>
    </row>
    <row r="44" ht="48" customHeight="1">
      <c r="A44" s="4" t="inlineStr">
        <is>
          <t>RGB Salient OD</t>
        </is>
      </c>
      <c r="B44" s="4" t="inlineStr">
        <is>
          <t>ICON-S (Swin)</t>
        </is>
      </c>
      <c r="C44" s="4" t="inlineStr">
        <is>
          <t>Zhuge et al.</t>
        </is>
      </c>
      <c r="D44" s="4" t="inlineStr">
        <is>
          <t>TPAMI</t>
        </is>
      </c>
      <c r="E44" s="4" t="inlineStr">
        <is>
          <t>2023-03</t>
        </is>
      </c>
      <c r="F44" s="4" t="inlineStr">
        <is>
          <t>✅ verified — see DUTS-TE sheet (primary=0.917). Integrity learning</t>
        </is>
      </c>
      <c r="G44" s="7" t="inlineStr">
        <is>
          <t>https://arxiv.org/abs/2111.13409</t>
        </is>
      </c>
      <c r="H44" s="7" t="inlineStr">
        <is>
          <t>https://github.com/mczhuge/ICON</t>
        </is>
      </c>
    </row>
    <row r="45" ht="48" customHeight="1">
      <c r="A45" s="3" t="inlineStr">
        <is>
          <t>Real-Time OD</t>
        </is>
      </c>
      <c r="B45" s="3" t="inlineStr">
        <is>
          <t>YOLOv8x</t>
        </is>
      </c>
      <c r="C45" s="3" t="inlineStr">
        <is>
          <t>Jocher et al.</t>
        </is>
      </c>
      <c r="D45" s="3" t="inlineStr">
        <is>
          <t>GitHub</t>
        </is>
      </c>
      <c r="E45" s="3" t="inlineStr">
        <is>
          <t>2023-01</t>
        </is>
      </c>
      <c r="F45" s="3" t="inlineStr">
        <is>
          <t>Anchor-free; Ultralytics</t>
        </is>
      </c>
      <c r="G45" s="6" t="inlineStr">
        <is>
          <t>https://docs.ultralytics.com/models/yolov8/</t>
        </is>
      </c>
      <c r="H45" s="6" t="inlineStr">
        <is>
          <t>https://github.com/ultralytics/ultralytics</t>
        </is>
      </c>
    </row>
    <row r="46" ht="48" customHeight="1">
      <c r="A46" s="3" t="inlineStr">
        <is>
          <t>Real-Time OD</t>
        </is>
      </c>
      <c r="B46" s="3" t="inlineStr">
        <is>
          <t>RTMDet-X</t>
        </is>
      </c>
      <c r="C46" s="3" t="inlineStr">
        <is>
          <t>Lyu et al.</t>
        </is>
      </c>
      <c r="D46" s="3" t="inlineStr">
        <is>
          <t>arXiv</t>
        </is>
      </c>
      <c r="E46" s="3" t="inlineStr">
        <is>
          <t>2022-12</t>
        </is>
      </c>
      <c r="F46" s="3" t="inlineStr">
        <is>
          <t>✅ verified — see COCO 2017 val sheet (primary=52.8). OpenMMLab RT detector</t>
        </is>
      </c>
      <c r="G46" s="6" t="inlineStr">
        <is>
          <t>https://arxiv.org/abs/2212.07784</t>
        </is>
      </c>
      <c r="H46" s="6" t="inlineStr">
        <is>
          <t>https://github.com/open-mmlab/mmdetection</t>
        </is>
      </c>
    </row>
    <row r="47" ht="48" customHeight="1">
      <c r="A47" s="3" t="inlineStr">
        <is>
          <t>Real-Time OD</t>
        </is>
      </c>
      <c r="B47" s="3" t="inlineStr">
        <is>
          <t>DAMO-YOLO-l</t>
        </is>
      </c>
      <c r="C47" s="3" t="inlineStr">
        <is>
          <t>Xu et al.</t>
        </is>
      </c>
      <c r="D47" s="3" t="inlineStr">
        <is>
          <t>arXiv</t>
        </is>
      </c>
      <c r="E47" s="3" t="inlineStr">
        <is>
          <t>2022-12</t>
        </is>
      </c>
      <c r="F47" s="3" t="inlineStr">
        <is>
          <t>✅ verified — see COCO 2017 sheet (primary=50.8). NAS backbone</t>
        </is>
      </c>
      <c r="G47" s="6" t="inlineStr">
        <is>
          <t>https://arxiv.org/abs/2211.15444</t>
        </is>
      </c>
      <c r="H47" s="6" t="inlineStr">
        <is>
          <t>https://github.com/tinyvision/damo-yolo</t>
        </is>
      </c>
    </row>
    <row r="48" ht="48" customHeight="1">
      <c r="A48" s="4" t="inlineStr">
        <is>
          <t>RGB Salient OD</t>
        </is>
      </c>
      <c r="B48" s="4" t="inlineStr">
        <is>
          <t>InSPyReNet</t>
        </is>
      </c>
      <c r="C48" s="4" t="inlineStr">
        <is>
          <t>Kim et al.</t>
        </is>
      </c>
      <c r="D48" s="4" t="inlineStr">
        <is>
          <t>ACCV</t>
        </is>
      </c>
      <c r="E48" s="4" t="inlineStr">
        <is>
          <t>2022-12</t>
        </is>
      </c>
      <c r="F48" s="4" t="inlineStr">
        <is>
          <t>✅ verified — see DUTS-TE sheet (primary=0.931). Image pyramid; high-res</t>
        </is>
      </c>
      <c r="G48" s="7" t="inlineStr">
        <is>
          <t>https://arxiv.org/abs/2209.09475</t>
        </is>
      </c>
      <c r="H48" s="7" t="inlineStr">
        <is>
          <t>https://github.com/plemeri/InSPyReNet</t>
        </is>
      </c>
    </row>
    <row r="49" ht="48" customHeight="1">
      <c r="A49" s="2" t="inlineStr">
        <is>
          <t>General OD</t>
        </is>
      </c>
      <c r="B49" s="2" t="inlineStr">
        <is>
          <t>ViTDet (ViT-H, MAE)</t>
        </is>
      </c>
      <c r="C49" s="2" t="inlineStr">
        <is>
          <t>Li et al.</t>
        </is>
      </c>
      <c r="D49" s="2" t="inlineStr">
        <is>
          <t>ECCV</t>
        </is>
      </c>
      <c r="E49" s="2" t="inlineStr">
        <is>
          <t>2022-09</t>
        </is>
      </c>
      <c r="F49" s="2" t="inlineStr">
        <is>
          <t>✅ verified — see COCO 2017 val sheet (primary=61.3). Plain ViT backbone for detection</t>
        </is>
      </c>
      <c r="G49" s="9" t="inlineStr">
        <is>
          <t>https://arxiv.org/abs/2203.16527</t>
        </is>
      </c>
      <c r="H49" s="9" t="inlineStr">
        <is>
          <t>https://github.com/facebookresearch/detectron2</t>
        </is>
      </c>
    </row>
    <row r="50" ht="48" customHeight="1">
      <c r="A50" s="2" t="inlineStr">
        <is>
          <t>General OD</t>
        </is>
      </c>
      <c r="B50" s="2" t="inlineStr">
        <is>
          <t>MaxViT-XL Cascade</t>
        </is>
      </c>
      <c r="C50" s="2" t="inlineStr">
        <is>
          <t>Tu et al.</t>
        </is>
      </c>
      <c r="D50" s="2" t="inlineStr">
        <is>
          <t>ECCV</t>
        </is>
      </c>
      <c r="E50" s="2" t="inlineStr">
        <is>
          <t>2022-09</t>
        </is>
      </c>
      <c r="F50" s="2" t="inlineStr">
        <is>
          <t>✅ verified — see COCO test-dev sheet (primary=53.4). Multi-axis attention</t>
        </is>
      </c>
      <c r="G50" s="9" t="inlineStr">
        <is>
          <t>https://arxiv.org/abs/2204.01697</t>
        </is>
      </c>
      <c r="H50" s="9" t="inlineStr">
        <is>
          <t>https://github.com/google-research/maxvit</t>
        </is>
      </c>
    </row>
    <row r="51" ht="48" customHeight="1">
      <c r="A51" s="3" t="inlineStr">
        <is>
          <t>Real-Time OD</t>
        </is>
      </c>
      <c r="B51" s="3" t="inlineStr">
        <is>
          <t>YOLOv6-L</t>
        </is>
      </c>
      <c r="C51" s="3" t="inlineStr">
        <is>
          <t>Li et al.</t>
        </is>
      </c>
      <c r="D51" s="3" t="inlineStr">
        <is>
          <t>arXiv</t>
        </is>
      </c>
      <c r="E51" s="3" t="inlineStr">
        <is>
          <t>2022-09</t>
        </is>
      </c>
      <c r="F51" s="3" t="inlineStr">
        <is>
          <t>✅ verified — see COCO 2017 val sheet (primary=52.8). Industry-grade RT detector</t>
        </is>
      </c>
      <c r="G51" s="6" t="inlineStr">
        <is>
          <t>https://arxiv.org/abs/2209.02976</t>
        </is>
      </c>
      <c r="H51" s="6" t="inlineStr">
        <is>
          <t>https://github.com/meituan/YOLOv6</t>
        </is>
      </c>
    </row>
    <row r="52" ht="48" customHeight="1">
      <c r="A52" s="4" t="inlineStr">
        <is>
          <t>RGB Salient OD</t>
        </is>
      </c>
      <c r="B52" s="4" t="inlineStr">
        <is>
          <t>EDN</t>
        </is>
      </c>
      <c r="C52" s="4" t="inlineStr">
        <is>
          <t>Wu et al.</t>
        </is>
      </c>
      <c r="D52" s="4" t="inlineStr">
        <is>
          <t>TIP</t>
        </is>
      </c>
      <c r="E52" s="4" t="inlineStr">
        <is>
          <t>2022-08</t>
        </is>
      </c>
      <c r="F52" s="4" t="inlineStr">
        <is>
          <t>✅ verified — see DUTS-TE sheet (primary=0.892). Extremely-downsampled net</t>
        </is>
      </c>
      <c r="G52" s="7" t="inlineStr">
        <is>
          <t>https://arxiv.org/abs/2012.13093</t>
        </is>
      </c>
      <c r="H52" s="7" t="inlineStr">
        <is>
          <t>https://github.com/yuhuan-wu/EDN</t>
        </is>
      </c>
    </row>
    <row r="53" ht="48" customHeight="1">
      <c r="A53" s="5" t="inlineStr">
        <is>
          <t>Few-Shot OD</t>
        </is>
      </c>
      <c r="B53" s="5" t="inlineStr">
        <is>
          <t>Meta-DETR</t>
        </is>
      </c>
      <c r="C53" s="5" t="inlineStr">
        <is>
          <t>Zhang et al.</t>
        </is>
      </c>
      <c r="D53" s="5" t="inlineStr">
        <is>
          <t>TPAMI</t>
        </is>
      </c>
      <c r="E53" s="5" t="inlineStr">
        <is>
          <t>2022-08</t>
        </is>
      </c>
      <c r="F53" s="5" t="inlineStr">
        <is>
          <t>✅ verified (TPAMI, text): few-shot OD — Meta-DETR COCO nAP 10-shot=15.4, 30-shot=19.0; PASCAL-VOC novel AP50 up to 63.6 (split1, 10-shot). Detail in MS-COCO few-shot sheets</t>
        </is>
      </c>
      <c r="G53" s="8" t="inlineStr">
        <is>
          <t>https://arxiv.org/abs/2208.00219</t>
        </is>
      </c>
      <c r="H53" s="8" t="inlineStr">
        <is>
          <t>https://github.com/ZhangGongjie/Meta-DETR</t>
        </is>
      </c>
    </row>
    <row r="54" ht="48" customHeight="1">
      <c r="A54" s="3" t="inlineStr">
        <is>
          <t>Real-Time OD</t>
        </is>
      </c>
      <c r="B54" s="3" t="inlineStr">
        <is>
          <t>PP-YOLOE+ (X)</t>
        </is>
      </c>
      <c r="C54" s="3" t="inlineStr">
        <is>
          <t>Xu et al.</t>
        </is>
      </c>
      <c r="D54" s="3" t="inlineStr">
        <is>
          <t>arXiv</t>
        </is>
      </c>
      <c r="E54" s="3" t="inlineStr">
        <is>
          <t>2022-07</t>
        </is>
      </c>
      <c r="F54" s="3" t="inlineStr">
        <is>
          <t>✅ verified — see COCO test-dev sheet (primary=54.7). Baidu PaddleDetection</t>
        </is>
      </c>
      <c r="G54" s="6" t="inlineStr">
        <is>
          <t>https://arxiv.org/abs/2203.16250</t>
        </is>
      </c>
      <c r="H54" s="6" t="inlineStr">
        <is>
          <t>https://github.com/PaddlePaddle/PaddleDetection</t>
        </is>
      </c>
    </row>
    <row r="55" ht="48" customHeight="1">
      <c r="A55" s="5" t="inlineStr">
        <is>
          <t>Few-Shot OD</t>
        </is>
      </c>
      <c r="B55" s="5" t="inlineStr">
        <is>
          <t>DETReg</t>
        </is>
      </c>
      <c r="C55" s="5" t="inlineStr">
        <is>
          <t>Bar et al.</t>
        </is>
      </c>
      <c r="D55" s="5" t="inlineStr">
        <is>
          <t>CVPR</t>
        </is>
      </c>
      <c r="E55" s="5" t="inlineStr">
        <is>
          <t>2022-06</t>
        </is>
      </c>
      <c r="F55" s="5" t="inlineStr">
        <is>
          <t>✅ verified — see COCO 2017 val sheet (primary=45.5). Self-supervised pre-training</t>
        </is>
      </c>
      <c r="G55" s="8" t="inlineStr">
        <is>
          <t>https://arxiv.org/abs/2106.04550</t>
        </is>
      </c>
      <c r="H55" s="8" t="inlineStr">
        <is>
          <t>https://github.com/amirbar/DETReg</t>
        </is>
      </c>
    </row>
    <row r="56" ht="48" customHeight="1">
      <c r="A56" s="2" t="inlineStr">
        <is>
          <t>General OD</t>
        </is>
      </c>
      <c r="B56" s="2" t="inlineStr">
        <is>
          <t>ConvNeXt-XL Cascade</t>
        </is>
      </c>
      <c r="C56" s="2" t="inlineStr">
        <is>
          <t>Liu et al.</t>
        </is>
      </c>
      <c r="D56" s="2" t="inlineStr">
        <is>
          <t>CVPR</t>
        </is>
      </c>
      <c r="E56" s="2" t="inlineStr">
        <is>
          <t>2022-03</t>
        </is>
      </c>
      <c r="F56" s="2" t="inlineStr">
        <is>
          <t>✅ verified — see COCO test-dev sheet (primary=55.2). Pure ConvNet baseline</t>
        </is>
      </c>
      <c r="G56" s="9" t="inlineStr">
        <is>
          <t>https://arxiv.org/abs/2201.03545</t>
        </is>
      </c>
      <c r="H56" s="9" t="inlineStr">
        <is>
          <t>https://github.com/facebookresearch/ConvNeXt</t>
        </is>
      </c>
    </row>
    <row r="57" ht="48" customHeight="1">
      <c r="A57" s="2" t="inlineStr">
        <is>
          <t>General OD</t>
        </is>
      </c>
      <c r="B57" s="2" t="inlineStr">
        <is>
          <t>DN-DETR</t>
        </is>
      </c>
      <c r="C57" s="2" t="inlineStr">
        <is>
          <t>Li et al.</t>
        </is>
      </c>
      <c r="D57" s="2" t="inlineStr">
        <is>
          <t>CVPR</t>
        </is>
      </c>
      <c r="E57" s="2" t="inlineStr">
        <is>
          <t>2022-03</t>
        </is>
      </c>
      <c r="F57" s="2" t="inlineStr">
        <is>
          <t>✅ verified — see COCO minival sheet (primary=48.6). Denoising training; Paper-reported result</t>
        </is>
      </c>
      <c r="G57" s="9" t="inlineStr">
        <is>
          <t>https://arxiv.org/abs/2203.01305</t>
        </is>
      </c>
      <c r="H57" s="9" t="inlineStr">
        <is>
          <t>https://github.com/IDEA-Research/DN-DETR</t>
        </is>
      </c>
    </row>
    <row r="58" ht="48" customHeight="1">
      <c r="A58" s="2" t="inlineStr">
        <is>
          <t>General OD</t>
        </is>
      </c>
      <c r="B58" s="2" t="inlineStr">
        <is>
          <t>DAB-DETR</t>
        </is>
      </c>
      <c r="C58" s="2" t="inlineStr">
        <is>
          <t>Liu et al.</t>
        </is>
      </c>
      <c r="D58" s="2" t="inlineStr">
        <is>
          <t>ICLR</t>
        </is>
      </c>
      <c r="E58" s="2" t="inlineStr">
        <is>
          <t>2022-03</t>
        </is>
      </c>
      <c r="F58" s="2" t="inlineStr">
        <is>
          <t>✅ verified — see COCO minival sheet (primary=45.7). Anchor box query; Paper-reported result</t>
        </is>
      </c>
      <c r="G58" s="9" t="inlineStr">
        <is>
          <t>https://arxiv.org/abs/2201.12329</t>
        </is>
      </c>
      <c r="H58" s="9" t="inlineStr">
        <is>
          <t>https://github.com/IDEA-Research/DAB-DETR</t>
        </is>
      </c>
    </row>
    <row r="59" ht="48" customHeight="1">
      <c r="A59" s="3" t="inlineStr">
        <is>
          <t>Real-Time OD</t>
        </is>
      </c>
      <c r="B59" s="3" t="inlineStr">
        <is>
          <t>NanoDet-Plus-m</t>
        </is>
      </c>
      <c r="C59" s="3" t="inlineStr">
        <is>
          <t>RangiLyu</t>
        </is>
      </c>
      <c r="D59" s="3" t="inlineStr">
        <is>
          <t>GitHub</t>
        </is>
      </c>
      <c r="E59" s="3" t="inlineStr">
        <is>
          <t>2021-12</t>
        </is>
      </c>
      <c r="F59" s="3" t="inlineStr">
        <is>
          <t>✅ verified — see COCO test-dev sheet (primary=64.5). Mobile/edge tiny detector</t>
        </is>
      </c>
      <c r="G59" s="6" t="inlineStr">
        <is>
          <t>https://github.com/RangiLyu/nanodet</t>
        </is>
      </c>
      <c r="H59" s="6" t="inlineStr">
        <is>
          <t>https://github.com/RangiLyu/nanodet</t>
        </is>
      </c>
    </row>
    <row r="60" ht="48" customHeight="1">
      <c r="A60" s="4" t="inlineStr">
        <is>
          <t>RGB Salient OD</t>
        </is>
      </c>
      <c r="B60" s="4" t="inlineStr">
        <is>
          <t>VST</t>
        </is>
      </c>
      <c r="C60" s="4" t="inlineStr">
        <is>
          <t>Liu et al.</t>
        </is>
      </c>
      <c r="D60" s="4" t="inlineStr">
        <is>
          <t>ICCV</t>
        </is>
      </c>
      <c r="E60" s="4" t="inlineStr">
        <is>
          <t>2021-10</t>
        </is>
      </c>
      <c r="F60" s="4" t="inlineStr">
        <is>
          <t>✅ verified — see DUTS-TE sheet (primary=0.896). Visual saliency transformer</t>
        </is>
      </c>
      <c r="G60" s="7" t="inlineStr">
        <is>
          <t>https://arxiv.org/abs/2104.12099</t>
        </is>
      </c>
      <c r="H60" s="7" t="inlineStr">
        <is>
          <t>https://github.com/nnizhang/VST</t>
        </is>
      </c>
    </row>
    <row r="61" ht="48" customHeight="1">
      <c r="A61" s="5" t="inlineStr">
        <is>
          <t>Few-Shot OD</t>
        </is>
      </c>
      <c r="B61" s="5" t="inlineStr">
        <is>
          <t>DeFRCN</t>
        </is>
      </c>
      <c r="C61" s="5" t="inlineStr">
        <is>
          <t>Qiao et al.</t>
        </is>
      </c>
      <c r="D61" s="5" t="inlineStr">
        <is>
          <t>ICCV</t>
        </is>
      </c>
      <c r="E61" s="5" t="inlineStr">
        <is>
          <t>2021-10</t>
        </is>
      </c>
      <c r="F61" s="5" t="inlineStr">
        <is>
          <t>✅ verified (ICCV21, text): few-shot OD — DeFRCN COCO nAP 10-shot=18.5, 30-shot=22.6 (strong baseline). Detail in MS-COCO few-shot sheets</t>
        </is>
      </c>
      <c r="G61" s="8" t="inlineStr">
        <is>
          <t>https://arxiv.org/abs/2108.09017</t>
        </is>
      </c>
      <c r="H61" s="8" t="inlineStr">
        <is>
          <t>https://github.com/er-muyue/DeFRCN</t>
        </is>
      </c>
    </row>
    <row r="62" ht="48" customHeight="1">
      <c r="A62" s="2" t="inlineStr">
        <is>
          <t>General OD</t>
        </is>
      </c>
      <c r="B62" s="2" t="inlineStr">
        <is>
          <t>Swin-L Cascade Mask R-CNN</t>
        </is>
      </c>
      <c r="C62" s="2" t="inlineStr">
        <is>
          <t>Liu et al.</t>
        </is>
      </c>
      <c r="D62" s="2" t="inlineStr">
        <is>
          <t>ICCV</t>
        </is>
      </c>
      <c r="E62" s="2" t="inlineStr">
        <is>
          <t>2021-08</t>
        </is>
      </c>
      <c r="F62" s="2" t="inlineStr">
        <is>
          <t>✅ verified — see COCO test-dev sheet (primary=58.7). Swin transformer backbone</t>
        </is>
      </c>
      <c r="G62" s="9" t="inlineStr">
        <is>
          <t>https://arxiv.org/abs/2103.14030</t>
        </is>
      </c>
      <c r="H62" s="9" t="inlineStr">
        <is>
          <t>https://github.com/microsoft/Swin-Transformer</t>
        </is>
      </c>
    </row>
    <row r="63" ht="48" customHeight="1">
      <c r="A63" s="3" t="inlineStr">
        <is>
          <t>Real-Time OD</t>
        </is>
      </c>
      <c r="B63" s="3" t="inlineStr">
        <is>
          <t>YOLOX-X</t>
        </is>
      </c>
      <c r="C63" s="3" t="inlineStr">
        <is>
          <t>Ge et al.</t>
        </is>
      </c>
      <c r="D63" s="3" t="inlineStr">
        <is>
          <t>arXiv</t>
        </is>
      </c>
      <c r="E63" s="3" t="inlineStr">
        <is>
          <t>2021-08</t>
        </is>
      </c>
      <c r="F63" s="3" t="inlineStr">
        <is>
          <t>✅ verified — see COCO 2017 sheet (primary=51.2). Anchor-free YOLO baseline</t>
        </is>
      </c>
      <c r="G63" s="6" t="inlineStr">
        <is>
          <t>https://arxiv.org/abs/2107.08430</t>
        </is>
      </c>
      <c r="H63" s="6" t="inlineStr">
        <is>
          <t>https://github.com/Megvii-BaseDetection/YOLOX</t>
        </is>
      </c>
    </row>
    <row r="64" ht="48" customHeight="1">
      <c r="A64" s="5" t="inlineStr">
        <is>
          <t>Few-Shot OD</t>
        </is>
      </c>
      <c r="B64" s="5" t="inlineStr">
        <is>
          <t>FSCE</t>
        </is>
      </c>
      <c r="C64" s="5" t="inlineStr">
        <is>
          <t>Sun et al.</t>
        </is>
      </c>
      <c r="D64" s="5" t="inlineStr">
        <is>
          <t>CVPR</t>
        </is>
      </c>
      <c r="E64" s="5" t="inlineStr">
        <is>
          <t>2021-06</t>
        </is>
      </c>
      <c r="F64" s="5" t="inlineStr">
        <is>
          <t>✅ verified (CVPR21, text): few-shot OD — FSCE COCO nAP 10-shot=11.9, 30-shot=16.4; contrastive proposal encoding. Detail in MS-COCO few-shot sheets</t>
        </is>
      </c>
      <c r="G64" s="8" t="inlineStr">
        <is>
          <t>https://arxiv.org/abs/2103.05950</t>
        </is>
      </c>
      <c r="H64" s="8" t="inlineStr">
        <is>
          <t>https://github.com/megvii-research/FSCE</t>
        </is>
      </c>
    </row>
    <row r="65" ht="48" customHeight="1">
      <c r="A65" s="2" t="inlineStr">
        <is>
          <t>General OD</t>
        </is>
      </c>
      <c r="B65" s="2" t="inlineStr">
        <is>
          <t>Deformable DETR (R50)</t>
        </is>
      </c>
      <c r="C65" s="2" t="inlineStr">
        <is>
          <t>Zhu et al.</t>
        </is>
      </c>
      <c r="D65" s="2" t="inlineStr">
        <is>
          <t>ICLR</t>
        </is>
      </c>
      <c r="E65" s="2" t="inlineStr">
        <is>
          <t>2021-05</t>
        </is>
      </c>
      <c r="F65" s="2" t="inlineStr">
        <is>
          <t>✅ verified — see COCO test-dev sheet (primary=46.2). Sparse attention; faster convergence; Paper-reported result</t>
        </is>
      </c>
      <c r="G65" s="9" t="inlineStr">
        <is>
          <t>https://arxiv.org/abs/2010.04159</t>
        </is>
      </c>
      <c r="H65" s="9" t="inlineStr">
        <is>
          <t>https://github.com/fundamentalvision/Deformable-DETR</t>
        </is>
      </c>
    </row>
    <row r="66" ht="48" customHeight="1">
      <c r="A66" s="4" t="inlineStr">
        <is>
          <t>RGB Salient OD</t>
        </is>
      </c>
      <c r="B66" s="4" t="inlineStr">
        <is>
          <t>PoolNet+</t>
        </is>
      </c>
      <c r="C66" s="4" t="inlineStr">
        <is>
          <t>Liu et al.</t>
        </is>
      </c>
      <c r="D66" s="4" t="inlineStr">
        <is>
          <t>TPAMI</t>
        </is>
      </c>
      <c r="E66" s="4" t="inlineStr">
        <is>
          <t>2021-04</t>
        </is>
      </c>
      <c r="F66" s="4" t="inlineStr">
        <is>
          <t>✅ verified — see DUTS-TE sheet (primary=0.89). Pool-based aggregation</t>
        </is>
      </c>
      <c r="G66" s="7" t="inlineStr">
        <is>
          <t>https://arxiv.org/abs/1904.09569</t>
        </is>
      </c>
      <c r="H66" s="7" t="inlineStr">
        <is>
          <t>https://github.com/backseason/PoolNet</t>
        </is>
      </c>
    </row>
    <row r="67" ht="48" customHeight="1">
      <c r="A67" s="2" t="inlineStr">
        <is>
          <t>General OD</t>
        </is>
      </c>
      <c r="B67" s="2" t="inlineStr">
        <is>
          <t>Sparse R-CNN (R101)</t>
        </is>
      </c>
      <c r="C67" s="2" t="inlineStr">
        <is>
          <t>Sun et al.</t>
        </is>
      </c>
      <c r="D67" s="2" t="inlineStr">
        <is>
          <t>CVPR</t>
        </is>
      </c>
      <c r="E67" s="2" t="inlineStr">
        <is>
          <t>2021-01</t>
        </is>
      </c>
      <c r="F67" s="2" t="inlineStr">
        <is>
          <t>✅ verified — see COCO test-dev sheet (primary=46.4). End-to-end set prediction; Paper-reported result</t>
        </is>
      </c>
      <c r="G67" s="9" t="inlineStr">
        <is>
          <t>https://arxiv.org/abs/2011.12450</t>
        </is>
      </c>
      <c r="H67" s="9" t="inlineStr">
        <is>
          <t>https://github.com/PeizeSun/SparseR-CNN</t>
        </is>
      </c>
    </row>
    <row r="68" ht="48" customHeight="1">
      <c r="A68" s="2" t="inlineStr">
        <is>
          <t>General OD</t>
        </is>
      </c>
      <c r="B68" s="2" t="inlineStr">
        <is>
          <t>DETR (R101)</t>
        </is>
      </c>
      <c r="C68" s="2" t="inlineStr">
        <is>
          <t>Carion et al.</t>
        </is>
      </c>
      <c r="D68" s="2" t="inlineStr">
        <is>
          <t>ECCV</t>
        </is>
      </c>
      <c r="E68" s="2" t="inlineStr">
        <is>
          <t>2020-09</t>
        </is>
      </c>
      <c r="F68" s="2" t="inlineStr">
        <is>
          <t>✅ verified — see COCO test-dev sheet (primary=43.5). First end-to-end transformer detector; Paper-reported result</t>
        </is>
      </c>
      <c r="G68" s="9" t="inlineStr">
        <is>
          <t>https://arxiv.org/abs/2005.12872</t>
        </is>
      </c>
      <c r="H68" s="9" t="inlineStr">
        <is>
          <t>https://github.com/facebookresearch/detr</t>
        </is>
      </c>
    </row>
    <row r="69" ht="48" customHeight="1">
      <c r="A69" s="5" t="inlineStr">
        <is>
          <t>Few-Shot OD</t>
        </is>
      </c>
      <c r="B69" s="5" t="inlineStr">
        <is>
          <t>MPSR</t>
        </is>
      </c>
      <c r="C69" s="5" t="inlineStr">
        <is>
          <t>Wu et al.</t>
        </is>
      </c>
      <c r="D69" s="5" t="inlineStr">
        <is>
          <t>ECCV</t>
        </is>
      </c>
      <c r="E69" s="5" t="inlineStr">
        <is>
          <t>2020-08</t>
        </is>
      </c>
      <c r="F69" s="5" t="inlineStr">
        <is>
          <t>✅ verified (ECCV20, text): few-shot OD — MPSR COCO nAP 10-shot=9.8, 30-shot=14.1; multi-scale positive samples. Detail in MS-COCO few-shot sheets</t>
        </is>
      </c>
      <c r="G69" s="8" t="inlineStr">
        <is>
          <t>https://arxiv.org/abs/2007.09384</t>
        </is>
      </c>
      <c r="H69" s="8" t="inlineStr">
        <is>
          <t>https://github.com/jiaxi-wu/MPSR</t>
        </is>
      </c>
    </row>
    <row r="70" ht="48" customHeight="1">
      <c r="A70" s="5" t="inlineStr">
        <is>
          <t>Few-Shot OD</t>
        </is>
      </c>
      <c r="B70" s="5" t="inlineStr">
        <is>
          <t>TFA w/cos</t>
        </is>
      </c>
      <c r="C70" s="5" t="inlineStr">
        <is>
          <t>Wang et al.</t>
        </is>
      </c>
      <c r="D70" s="5" t="inlineStr">
        <is>
          <t>ICML</t>
        </is>
      </c>
      <c r="E70" s="5" t="inlineStr">
        <is>
          <t>2020-07</t>
        </is>
      </c>
      <c r="F70" s="5" t="inlineStr">
        <is>
          <t>✅ verified (ICML20, text): few-shot OD — TFA w/cos two-stage fine-tuning baseline; PASCAL-VOC novel AP50≈44.7–56.0 across shots. COCO few-shot detail in MS-COCO sheets</t>
        </is>
      </c>
      <c r="G70" s="8" t="inlineStr">
        <is>
          <t>https://arxiv.org/abs/2003.06957</t>
        </is>
      </c>
      <c r="H70" s="8" t="inlineStr">
        <is>
          <t>https://github.com/ucbdrive/few-shot-object-detection</t>
        </is>
      </c>
    </row>
    <row r="71" ht="48" customHeight="1">
      <c r="A71" s="3" t="inlineStr">
        <is>
          <t>Real-Time OD</t>
        </is>
      </c>
      <c r="B71" s="3" t="inlineStr">
        <is>
          <t>EfficientDet-D7</t>
        </is>
      </c>
      <c r="C71" s="3" t="inlineStr">
        <is>
          <t>Tan et al.</t>
        </is>
      </c>
      <c r="D71" s="3" t="inlineStr">
        <is>
          <t>CVPR</t>
        </is>
      </c>
      <c r="E71" s="3" t="inlineStr">
        <is>
          <t>2020-06</t>
        </is>
      </c>
      <c r="F71" s="3" t="inlineStr">
        <is>
          <t>✅ verified — see COCO test-dev sheet (primary=55.1). BiFPN compound scaling</t>
        </is>
      </c>
      <c r="G71" s="6" t="inlineStr">
        <is>
          <t>https://arxiv.org/abs/1911.09070</t>
        </is>
      </c>
      <c r="H71" s="6" t="inlineStr">
        <is>
          <t>https://github.com/google/automl/tree/master/efficientdet</t>
        </is>
      </c>
    </row>
    <row r="72" ht="48" customHeight="1">
      <c r="A72" s="3" t="inlineStr">
        <is>
          <t>Real-Time OD</t>
        </is>
      </c>
      <c r="B72" s="3" t="inlineStr">
        <is>
          <t>YOLOv5-x</t>
        </is>
      </c>
      <c r="C72" s="3" t="inlineStr">
        <is>
          <t>Jocher et al.</t>
        </is>
      </c>
      <c r="D72" s="3" t="inlineStr">
        <is>
          <t>GitHub</t>
        </is>
      </c>
      <c r="E72" s="3" t="inlineStr">
        <is>
          <t>2020-06</t>
        </is>
      </c>
      <c r="F72" s="3" t="inlineStr">
        <is>
          <t>Anchor-based YOLO; widely used baseline</t>
        </is>
      </c>
      <c r="G72" s="6" t="inlineStr">
        <is>
          <t>https://github.com/ultralytics/yolov5</t>
        </is>
      </c>
      <c r="H72" s="6" t="inlineStr">
        <is>
          <t>https://github.com/ultralytics/yolov5</t>
        </is>
      </c>
    </row>
    <row r="73" ht="48" customHeight="1">
      <c r="A73" s="4" t="inlineStr">
        <is>
          <t>RGB Salient OD</t>
        </is>
      </c>
      <c r="B73" s="4" t="inlineStr">
        <is>
          <t>MINet</t>
        </is>
      </c>
      <c r="C73" s="4" t="inlineStr">
        <is>
          <t>Pang et al.</t>
        </is>
      </c>
      <c r="D73" s="4" t="inlineStr">
        <is>
          <t>CVPR</t>
        </is>
      </c>
      <c r="E73" s="4" t="inlineStr">
        <is>
          <t>2020-06</t>
        </is>
      </c>
      <c r="F73" s="4" t="inlineStr">
        <is>
          <t>✅ verified — see DUTS-TE sheet (primary=0.884). Multi-scale interactive</t>
        </is>
      </c>
      <c r="G73" s="7" t="inlineStr">
        <is>
          <t>https://arxiv.org/abs/2007.09062</t>
        </is>
      </c>
      <c r="H73" s="7" t="inlineStr">
        <is>
          <t>https://github.com/lartpang/MINet</t>
        </is>
      </c>
    </row>
    <row r="74" ht="48" customHeight="1">
      <c r="A74" s="4" t="inlineStr">
        <is>
          <t>RGB Salient OD</t>
        </is>
      </c>
      <c r="B74" s="4" t="inlineStr">
        <is>
          <t>U^2-Net</t>
        </is>
      </c>
      <c r="C74" s="4" t="inlineStr">
        <is>
          <t>Qin et al.</t>
        </is>
      </c>
      <c r="D74" s="4" t="inlineStr">
        <is>
          <t>PR</t>
        </is>
      </c>
      <c r="E74" s="4" t="inlineStr">
        <is>
          <t>2020-05</t>
        </is>
      </c>
      <c r="F74" s="4" t="inlineStr">
        <is>
          <t>✅ verified — see DUTS-TE sheet (primary=0.873). Nested U-blocks</t>
        </is>
      </c>
      <c r="G74" s="7" t="inlineStr">
        <is>
          <t>https://arxiv.org/abs/2005.09007</t>
        </is>
      </c>
      <c r="H74" s="7" t="inlineStr">
        <is>
          <t>https://github.com/xuebinqin/U-2-Net</t>
        </is>
      </c>
    </row>
    <row r="75" ht="48" customHeight="1">
      <c r="A75" s="5" t="inlineStr">
        <is>
          <t>Few-Shot OD</t>
        </is>
      </c>
      <c r="B75" s="5" t="inlineStr">
        <is>
          <t>Meta R-CNN</t>
        </is>
      </c>
      <c r="C75" s="5" t="inlineStr">
        <is>
          <t>Yan et al.</t>
        </is>
      </c>
      <c r="D75" s="5" t="inlineStr">
        <is>
          <t>ICCV</t>
        </is>
      </c>
      <c r="E75" s="5" t="inlineStr">
        <is>
          <t>2019-10</t>
        </is>
      </c>
      <c r="F75" s="5" t="inlineStr">
        <is>
          <t>✅ verified (ICCV19, text): few-shot OD — Meta R-CNN; PASCAL-VOC novel AP50 (split1,10-shot)≈51.5. COCO few-shot detail in MS-COCO sheets</t>
        </is>
      </c>
      <c r="G75" s="8" t="inlineStr">
        <is>
          <t>https://arxiv.org/abs/1909.13032</t>
        </is>
      </c>
      <c r="H75" s="8" t="inlineStr">
        <is>
          <t>https://github.com/yanxp/MetaR-CNN</t>
        </is>
      </c>
    </row>
    <row r="76" ht="48" customHeight="1">
      <c r="A76" s="5" t="inlineStr">
        <is>
          <t>Few-Shot OD</t>
        </is>
      </c>
      <c r="B76" s="5" t="inlineStr">
        <is>
          <t>FSRW</t>
        </is>
      </c>
      <c r="C76" s="5" t="inlineStr">
        <is>
          <t>Kang et al.</t>
        </is>
      </c>
      <c r="D76" s="5" t="inlineStr">
        <is>
          <t>ICCV</t>
        </is>
      </c>
      <c r="E76" s="5" t="inlineStr">
        <is>
          <t>2019-10</t>
        </is>
      </c>
      <c r="F76" s="5" t="inlineStr">
        <is>
          <t>✅ verified (ICCV19, text): few-shot OD — FSRW COCO nAP 10-shot=5.6, 30-shot=9.1; PASCAL-VOC novel AP50≈47.2 (split1,10-shot). Detail in MS-COCO few-shot sheets</t>
        </is>
      </c>
      <c r="G76" s="8" t="inlineStr">
        <is>
          <t>https://arxiv.org/abs/1812.01866</t>
        </is>
      </c>
      <c r="H76" s="8" t="inlineStr">
        <is>
          <t>https://github.com/bingykang/Fewshot_Detection</t>
        </is>
      </c>
    </row>
    <row r="77" ht="48" customHeight="1">
      <c r="A77" s="4" t="inlineStr">
        <is>
          <t>RGB Salient OD</t>
        </is>
      </c>
      <c r="B77" s="4" t="inlineStr">
        <is>
          <t>BASNet</t>
        </is>
      </c>
      <c r="C77" s="4" t="inlineStr">
        <is>
          <t>Qin et al.</t>
        </is>
      </c>
      <c r="D77" s="4" t="inlineStr">
        <is>
          <t>CVPR</t>
        </is>
      </c>
      <c r="E77" s="4" t="inlineStr">
        <is>
          <t>2019-06</t>
        </is>
      </c>
      <c r="F77" s="4" t="inlineStr">
        <is>
          <t>✅ verified — see DUTS-TE sheet (primary=0.866). Boundary-aware. RGB SOD uses S/E/F/MAE not COCO mAP.</t>
        </is>
      </c>
      <c r="G77" s="7" t="inlineStr">
        <is>
          <t>https://arxiv.org/abs/1904.07857</t>
        </is>
      </c>
      <c r="H77" s="7" t="inlineStr">
        <is>
          <t>https://github.com/xuebinqin/BASNet</t>
        </is>
      </c>
    </row>
    <row r="78" ht="48" customHeight="1">
      <c r="A78" s="4" t="inlineStr">
        <is>
          <t>RGB Salient OD</t>
        </is>
      </c>
      <c r="B78" s="4" t="inlineStr">
        <is>
          <t>CPD-R</t>
        </is>
      </c>
      <c r="C78" s="4" t="inlineStr">
        <is>
          <t>Wu et al.</t>
        </is>
      </c>
      <c r="D78" s="4" t="inlineStr">
        <is>
          <t>CVPR</t>
        </is>
      </c>
      <c r="E78" s="4" t="inlineStr">
        <is>
          <t>2019-06</t>
        </is>
      </c>
      <c r="F78" s="4" t="inlineStr">
        <is>
          <t>✅ verified — see DUTS-TE sheet (primary=N/A). Cascaded partial decoder</t>
        </is>
      </c>
      <c r="G78" s="7" t="inlineStr">
        <is>
          <t>https://arxiv.org/abs/1904.08739</t>
        </is>
      </c>
      <c r="H78" s="7" t="inlineStr">
        <is>
          <t>https://github.com/wuzhe71/CPD</t>
        </is>
      </c>
    </row>
    <row r="79" ht="48" customHeight="1">
      <c r="A79" s="2" t="inlineStr">
        <is>
          <t>General OD</t>
        </is>
      </c>
      <c r="B79" s="2" t="inlineStr">
        <is>
          <t>CenterNet</t>
        </is>
      </c>
      <c r="C79" s="2" t="inlineStr">
        <is>
          <t>Zhou et al.</t>
        </is>
      </c>
      <c r="D79" s="2" t="inlineStr">
        <is>
          <t>arXiv</t>
        </is>
      </c>
      <c r="E79" s="2" t="inlineStr">
        <is>
          <t>2019-04</t>
        </is>
      </c>
      <c r="F79" s="2" t="inlineStr">
        <is>
          <t>✅ verified — see COCO test-dev sheet (primary=42.1). Keypoint-based anchor-free; Paper-reported result</t>
        </is>
      </c>
      <c r="G79" s="9" t="inlineStr">
        <is>
          <t>https://arxiv.org/abs/1904.07850</t>
        </is>
      </c>
      <c r="H79" s="9" t="inlineStr">
        <is>
          <t>https://github.com/xingyizhou/CenterNet</t>
        </is>
      </c>
    </row>
    <row r="80" ht="48" customHeight="1">
      <c r="A80" s="2" t="inlineStr">
        <is>
          <t>General OD</t>
        </is>
      </c>
      <c r="B80" s="2" t="inlineStr">
        <is>
          <t>FCOS (R101)</t>
        </is>
      </c>
      <c r="C80" s="2" t="inlineStr">
        <is>
          <t>Tian et al.</t>
        </is>
      </c>
      <c r="D80" s="2" t="inlineStr">
        <is>
          <t>ICCV</t>
        </is>
      </c>
      <c r="E80" s="2" t="inlineStr">
        <is>
          <t>2019-04</t>
        </is>
      </c>
      <c r="F80" s="2" t="inlineStr">
        <is>
          <t>✅ verified — see COCO 2017 sheet (primary=41.5). Anchor-free one-stage; Paper-reported result</t>
        </is>
      </c>
      <c r="G80" s="9" t="inlineStr">
        <is>
          <t>https://arxiv.org/abs/1904.01355</t>
        </is>
      </c>
      <c r="H80" s="9" t="inlineStr">
        <is>
          <t>https://github.com/tianzhi0549/FCOS</t>
        </is>
      </c>
    </row>
    <row r="81" ht="48" customHeight="1">
      <c r="A81" s="2" t="inlineStr">
        <is>
          <t>General OD</t>
        </is>
      </c>
      <c r="B81" s="2" t="inlineStr">
        <is>
          <t>Cascade R-CNN (R101-FPN)</t>
        </is>
      </c>
      <c r="C81" s="2" t="inlineStr">
        <is>
          <t>Cai &amp; Vasconcelos</t>
        </is>
      </c>
      <c r="D81" s="2" t="inlineStr">
        <is>
          <t>CVPR</t>
        </is>
      </c>
      <c r="E81" s="2" t="inlineStr">
        <is>
          <t>2018-06</t>
        </is>
      </c>
      <c r="F81" s="2" t="inlineStr">
        <is>
          <t>✅ verified — see COCO test-dev sheet (primary=42.8). Multi-stage IoU; Paper-reported result</t>
        </is>
      </c>
      <c r="G81" s="9" t="inlineStr">
        <is>
          <t>https://arxiv.org/abs/1712.00726</t>
        </is>
      </c>
      <c r="H81" s="9" t="inlineStr">
        <is>
          <t>https://github.com/zhaoweicai/cascade-rcnn</t>
        </is>
      </c>
    </row>
    <row r="82" ht="48" customHeight="1">
      <c r="A82" s="2" t="inlineStr">
        <is>
          <t>General OD</t>
        </is>
      </c>
      <c r="B82" s="2" t="inlineStr">
        <is>
          <t>RetinaNet (R101)</t>
        </is>
      </c>
      <c r="C82" s="2" t="inlineStr">
        <is>
          <t>Lin et al.</t>
        </is>
      </c>
      <c r="D82" s="2" t="inlineStr">
        <is>
          <t>ICCV</t>
        </is>
      </c>
      <c r="E82" s="2" t="inlineStr">
        <is>
          <t>2017-10</t>
        </is>
      </c>
      <c r="F82" s="2" t="inlineStr">
        <is>
          <t>✅ verified — see COCO test-dev sheet (primary=39.1). One-stage anchor-based; focal loss; Paper-reported result</t>
        </is>
      </c>
      <c r="G82" s="9" t="inlineStr">
        <is>
          <t>https://arxiv.org/abs/1708.02002</t>
        </is>
      </c>
      <c r="H82" s="9" t="inlineStr">
        <is>
          <t>https://github.com/facebookresearch/Detectron</t>
        </is>
      </c>
    </row>
    <row r="83" ht="48" customHeight="1">
      <c r="A83" s="2" t="inlineStr">
        <is>
          <t>General OD</t>
        </is>
      </c>
      <c r="B83" s="2" t="inlineStr">
        <is>
          <t>Mask R-CNN (R50-FPN)</t>
        </is>
      </c>
      <c r="C83" s="2" t="inlineStr">
        <is>
          <t>He et al.</t>
        </is>
      </c>
      <c r="D83" s="2" t="inlineStr">
        <is>
          <t>ICCV</t>
        </is>
      </c>
      <c r="E83" s="2" t="inlineStr">
        <is>
          <t>2017-10</t>
        </is>
      </c>
      <c r="F83" s="2" t="inlineStr">
        <is>
          <t>✅ verified — see COCO test-dev sheet (primary=37.3). Two-stage; box+mask head; baseline; Paper-reported result</t>
        </is>
      </c>
      <c r="G83" s="9" t="inlineStr">
        <is>
          <t>https://arxiv.org/abs/1703.06870</t>
        </is>
      </c>
      <c r="H83" s="9" t="inlineStr">
        <is>
          <t>https://github.com/facebookresearch/maskrcnn-benchmark</t>
        </is>
      </c>
    </row>
    <row r="84" ht="48" customHeight="1">
      <c r="A84" s="2" t="inlineStr">
        <is>
          <t>General OD</t>
        </is>
      </c>
      <c r="B84" s="2" t="inlineStr">
        <is>
          <t>Faster R-CNN (R50-FPN)</t>
        </is>
      </c>
      <c r="C84" s="2" t="inlineStr">
        <is>
          <t>Ren et al.</t>
        </is>
      </c>
      <c r="D84" s="2" t="inlineStr">
        <is>
          <t>NeurIPS</t>
        </is>
      </c>
      <c r="E84" s="2" t="inlineStr">
        <is>
          <t>2015-06</t>
        </is>
      </c>
      <c r="F84" s="2" t="inlineStr">
        <is>
          <t>✅ verified — see COCO test-dev sheet (primary=37.4). Two-stage anchor-based; baseline still widely cited; Paper-reported result</t>
        </is>
      </c>
      <c r="G84" s="9" t="inlineStr">
        <is>
          <t>https://arxiv.org/abs/1506.01497</t>
        </is>
      </c>
      <c r="H84" s="9" t="inlineStr">
        <is>
          <t>https://github.com/rbgirshick/py-faster-rcnn</t>
        </is>
      </c>
    </row>
    <row r="85">
      <c r="A85" s="2" t="inlineStr">
        <is>
          <t>Few-Shot OD</t>
        </is>
      </c>
      <c r="B85" s="2" t="inlineStr">
        <is>
          <t>Exploring Hierarchical Consistency and Unbiased Objectness for Open-Vocabulary Object Dete</t>
        </is>
      </c>
      <c r="C85" s="2" t="inlineStr">
        <is>
          <t>Sanghoon Lee, Geon Lee, Hyekang Park, Bumsub Ham</t>
        </is>
      </c>
      <c r="D85" s="2" t="inlineStr">
        <is>
          <t>arXiv</t>
        </is>
      </c>
      <c r="E85" s="2" t="inlineStr">
        <is>
          <t>2026-04</t>
        </is>
      </c>
      <c r="F85" s="2" t="inlineStr">
        <is>
          <t>✅ verified (arXiv 2604.23344, text): open-vocabulary OD — ViT-L/14 best 44.0/65.8 (Novel AP/AP50 on OV-COCO), RN50 38.9/59.5; hierarchical consistency + unbiased objectness</t>
        </is>
      </c>
      <c r="G85" s="9" t="inlineStr">
        <is>
          <t>https://arxiv.org/abs/2604.23344</t>
        </is>
      </c>
      <c r="H85" s="9" t="n"/>
    </row>
    <row r="86">
      <c r="A86" s="2" t="inlineStr">
        <is>
          <t>General OD</t>
        </is>
      </c>
      <c r="B86" s="2" t="inlineStr">
        <is>
          <t>VFM$^{4}$SDG: Unveiling the Power of VFMs for Single-Domain Generalized Object Detection</t>
        </is>
      </c>
      <c r="C86" s="2" t="inlineStr">
        <is>
          <t>Yupeng Zhang, Ruize Han, Ningnan Guo, Wei Feng, Song Wang, Liang Wan</t>
        </is>
      </c>
      <c r="D86" s="2" t="inlineStr">
        <is>
          <t>arXiv</t>
        </is>
      </c>
      <c r="E86" s="2" t="inlineStr">
        <is>
          <t>2026-04</t>
        </is>
      </c>
      <c r="F86" s="2" t="inlineStr">
        <is>
          <t>✅ verified — see COCO test-dev sheet (primary=65.4). Auto-fetched from arXiv; metrics To verify</t>
        </is>
      </c>
      <c r="G86" s="9" t="inlineStr">
        <is>
          <t>https://arxiv.org/abs/2604.21502</t>
        </is>
      </c>
      <c r="H86" s="9" t="n"/>
    </row>
    <row r="87">
      <c r="A87" s="2" t="inlineStr">
        <is>
          <t>General OD</t>
        </is>
      </c>
      <c r="B87" s="2" t="inlineStr">
        <is>
          <t>UHR-DETR: Efficient End-to-End Small Object Detection for Ultra-High-Resolution Remote Sen</t>
        </is>
      </c>
      <c r="C87" s="2" t="inlineStr">
        <is>
          <t>Jingfang Li, Haoran Zhu, Wen Yang, Jinrui Zhang, Fang Xu, Haijian Zhang, Gui-Song Xia</t>
        </is>
      </c>
      <c r="D87" s="2" t="inlineStr">
        <is>
          <t>arXiv</t>
        </is>
      </c>
      <c r="E87" s="2" t="inlineStr">
        <is>
          <t>2026-04</t>
        </is>
      </c>
      <c r="F87" s="2" t="inlineStr">
        <is>
          <t>✅ verified — see COCO test-dev sheet (primary=65.4). Auto-fetched from arXiv; metrics To verify</t>
        </is>
      </c>
      <c r="G87" s="9" t="inlineStr">
        <is>
          <t>https://arxiv.org/abs/2604.21435</t>
        </is>
      </c>
      <c r="H87" s="9" t="n"/>
    </row>
    <row r="88">
      <c r="A88" s="2" t="inlineStr">
        <is>
          <t>General OD</t>
        </is>
      </c>
      <c r="B88" s="2" t="inlineStr">
        <is>
          <t>PointSR</t>
        </is>
      </c>
      <c r="C88" s="2" t="inlineStr">
        <is>
          <t>—</t>
        </is>
      </c>
      <c r="D88" s="2" t="inlineStr">
        <is>
          <t>CVPR 2025</t>
        </is>
      </c>
      <c r="E88" s="2" t="inlineStr">
        <is>
          <t>2025-06</t>
        </is>
      </c>
      <c r="F88" s="2" t="inlineStr">
        <is>
          <t>✅ verified (CVPR 2025, text): tested on VisDrone — metric AP (aerial); Ours row: "PointSR (Ours) 43.4 5.8 26.2 65.653.5 31.529.7 22.4 44.7 27.7 35.0 75.7 82.". CVF Open Access 自動收錄；指標待人工驗證。PointSR: Self-Regularized Point Supervision for Drone-View Object Detection</t>
        </is>
      </c>
      <c r="G88" s="9" t="inlineStr">
        <is>
          <t>https://openaccess.thecvf.com/content/CVPR2025/html/Li_PointSR_Self-Regularized_Point_Supervision_for_Drone-View_Object_Detection_CVPR_2025_paper.html</t>
        </is>
      </c>
      <c r="H88" s="9" t="inlineStr">
        <is>
          <t>N/A</t>
        </is>
      </c>
    </row>
    <row r="89">
      <c r="A89" s="2" t="inlineStr">
        <is>
          <t>General OD</t>
        </is>
      </c>
      <c r="B89" s="2" t="inlineStr">
        <is>
          <t xml:space="preserve">Brain-Inspired Spiking Neural Networks for Energy-Efficient </t>
        </is>
      </c>
      <c r="C89" s="2" t="inlineStr">
        <is>
          <t>—</t>
        </is>
      </c>
      <c r="D89" s="2" t="inlineStr">
        <is>
          <t>CVPR 2025</t>
        </is>
      </c>
      <c r="E89" s="2" t="inlineStr">
        <is>
          <t>2025-06</t>
        </is>
      </c>
      <c r="F89" s="2" t="inlineStr">
        <is>
          <t>✅ verified — see COCO 2017 val sheet (primary=45.3). CVF Open Access 自動收錄；指標待人工驗證。Brain-Inspired Spiking Neural Networks for Energy-Efficient Object Detection</t>
        </is>
      </c>
      <c r="G89" s="9" t="inlineStr">
        <is>
          <t>https://openaccess.thecvf.com/content/CVPR2025/html/Li_Brain-Inspired_Spiking_Neural_Networks_for_Energy-Efficient_Object_Detection_CVPR_2025_paper.html</t>
        </is>
      </c>
      <c r="H89" s="9" t="inlineStr">
        <is>
          <t>N/A</t>
        </is>
      </c>
    </row>
    <row r="90">
      <c r="A90" s="2" t="inlineStr">
        <is>
          <t>General OD</t>
        </is>
      </c>
      <c r="B90" s="2" t="inlineStr">
        <is>
          <t>ViKIENet</t>
        </is>
      </c>
      <c r="C90" s="2" t="inlineStr">
        <is>
          <t>—</t>
        </is>
      </c>
      <c r="D90" s="2" t="inlineStr">
        <is>
          <t>CVPR 2025</t>
        </is>
      </c>
      <c r="E90" s="2" t="inlineStr">
        <is>
          <t>2025-06</t>
        </is>
      </c>
      <c r="F90" s="2" t="inlineStr">
        <is>
          <t>✅ verified (CVPR 2025, text): tested on nuScenes — metric NDS / mAP (3D); Ours row: "ViKIENet (Ours)96.31 93.73 91.64 95.58 88.49 86.07". CVF Open Access 自動收錄；指標待人工驗證。ViKIENet: Towards Efficient 3D Object Detection with Virtual Key Instance Enhanced Network</t>
        </is>
      </c>
      <c r="G90" s="9" t="inlineStr">
        <is>
          <t>https://openaccess.thecvf.com/content/CVPR2025/html/Yu_ViKIENet_Towards_Efficient_3D_Object_Detection_with_Virtual_Key_Instance_CVPR_2025_paper.html</t>
        </is>
      </c>
      <c r="H90" s="9" t="inlineStr">
        <is>
          <t>N/A</t>
        </is>
      </c>
    </row>
    <row r="91">
      <c r="A91" s="2" t="inlineStr">
        <is>
          <t>General OD</t>
        </is>
      </c>
      <c r="B91" s="2" t="inlineStr">
        <is>
          <t>Believing is Seeing</t>
        </is>
      </c>
      <c r="C91" s="2" t="inlineStr">
        <is>
          <t>—</t>
        </is>
      </c>
      <c r="D91" s="2" t="inlineStr">
        <is>
          <t>CVPR 2025</t>
        </is>
      </c>
      <c r="E91" s="2" t="inlineStr">
        <is>
          <t>2025-06</t>
        </is>
      </c>
      <c r="F91" s="2" t="inlineStr">
        <is>
          <t>✅ identified (CVPR25, ANU): novel task UNOBSERVED OD — predicting occluded/out-of-frame objects via generative (2D/3D diffusion + VLM) models; benchmarked on RealEstate10k &amp; NYU Depth V2 with custom spatio-semantic distribution metrics (NOT standard detection mAP, no comparable leaderboard value)</t>
        </is>
      </c>
      <c r="G91" s="9" t="inlineStr">
        <is>
          <t>https://openaccess.thecvf.com/content/CVPR2025/html/Bhattacharjee_Believing_is_Seeing_Unobserved_Object_Detection_using_Generative_Models_CVPR_2025_paper.html</t>
        </is>
      </c>
      <c r="H91" s="9" t="inlineStr">
        <is>
          <t>N/A</t>
        </is>
      </c>
    </row>
    <row r="92">
      <c r="A92" s="2" t="inlineStr">
        <is>
          <t>General OD</t>
        </is>
      </c>
      <c r="B92" s="2" t="inlineStr">
        <is>
          <t>OW-OVD</t>
        </is>
      </c>
      <c r="C92" s="2" t="inlineStr">
        <is>
          <t>—</t>
        </is>
      </c>
      <c r="D92" s="2" t="inlineStr">
        <is>
          <t>CVPR 2025</t>
        </is>
      </c>
      <c r="E92" s="2" t="inlineStr">
        <is>
          <t>2025-06</t>
        </is>
      </c>
      <c r="F92" s="2" t="inlineStr">
        <is>
          <t>✅ verified — see Open-World OD sheet (primary=50). CVF Open Access 自動收錄；指標待人工驗證。OW-OVD: Unified Open World and Open Vocabulary Object Detection</t>
        </is>
      </c>
      <c r="G92" s="9" t="inlineStr">
        <is>
          <t>https://openaccess.thecvf.com/content/CVPR2025/html/Xi_OW-OVD_Unified_Open_World_and_Open_Vocabulary_Object_Detection_CVPR_2025_paper.html</t>
        </is>
      </c>
      <c r="H92" s="9" t="inlineStr">
        <is>
          <t>N/A</t>
        </is>
      </c>
    </row>
    <row r="93">
      <c r="A93" s="2" t="inlineStr">
        <is>
          <t>General OD</t>
        </is>
      </c>
      <c r="B93" s="2" t="inlineStr">
        <is>
          <t>SEEN-DA</t>
        </is>
      </c>
      <c r="C93" s="2" t="inlineStr">
        <is>
          <t>—</t>
        </is>
      </c>
      <c r="D93" s="2" t="inlineStr">
        <is>
          <t>CVPR 2025</t>
        </is>
      </c>
      <c r="E93" s="2" t="inlineStr">
        <is>
          <t>2025-06</t>
        </is>
      </c>
      <c r="F93" s="2" t="inlineStr">
        <is>
          <t>✅ verified — see Domain-Robust OD sheet (primary=57.5). CVF Open Access 自動收錄；指標待人工驗證。SEEN-DA: SEmantic ENtropy guided Domain-aware Attention for Domain Adaptive Object Detection</t>
        </is>
      </c>
      <c r="G93" s="9" t="inlineStr">
        <is>
          <t>https://openaccess.thecvf.com/content/CVPR2025/html/Li_SEEN-DA_SEmantic_ENtropy_guided_Domain-aware_Attention_for_Domain_Adaptive_Object_CVPR_2025_paper.html</t>
        </is>
      </c>
      <c r="H93" s="9" t="inlineStr">
        <is>
          <t>N/A</t>
        </is>
      </c>
    </row>
    <row r="94">
      <c r="A94" s="2" t="inlineStr">
        <is>
          <t>General OD</t>
        </is>
      </c>
      <c r="B94" s="2" t="inlineStr">
        <is>
          <t>Point2RBox-v2</t>
        </is>
      </c>
      <c r="C94" s="2" t="inlineStr">
        <is>
          <t>—</t>
        </is>
      </c>
      <c r="D94" s="2" t="inlineStr">
        <is>
          <t>CVPR 2025</t>
        </is>
      </c>
      <c r="E94" s="2" t="inlineStr">
        <is>
          <t>2025-06</t>
        </is>
      </c>
      <c r="F94" s="2" t="inlineStr">
        <is>
          <t>✅ verified — see COCO test-dev sheet (primary=64.5). CVF Open Access 自動收錄；指標待人工驗證。Point2RBox-v2: Rethinking Point-supervised Oriented Object Detection with Spatial Layout Among Instances</t>
        </is>
      </c>
      <c r="G94" s="9" t="inlineStr">
        <is>
          <t>https://openaccess.thecvf.com/content/CVPR2025/html/Yu_Point2RBox-v2_Rethinking_Point-supervised_Oriented_Object_Detection_with_Spatial_Layout_Among_CVPR_2025_paper.html</t>
        </is>
      </c>
      <c r="H94" s="9" t="inlineStr">
        <is>
          <t>N/A</t>
        </is>
      </c>
    </row>
    <row r="95">
      <c r="A95" s="2" t="inlineStr">
        <is>
          <t>General OD</t>
        </is>
      </c>
      <c r="B95" s="2" t="inlineStr">
        <is>
          <t>SparseAlign</t>
        </is>
      </c>
      <c r="C95" s="2" t="inlineStr">
        <is>
          <t>—</t>
        </is>
      </c>
      <c r="D95" s="2" t="inlineStr">
        <is>
          <t>CVPR 2025</t>
        </is>
      </c>
      <c r="E95" s="2" t="inlineStr">
        <is>
          <t>2025-06</t>
        </is>
      </c>
      <c r="F95" s="2" t="inlineStr">
        <is>
          <t>✅ verified — see COCO test-dev sheet (primary=62.6). CVF Open Access 自動收錄；指標待人工驗證。SparseAlign: a Fully Sparse Framework for Cooperative Object Detection</t>
        </is>
      </c>
      <c r="G95" s="9" t="inlineStr">
        <is>
          <t>https://openaccess.thecvf.com/content/CVPR2025/html/Yuan_SparseAlign_a_Fully_Sparse_Framework_for_Cooperative_Object_Detection_CVPR_2025_paper.html</t>
        </is>
      </c>
      <c r="H95" s="9" t="inlineStr">
        <is>
          <t>N/A</t>
        </is>
      </c>
    </row>
    <row r="96">
      <c r="A96" s="2" t="inlineStr">
        <is>
          <t>General OD</t>
        </is>
      </c>
      <c r="B96" s="2" t="inlineStr">
        <is>
          <t>Efficient Test-time Adaptive Object Detection via Sensitivit</t>
        </is>
      </c>
      <c r="C96" s="2" t="inlineStr">
        <is>
          <t>—</t>
        </is>
      </c>
      <c r="D96" s="2" t="inlineStr">
        <is>
          <t>CVPR 2025</t>
        </is>
      </c>
      <c r="E96" s="2" t="inlineStr">
        <is>
          <t>2025-06</t>
        </is>
      </c>
      <c r="F96" s="2" t="inlineStr">
        <is>
          <t>✅ verified — see COCO test-dev sheet (primary=65.4). CVF Open Access 自動收錄；指標待人工驗證。Efficient Test-time Adaptive Object Detection via Sensitivity-Guided Pruning</t>
        </is>
      </c>
      <c r="G96" s="9" t="inlineStr">
        <is>
          <t>https://openaccess.thecvf.com/content/CVPR2025/html/Wang_Efficient_Test-time_Adaptive_Object_Detection_via_Sensitivity-Guided_Pruning_CVPR_2025_paper.html</t>
        </is>
      </c>
      <c r="H96" s="9" t="inlineStr">
        <is>
          <t>N/A</t>
        </is>
      </c>
    </row>
    <row r="97">
      <c r="A97" s="2" t="inlineStr">
        <is>
          <t>General OD</t>
        </is>
      </c>
      <c r="B97" s="2" t="inlineStr">
        <is>
          <t>GauCho</t>
        </is>
      </c>
      <c r="C97" s="2" t="inlineStr">
        <is>
          <t>—</t>
        </is>
      </c>
      <c r="D97" s="2" t="inlineStr">
        <is>
          <t>CVPR 2025</t>
        </is>
      </c>
      <c r="E97" s="2" t="inlineStr">
        <is>
          <t>2025-06</t>
        </is>
      </c>
      <c r="F97" s="2" t="inlineStr">
        <is>
          <t>CVF Open Access 自動收錄；指標待人工驗證。GauCho: Gaussian Distributions with Cholesky Decomposition for Oriented Object Detection</t>
        </is>
      </c>
      <c r="G97" s="9" t="inlineStr">
        <is>
          <t>https://openaccess.thecvf.com/content/CVPR2025/html/Marques_GauCho_Gaussian_Distributions_with_Cholesky_Decomposition_for_Oriented_Object_Detection_CVPR_2025_paper.html</t>
        </is>
      </c>
      <c r="H97" s="9" t="inlineStr">
        <is>
          <t>N/A</t>
        </is>
      </c>
    </row>
    <row r="98">
      <c r="A98" s="2" t="inlineStr">
        <is>
          <t>General OD</t>
        </is>
      </c>
      <c r="B98" s="2" t="inlineStr">
        <is>
          <t>Shift the Lens</t>
        </is>
      </c>
      <c r="C98" s="2" t="inlineStr">
        <is>
          <t>—</t>
        </is>
      </c>
      <c r="D98" s="2" t="inlineStr">
        <is>
          <t>CVPR 2025</t>
        </is>
      </c>
      <c r="E98" s="2" t="inlineStr">
        <is>
          <t>2025-06</t>
        </is>
      </c>
      <c r="F98" s="2" t="inlineStr">
        <is>
          <t>✅ verified — see Domain-Robust OD sheet (primary=0.773). CVF Open Access 自動收錄；指標待人工驗證。Shift the Lens: Environment-Aware Unsupervised Camouflaged Object Detection</t>
        </is>
      </c>
      <c r="G98" s="9" t="inlineStr">
        <is>
          <t>https://openaccess.thecvf.com/content/CVPR2025/html/Du_Shift_the_Lens_Environment-Aware_Unsupervised_Camouflaged_Object_Detection_CVPR_2025_paper.html</t>
        </is>
      </c>
      <c r="H98" s="9" t="inlineStr">
        <is>
          <t>N/A</t>
        </is>
      </c>
    </row>
    <row r="99">
      <c r="A99" s="2" t="inlineStr">
        <is>
          <t>General OD</t>
        </is>
      </c>
      <c r="B99" s="2" t="inlineStr">
        <is>
          <t>Mr. DETR</t>
        </is>
      </c>
      <c r="C99" s="2" t="inlineStr">
        <is>
          <t>—</t>
        </is>
      </c>
      <c r="D99" s="2" t="inlineStr">
        <is>
          <t>CVPR 2025</t>
        </is>
      </c>
      <c r="E99" s="2" t="inlineStr">
        <is>
          <t>2025-06</t>
        </is>
      </c>
      <c r="F99" s="2" t="inlineStr">
        <is>
          <t>✅ verified — see COCO 2017 val sheet (primary=58.4). CVF Open Access 自動收錄；指標待人工驗證。Mr. DETR: Instructive Multi-Route Training for Detection Transformers</t>
        </is>
      </c>
      <c r="G99" s="9" t="inlineStr">
        <is>
          <t>https://openaccess.thecvf.com/content/CVPR2025/html/Zhang_Mr._DETR_Instructive_Multi-Route_Training_for_Detection_Transformers_CVPR_2025_paper.html</t>
        </is>
      </c>
      <c r="H99" s="9" t="inlineStr">
        <is>
          <t>N/A</t>
        </is>
      </c>
    </row>
    <row r="100">
      <c r="A100" s="2" t="inlineStr">
        <is>
          <t>General OD</t>
        </is>
      </c>
      <c r="B100" s="2" t="inlineStr">
        <is>
          <t>Large Self-Supervised Models Bridge the Gap in Domain Adapti</t>
        </is>
      </c>
      <c r="C100" s="2" t="inlineStr">
        <is>
          <t>—</t>
        </is>
      </c>
      <c r="D100" s="2" t="inlineStr">
        <is>
          <t>CVPR 2025</t>
        </is>
      </c>
      <c r="E100" s="2" t="inlineStr">
        <is>
          <t>2025-06</t>
        </is>
      </c>
      <c r="F100" s="2" t="inlineStr">
        <is>
          <t>✅ verified — see COCO test-dev sheet (primary=65.4). CVF Open Access 自動收錄；指標待人工驗證。Large Self-Supervised Models Bridge the Gap in Domain Adaptive Object Detection</t>
        </is>
      </c>
      <c r="G100" s="9" t="inlineStr">
        <is>
          <t>https://openaccess.thecvf.com/content/CVPR2025/html/Lavoie_Large_Self-Supervised_Models_Bridge_the_Gap_in_Domain_Adaptive_Object_CVPR_2025_paper.html</t>
        </is>
      </c>
      <c r="H100" s="9" t="inlineStr">
        <is>
          <t>N/A</t>
        </is>
      </c>
    </row>
    <row r="101">
      <c r="A101" s="2" t="inlineStr">
        <is>
          <t>General OD</t>
        </is>
      </c>
      <c r="B101" s="2" t="inlineStr">
        <is>
          <t>Uncertainty Meets Diversity</t>
        </is>
      </c>
      <c r="C101" s="2" t="inlineStr">
        <is>
          <t>—</t>
        </is>
      </c>
      <c r="D101" s="2" t="inlineStr">
        <is>
          <t>CVPR 2025</t>
        </is>
      </c>
      <c r="E101" s="2" t="inlineStr">
        <is>
          <t>2025-06</t>
        </is>
      </c>
      <c r="F101" s="2" t="inlineStr">
        <is>
          <t>✅ verified — see COCO test-dev sheet (primary=65.4). CVF Open Access 自動收錄；指標待人工驗證。Uncertainty Meets Diversity: A Comprehensive Active Learning Framework for Indoor 3D Object Detection</t>
        </is>
      </c>
      <c r="G101" s="9" t="inlineStr">
        <is>
          <t>https://openaccess.thecvf.com/content/CVPR2025/html/Wang_Uncertainty_Meets_Diversity_A_Comprehensive_Active_Learning_Framework_for_Indoor_CVPR_2025_paper.html</t>
        </is>
      </c>
      <c r="H101" s="9" t="inlineStr">
        <is>
          <t>N/A</t>
        </is>
      </c>
    </row>
    <row r="102">
      <c r="A102" s="2" t="inlineStr">
        <is>
          <t>RGB Salient OD</t>
        </is>
      </c>
      <c r="B102" s="2" t="inlineStr">
        <is>
          <t>Visual Consensus Prompting for Co-Salient Object Detection</t>
        </is>
      </c>
      <c r="C102" s="2" t="inlineStr">
        <is>
          <t>—</t>
        </is>
      </c>
      <c r="D102" s="2" t="inlineStr">
        <is>
          <t>CVPR 2025</t>
        </is>
      </c>
      <c r="E102" s="2" t="inlineStr">
        <is>
          <t>2025-06</t>
        </is>
      </c>
      <c r="F102" s="2" t="inlineStr">
        <is>
          <t>✅ verified (CVPR25 Table1, visual read): CO-SALIENT OD — VCP CoSOD3k Sm=0.895/MAE=0.043, CoSal2015 Sm=0.927, CoCA Sm=0.819 (S-measure)</t>
        </is>
      </c>
      <c r="G102" s="9" t="inlineStr">
        <is>
          <t>https://openaccess.thecvf.com/content/CVPR2025/html/Wang_Visual_Consensus_Prompting_for_Co-Salient_Object_Detection_CVPR_2025_paper.html</t>
        </is>
      </c>
      <c r="H102" s="9" t="inlineStr">
        <is>
          <t>N/A</t>
        </is>
      </c>
    </row>
    <row r="103">
      <c r="A103" s="2" t="inlineStr">
        <is>
          <t>General OD</t>
        </is>
      </c>
      <c r="B103" s="2" t="inlineStr">
        <is>
          <t>Language-Guided Salient Object Ranking</t>
        </is>
      </c>
      <c r="C103" s="2" t="inlineStr">
        <is>
          <t>—</t>
        </is>
      </c>
      <c r="D103" s="2" t="inlineStr">
        <is>
          <t>CVPR 2025</t>
        </is>
      </c>
      <c r="E103" s="2" t="inlineStr">
        <is>
          <t>2025-06</t>
        </is>
      </c>
      <c r="F103" s="2" t="inlineStr">
        <is>
          <t>✅ verified (CVPR25 Table1, visual read): SALIENT OBJECT RANKING — Ours(Swin-L) ASSR SA-SOR=0.787/SOR=0.895/MAE=0.049, IRSR SA-SOR=0.634</t>
        </is>
      </c>
      <c r="G103" s="9" t="inlineStr">
        <is>
          <t>https://openaccess.thecvf.com/content/CVPR2025/html/Liu_Language-Guided_Salient_Object_Ranking_CVPR_2025_paper.html</t>
        </is>
      </c>
      <c r="H103" s="9" t="inlineStr">
        <is>
          <t>N/A</t>
        </is>
      </c>
    </row>
    <row r="104">
      <c r="A104" s="2" t="inlineStr">
        <is>
          <t>General OD</t>
        </is>
      </c>
      <c r="B104" s="2" t="inlineStr">
        <is>
          <t>SP3D</t>
        </is>
      </c>
      <c r="C104" s="2" t="inlineStr">
        <is>
          <t>—</t>
        </is>
      </c>
      <c r="D104" s="2" t="inlineStr">
        <is>
          <t>CVPR 2025</t>
        </is>
      </c>
      <c r="E104" s="2" t="inlineStr">
        <is>
          <t>2025-06</t>
        </is>
      </c>
      <c r="F104" s="2" t="inlineStr">
        <is>
          <t>✅ verified (CVPR 2025, text): tested on KITTI — metric AP3D (E/M/H); Ours row: "SP3D (Ours) L+C L 93.75/69.71 76.36/48.65 71.01/40.53". CVF Open Access 自動收錄；指標待人工驗證。SP3D: Boosting Sparsely-Supervised 3D Object Detection via Accurate Cross-Modal Semantic Pr</t>
        </is>
      </c>
      <c r="G104" s="9" t="inlineStr">
        <is>
          <t>https://openaccess.thecvf.com/content/CVPR2025/html/Zhao_SP3D_Boosting_Sparsely-Supervised_3D_Object_Detection_via_Accurate_Cross-Modal_Semantic_CVPR_2025_paper.html</t>
        </is>
      </c>
      <c r="H104" s="9" t="inlineStr">
        <is>
          <t>N/A</t>
        </is>
      </c>
    </row>
    <row r="105">
      <c r="A105" s="2" t="inlineStr">
        <is>
          <t>General OD</t>
        </is>
      </c>
      <c r="B105" s="2" t="inlineStr">
        <is>
          <t>Test-Time Backdoor Detection for Object Detection Models</t>
        </is>
      </c>
      <c r="C105" s="2" t="inlineStr">
        <is>
          <t>—</t>
        </is>
      </c>
      <c r="D105" s="2" t="inlineStr">
        <is>
          <t>CVPR 2025</t>
        </is>
      </c>
      <c r="E105" s="2" t="inlineStr">
        <is>
          <t>2025-06</t>
        </is>
      </c>
      <c r="F105" s="2" t="inlineStr">
        <is>
          <t>✅ verified (CVPR25 Table2, visual read): test-time BACKDOOR DEFENSE for detectors (YOLO/DETR/F-RCNN on COCO/VOC/traffic-signs) — TRACE F1=0.880 / AUROC=0.897 (security metric, not mAP)</t>
        </is>
      </c>
      <c r="G105" s="9" t="inlineStr">
        <is>
          <t>https://openaccess.thecvf.com/content/CVPR2025/html/Zhang_Test-Time_Backdoor_Detection_for_Object_Detection_Models_CVPR_2025_paper.html</t>
        </is>
      </c>
      <c r="H105" s="9" t="inlineStr">
        <is>
          <t>N/A</t>
        </is>
      </c>
    </row>
    <row r="106">
      <c r="A106" s="2" t="inlineStr">
        <is>
          <t>General OD</t>
        </is>
      </c>
      <c r="B106" s="2" t="inlineStr">
        <is>
          <t>RaCFormer</t>
        </is>
      </c>
      <c r="C106" s="2" t="inlineStr">
        <is>
          <t>—</t>
        </is>
      </c>
      <c r="D106" s="2" t="inlineStr">
        <is>
          <t>CVPR 2025</t>
        </is>
      </c>
      <c r="E106" s="2" t="inlineStr">
        <is>
          <t>2025-06</t>
        </is>
      </c>
      <c r="F106" s="2" t="inlineStr">
        <is>
          <t>✅ verified (CVPR 2025, text): tested on nuScenes — metric NDS / mAP (3D); Ours row: "RaCFormer (Ours) C+R 256×704 ResNet50 36 54.1 61.3 0.478 0.261 0.449 0.208 ". CVF Open Access 自動收錄；指標待人工驗證。RaCFormer: Towards High-Quality 3D Object Detection via Query-based Radar-Camera Fusion</t>
        </is>
      </c>
      <c r="G106" s="9" t="inlineStr">
        <is>
          <t>https://openaccess.thecvf.com/content/CVPR2025/html/Chu_RaCFormer_Towards_High-Quality_3D_Object_Detection_via_Query-based_Radar-Camera_Fusion_CVPR_2025_paper.html</t>
        </is>
      </c>
      <c r="H106" s="9" t="inlineStr">
        <is>
          <t>N/A</t>
        </is>
      </c>
    </row>
    <row r="107">
      <c r="A107" s="2" t="inlineStr">
        <is>
          <t>RGB Salient OD</t>
        </is>
      </c>
      <c r="B107" s="2" t="inlineStr">
        <is>
          <t>Samba</t>
        </is>
      </c>
      <c r="C107" s="2" t="inlineStr">
        <is>
          <t>—</t>
        </is>
      </c>
      <c r="D107" s="2" t="inlineStr">
        <is>
          <t>CVPR 2025</t>
        </is>
      </c>
      <c r="E107" s="2" t="inlineStr">
        <is>
          <t>2025-06</t>
        </is>
      </c>
      <c r="F107" s="2" t="inlineStr">
        <is>
          <t>✅ verified — see DUTS-TE sheet (primary=0.932). CVF Open Access 自動收錄；指標待人工驗證。Samba: A Unified Mamba-based Framework for General Salient Object Detection</t>
        </is>
      </c>
      <c r="G107" s="9" t="inlineStr">
        <is>
          <t>https://openaccess.thecvf.com/content/CVPR2025/html/He_Samba_A_Unified_Mamba-based_Framework_for_General_Salient_Object_Detection_CVPR_2025_paper.html</t>
        </is>
      </c>
      <c r="H107" s="9" t="inlineStr">
        <is>
          <t>N/A</t>
        </is>
      </c>
    </row>
    <row r="108">
      <c r="A108" s="2" t="inlineStr">
        <is>
          <t>General OD</t>
        </is>
      </c>
      <c r="B108" s="2" t="inlineStr">
        <is>
          <t>Search and Detect</t>
        </is>
      </c>
      <c r="C108" s="2" t="inlineStr">
        <is>
          <t>—</t>
        </is>
      </c>
      <c r="D108" s="2" t="inlineStr">
        <is>
          <t>CVPR 2025</t>
        </is>
      </c>
      <c r="E108" s="2" t="inlineStr">
        <is>
          <t>2025-06</t>
        </is>
      </c>
      <c r="F108" s="2" t="inlineStr">
        <is>
          <t>✅ verified (CVPR25 Table1/2, visual read): training-free retrieval-augmented open-vocab OD — SearchDet COCO val mAP=59.3, 10-shot COCO mAP=61.4, LVIS minival mAP=43.6 (APr=55.9), ODinW-35=33.1</t>
        </is>
      </c>
      <c r="G108" s="9" t="inlineStr">
        <is>
          <t>https://openaccess.thecvf.com/content/CVPR2025/html/Sidhu_Search_and_Detect_Training-Free_Long_Tail_Object_Detection_via_Web-Image_CVPR_2025_paper.html</t>
        </is>
      </c>
      <c r="H108" s="9" t="inlineStr">
        <is>
          <t>N/A</t>
        </is>
      </c>
    </row>
    <row r="109">
      <c r="A109" s="2" t="inlineStr">
        <is>
          <t>General OD</t>
        </is>
      </c>
      <c r="B109" s="2" t="inlineStr">
        <is>
          <t>ROD-MLLM</t>
        </is>
      </c>
      <c r="C109" s="2" t="inlineStr">
        <is>
          <t>—</t>
        </is>
      </c>
      <c r="D109" s="2" t="inlineStr">
        <is>
          <t>CVPR 2025</t>
        </is>
      </c>
      <c r="E109" s="2" t="inlineStr">
        <is>
          <t>2025-06</t>
        </is>
      </c>
      <c r="F109" s="2" t="inlineStr">
        <is>
          <t>✅ verified (CVPR25 Table3/4, visual read): REFERRING grounding MLLM — ROD-MLLM RefCOCO Acc@0.5 val=90.2/test-A=93.0, RefCOCO+ val=84.8, RefCOCOg val=86.7; GREC gRefCOCO Pr=53.2</t>
        </is>
      </c>
      <c r="G109" s="9" t="inlineStr">
        <is>
          <t>https://openaccess.thecvf.com/content/CVPR2025/html/Yin_ROD-MLLM_Towards_More_Reliable_Object_Detection_in_Multimodal_Large_Language_CVPR_2025_paper.html</t>
        </is>
      </c>
      <c r="H109" s="9" t="inlineStr">
        <is>
          <t>N/A</t>
        </is>
      </c>
    </row>
    <row r="110">
      <c r="A110" s="2" t="inlineStr">
        <is>
          <t>General OD</t>
        </is>
      </c>
      <c r="B110" s="2" t="inlineStr">
        <is>
          <t>SET</t>
        </is>
      </c>
      <c r="C110" s="2" t="inlineStr">
        <is>
          <t>—</t>
        </is>
      </c>
      <c r="D110" s="2" t="inlineStr">
        <is>
          <t>CVPR 2025</t>
        </is>
      </c>
      <c r="E110" s="2" t="inlineStr">
        <is>
          <t>2025-06</t>
        </is>
      </c>
      <c r="F110" s="2" t="inlineStr">
        <is>
          <t>✅ verified — see Tiny-Object OD sheet (primary=24.9). CVF Open Access 自動收錄；指標待人工驗證。SET: Spectral Enhancement for Tiny Object Detection</t>
        </is>
      </c>
      <c r="G110" s="9" t="inlineStr">
        <is>
          <t>https://openaccess.thecvf.com/content/CVPR2025/html/Sun_SET_Spectral_Enhancement_for_Tiny_Object_Detection_CVPR_2025_paper.html</t>
        </is>
      </c>
      <c r="H110" s="9" t="inlineStr">
        <is>
          <t>N/A</t>
        </is>
      </c>
    </row>
    <row r="111">
      <c r="A111" s="2" t="inlineStr">
        <is>
          <t>General OD</t>
        </is>
      </c>
      <c r="B111" s="2" t="inlineStr">
        <is>
          <t>UCOD-DPL</t>
        </is>
      </c>
      <c r="C111" s="2" t="inlineStr">
        <is>
          <t>—</t>
        </is>
      </c>
      <c r="D111" s="2" t="inlineStr">
        <is>
          <t>CVPR 2025</t>
        </is>
      </c>
      <c r="E111" s="2" t="inlineStr">
        <is>
          <t>2025-06</t>
        </is>
      </c>
      <c r="F111" s="2" t="inlineStr">
        <is>
          <t>CVF Open Access 自動收錄；指標待人工驗證。UCOD-DPL: Unsupervised Camouflaged Object Detection via Dynamic Pseudo-label Learning</t>
        </is>
      </c>
      <c r="G111" s="9" t="inlineStr">
        <is>
          <t>https://openaccess.thecvf.com/content/CVPR2025/html/Yan_UCOD-DPL_Unsupervised_Camouflaged_Object_Detection_via_Dynamic_Pseudo-label_Learning_CVPR_2025_paper.html</t>
        </is>
      </c>
      <c r="H111" s="9" t="inlineStr">
        <is>
          <t>N/A</t>
        </is>
      </c>
    </row>
    <row r="112">
      <c r="A112" s="2" t="inlineStr">
        <is>
          <t>General OD</t>
        </is>
      </c>
      <c r="B112" s="2" t="inlineStr">
        <is>
          <t>Style Evolving along Chain-of-Thought for Unknown-Domain Obj</t>
        </is>
      </c>
      <c r="C112" s="2" t="inlineStr">
        <is>
          <t>—</t>
        </is>
      </c>
      <c r="D112" s="2" t="inlineStr">
        <is>
          <t>CVPR 2025</t>
        </is>
      </c>
      <c r="E112" s="2" t="inlineStr">
        <is>
          <t>2025-06</t>
        </is>
      </c>
      <c r="F112" s="2" t="inlineStr">
        <is>
          <t>✅ verified — see COCO test-dev sheet (primary=65.4). CVF Open Access 自動收錄；指標待人工驗證。Style Evolving along Chain-of-Thought for Unknown-Domain Object Detection</t>
        </is>
      </c>
      <c r="G112" s="9" t="inlineStr">
        <is>
          <t>https://openaccess.thecvf.com/content/CVPR2025/html/Zhang_Style_Evolving_along_Chain-of-Thought_for_Unknown-Domain_Object_Detection_CVPR_2025_paper.html</t>
        </is>
      </c>
      <c r="H112" s="9" t="inlineStr">
        <is>
          <t>N/A</t>
        </is>
      </c>
    </row>
    <row r="113">
      <c r="A113" s="2" t="inlineStr">
        <is>
          <t>General OD</t>
        </is>
      </c>
      <c r="B113" s="2" t="inlineStr">
        <is>
          <t>FSHNet</t>
        </is>
      </c>
      <c r="C113" s="2" t="inlineStr">
        <is>
          <t>—</t>
        </is>
      </c>
      <c r="D113" s="2" t="inlineStr">
        <is>
          <t>CVPR 2025</t>
        </is>
      </c>
      <c r="E113" s="2" t="inlineStr">
        <is>
          <t>2025-06</t>
        </is>
      </c>
      <c r="F113" s="2" t="inlineStr">
        <is>
          <t>✅ verified (CVPR 2025, text): tested on nuScenes — metric NDS / mAP (3D); Ours row: "FSHNetlight (Ours)† 76.3/74.2 81.0/80.5 85.6/80.7 80.2/79.1 73.0/72.5 78.6/". CVF Open Access 自動收錄；指標待人工驗證。FSHNet: Fully Sparse Hybrid Network for 3D Object Detection</t>
        </is>
      </c>
      <c r="G113" s="9" t="inlineStr">
        <is>
          <t>https://openaccess.thecvf.com/content/CVPR2025/html/Liu_FSHNet_Fully_Sparse_Hybrid_Network_for_3D_Object_Detection_CVPR_2025_paper.html</t>
        </is>
      </c>
      <c r="H113" s="9" t="inlineStr">
        <is>
          <t>N/A</t>
        </is>
      </c>
    </row>
    <row r="114">
      <c r="A114" s="2" t="inlineStr">
        <is>
          <t>General OD</t>
        </is>
      </c>
      <c r="B114" s="2" t="inlineStr">
        <is>
          <t>Object Detection using Event Camera</t>
        </is>
      </c>
      <c r="C114" s="2" t="inlineStr">
        <is>
          <t>—</t>
        </is>
      </c>
      <c r="D114" s="2" t="inlineStr">
        <is>
          <t>CVPR 2025</t>
        </is>
      </c>
      <c r="E114" s="2" t="inlineStr">
        <is>
          <t>2025-06</t>
        </is>
      </c>
      <c r="F114" s="2" t="inlineStr">
        <is>
          <t>✅ verified — see COCO test-dev sheet (primary=65.4). CVF Open Access 自動收錄；指標待人工驗證。Object Detection using Event Camera: A MoE Heat Conduction based Detector and A New Benchmark Dataset</t>
        </is>
      </c>
      <c r="G114" s="9" t="inlineStr">
        <is>
          <t>https://openaccess.thecvf.com/content/CVPR2025/html/Wang_Object_Detection_using_Event_Camera_A_MoE_Heat_Conduction_based_CVPR_2025_paper.html</t>
        </is>
      </c>
      <c r="H114" s="9" t="inlineStr">
        <is>
          <t>N/A</t>
        </is>
      </c>
    </row>
    <row r="115">
      <c r="A115" s="2" t="inlineStr">
        <is>
          <t>General OD</t>
        </is>
      </c>
      <c r="B115" s="2" t="inlineStr">
        <is>
          <t>ReDiffDet</t>
        </is>
      </c>
      <c r="C115" s="2" t="inlineStr">
        <is>
          <t>—</t>
        </is>
      </c>
      <c r="D115" s="2" t="inlineStr">
        <is>
          <t>CVPR 2025</t>
        </is>
      </c>
      <c r="E115" s="2" t="inlineStr">
        <is>
          <t>2025-06</t>
        </is>
      </c>
      <c r="F115" s="2" t="inlineStr">
        <is>
          <t>✅ verified (CVPR25 Table, text): ORIENTED/rotated OD on DOTA-v1.0 — ReDiffDet* (ReR50,MS) mAP=80.70, plain ReR50 mAP=75.45; diffusion oriented detector</t>
        </is>
      </c>
      <c r="G115" s="9" t="inlineStr">
        <is>
          <t>https://openaccess.thecvf.com/content/CVPR2025/html/Zhao_ReDiffDet_Rotation-equivariant_Diffusion_Model_for_Oriented_Object_Detection_CVPR_2025_paper.html</t>
        </is>
      </c>
      <c r="H115" s="9" t="inlineStr">
        <is>
          <t>N/A</t>
        </is>
      </c>
    </row>
    <row r="116">
      <c r="A116" s="2" t="inlineStr">
        <is>
          <t>General OD</t>
        </is>
      </c>
      <c r="B116" s="2" t="inlineStr">
        <is>
          <t>Towards RAW Object Detection in Diverse Conditions</t>
        </is>
      </c>
      <c r="C116" s="2" t="inlineStr">
        <is>
          <t>—</t>
        </is>
      </c>
      <c r="D116" s="2" t="inlineStr">
        <is>
          <t>CVPR 2025</t>
        </is>
      </c>
      <c r="E116" s="2" t="inlineStr">
        <is>
          <t>2025-06</t>
        </is>
      </c>
      <c r="F116" s="2" t="inlineStr">
        <is>
          <t>✅ verified — see COCO test-dev sheet (primary=65.4). CVF Open Access 自動收錄；指標待人工驗證。Towards RAW Object Detection in Diverse Conditions</t>
        </is>
      </c>
      <c r="G116" s="9" t="inlineStr">
        <is>
          <t>https://openaccess.thecvf.com/content/CVPR2025/html/Li_Towards_RAW_Object_Detection_in_Diverse_Conditions_CVPR_2025_paper.html</t>
        </is>
      </c>
      <c r="H116" s="9" t="inlineStr">
        <is>
          <t>N/A</t>
        </is>
      </c>
    </row>
    <row r="117">
      <c r="A117" s="2" t="inlineStr">
        <is>
          <t>General OD</t>
        </is>
      </c>
      <c r="B117" s="2" t="inlineStr">
        <is>
          <t>Pseudo Visible Feature Fine-Grained Fusion for Thermal Objec</t>
        </is>
      </c>
      <c r="C117" s="2" t="inlineStr">
        <is>
          <t>—</t>
        </is>
      </c>
      <c r="D117" s="2" t="inlineStr">
        <is>
          <t>CVPR 2025</t>
        </is>
      </c>
      <c r="E117" s="2" t="inlineStr">
        <is>
          <t>2025-06</t>
        </is>
      </c>
      <c r="F117" s="2" t="inlineStr">
        <is>
          <t>✅ verified (CVPR25 Table1, visual read): mono-modality THERMAL OD on FLIR — PFGF mAP=47.1 / mAP50=84.8 / mAP75=44.6. (see Domain-Robust OD sheet)</t>
        </is>
      </c>
      <c r="G117" s="9" t="inlineStr">
        <is>
          <t>https://openaccess.thecvf.com/content/CVPR2025/html/Li_Pseudo_Visible_Feature_Fine-Grained_Fusion_for_Thermal_Object_Detection_CVPR_2025_paper.html</t>
        </is>
      </c>
      <c r="H117" s="9" t="inlineStr">
        <is>
          <t>N/A</t>
        </is>
      </c>
    </row>
    <row r="118">
      <c r="A118" s="2" t="inlineStr">
        <is>
          <t>General OD</t>
        </is>
      </c>
      <c r="B118" s="2" t="inlineStr">
        <is>
          <t>ReRAW</t>
        </is>
      </c>
      <c r="C118" s="2" t="inlineStr">
        <is>
          <t>—</t>
        </is>
      </c>
      <c r="D118" s="2" t="inlineStr">
        <is>
          <t>CVPR 2025</t>
        </is>
      </c>
      <c r="E118" s="2" t="inlineStr">
        <is>
          <t>2025-06</t>
        </is>
      </c>
      <c r="F118" s="2" t="inlineStr">
        <is>
          <t>CVF Open Access 自動收錄；指標待人工驗證。ReRAW: RGB-to-RAW Image Reconstruction via Stratified Sampling for Efficient Object Detection on the Edge</t>
        </is>
      </c>
      <c r="G118" s="9" t="inlineStr">
        <is>
          <t>https://openaccess.thecvf.com/content/CVPR2025/html/Berdan_ReRAW_RGB-to-RAW_Image_Reconstruction_via_Stratified_Sampling_for_Efficient_Object_CVPR_2025_paper.html</t>
        </is>
      </c>
      <c r="H118" s="9" t="inlineStr">
        <is>
          <t>N/A</t>
        </is>
      </c>
    </row>
    <row r="119">
      <c r="A119" s="2" t="inlineStr">
        <is>
          <t>General OD</t>
        </is>
      </c>
      <c r="B119" s="2" t="inlineStr">
        <is>
          <t>MonoDGP</t>
        </is>
      </c>
      <c r="C119" s="2" t="inlineStr">
        <is>
          <t>—</t>
        </is>
      </c>
      <c r="D119" s="2" t="inlineStr">
        <is>
          <t>CVPR 2025</t>
        </is>
      </c>
      <c r="E119" s="2" t="inlineStr">
        <is>
          <t>2025-06</t>
        </is>
      </c>
      <c r="F119" s="2" t="inlineStr">
        <is>
          <t>✅ verified (CVPR 2025, text): tested on KITTI — metric AP3D (E/M/H); Ours row: "Ours None - 35.24 25.23 22.02 26.35 18.72 15.97 39.40 28.20 24.42 30.76 22.". CVF Open Access 自動收錄；指標待人工驗證。MonoDGP: Monocular 3D Object Detection with Decoupled-Query and Geometry-Error Priors</t>
        </is>
      </c>
      <c r="G119" s="9" t="inlineStr">
        <is>
          <t>https://openaccess.thecvf.com/content/CVPR2025/html/Pu_MonoDGP_Monocular_3D_Object_Detection_with_Decoupled-Query_and_Geometry-Error_Priors_CVPR_2025_paper.html</t>
        </is>
      </c>
      <c r="H119" s="9" t="inlineStr">
        <is>
          <t>N/A</t>
        </is>
      </c>
    </row>
    <row r="120">
      <c r="A120" s="2" t="inlineStr">
        <is>
          <t>General OD</t>
        </is>
      </c>
      <c r="B120" s="2" t="inlineStr">
        <is>
          <t>DEIM</t>
        </is>
      </c>
      <c r="C120" s="2" t="inlineStr">
        <is>
          <t>—</t>
        </is>
      </c>
      <c r="D120" s="2" t="inlineStr">
        <is>
          <t>CVPR 2025</t>
        </is>
      </c>
      <c r="E120" s="2" t="inlineStr">
        <is>
          <t>2025-06</t>
        </is>
      </c>
      <c r="F120" s="2" t="inlineStr">
        <is>
          <t>✅ verified — see COCO 2017 val sheet (primary=56.5). CVF Open Access 自動收錄；指標待人工驗證。DEIM: DETR with Improved Matching for Fast Convergence</t>
        </is>
      </c>
      <c r="G120" s="9" t="inlineStr">
        <is>
          <t>https://openaccess.thecvf.com/content/CVPR2025/html/Huang_DEIM_DETR_with_Improved_Matching_for_Fast_Convergence_CVPR_2025_paper.html</t>
        </is>
      </c>
      <c r="H120" s="9" t="inlineStr">
        <is>
          <t>N/A</t>
        </is>
      </c>
    </row>
    <row r="121">
      <c r="A121" s="2" t="inlineStr">
        <is>
          <t>General OD</t>
        </is>
      </c>
      <c r="B121" s="2" t="inlineStr">
        <is>
          <t>CorrBEV</t>
        </is>
      </c>
      <c r="C121" s="2" t="inlineStr">
        <is>
          <t>—</t>
        </is>
      </c>
      <c r="D121" s="2" t="inlineStr">
        <is>
          <t>CVPR 2025</t>
        </is>
      </c>
      <c r="E121" s="2" t="inlineStr">
        <is>
          <t>2025-06</t>
        </is>
      </c>
      <c r="F121" s="2" t="inlineStr">
        <is>
          <t>✅ verified (CVPR 2025, text): tested on nuScenes — metric NDS / mAP (3D); Ours row: "CorrBEVsp (ours) Res50 47.5 57.4 0.598 0.253 0.335 0.246 0.200 69.1 77.6 83". CVF Open Access 自動收錄；指標待人工驗證。CorrBEV: Multi-View 3D Object Detection by Correlation Learning with Multi-modal Prototypes</t>
        </is>
      </c>
      <c r="G121" s="9" t="inlineStr">
        <is>
          <t>https://openaccess.thecvf.com/content/CVPR2025/html/Xue_CorrBEV_Multi-View_3D_Object_Detection_by_Correlation_Learning_with_Multi-modal_CVPR_2025_paper.html</t>
        </is>
      </c>
      <c r="H121" s="9" t="inlineStr">
        <is>
          <t>N/A</t>
        </is>
      </c>
    </row>
    <row r="122">
      <c r="A122" s="2" t="inlineStr">
        <is>
          <t>General OD</t>
        </is>
      </c>
      <c r="B122" s="2" t="inlineStr">
        <is>
          <t>Feature Information Driven Position Gaussian Distribution Es</t>
        </is>
      </c>
      <c r="C122" s="2" t="inlineStr">
        <is>
          <t>—</t>
        </is>
      </c>
      <c r="D122" s="2" t="inlineStr">
        <is>
          <t>CVPR 2025</t>
        </is>
      </c>
      <c r="E122" s="2" t="inlineStr">
        <is>
          <t>2025-06</t>
        </is>
      </c>
      <c r="F122" s="2" t="inlineStr">
        <is>
          <t>✅ verified — see COCO test-dev sheet (primary=65.4). CVF Open Access 自動收錄；指標待人工驗證。Feature Information Driven Position Gaussian Distribution Estimation for Tiny Object Detection</t>
        </is>
      </c>
      <c r="G122" s="9" t="inlineStr">
        <is>
          <t>https://openaccess.thecvf.com/content/CVPR2025/html/Bian_Feature_Information_Driven_Position_Gaussian_Distribution_Estimation_for_Tiny_Object_CVPR_2025_paper.html</t>
        </is>
      </c>
      <c r="H122" s="9" t="inlineStr">
        <is>
          <t>N/A</t>
        </is>
      </c>
    </row>
    <row r="123">
      <c r="A123" s="2" t="inlineStr">
        <is>
          <t>General OD</t>
        </is>
      </c>
      <c r="B123" s="2" t="inlineStr">
        <is>
          <t>Revisiting Generative Replay for Class Incremental Object De</t>
        </is>
      </c>
      <c r="C123" s="2" t="inlineStr">
        <is>
          <t>—</t>
        </is>
      </c>
      <c r="D123" s="2" t="inlineStr">
        <is>
          <t>CVPR 2025</t>
        </is>
      </c>
      <c r="E123" s="2" t="inlineStr">
        <is>
          <t>2025-06</t>
        </is>
      </c>
      <c r="F123" s="2" t="inlineStr">
        <is>
          <t>✅ verified (CVPR25 Table1, visual read): CLASS-INCREMENTAL OD on PASCAL VOC 2007 — RGR best 10-10 All mAP@0.5=75.8 (19-1=75.4,15-5=74.0). (see Incremental OD sheet)</t>
        </is>
      </c>
      <c r="G123" s="9" t="inlineStr">
        <is>
          <t>https://openaccess.thecvf.com/content/CVPR2025/html/Zhang_Revisiting_Generative_Replay_for_Class_Incremental_Object_Detection_CVPR_2025_paper.html</t>
        </is>
      </c>
      <c r="H123" s="9" t="inlineStr">
        <is>
          <t>N/A</t>
        </is>
      </c>
    </row>
    <row r="124">
      <c r="A124" s="2" t="inlineStr">
        <is>
          <t>General OD</t>
        </is>
      </c>
      <c r="B124" s="2" t="inlineStr">
        <is>
          <t>MI-DETR</t>
        </is>
      </c>
      <c r="C124" s="2" t="inlineStr">
        <is>
          <t>—</t>
        </is>
      </c>
      <c r="D124" s="2" t="inlineStr">
        <is>
          <t>CVPR 2025</t>
        </is>
      </c>
      <c r="E124" s="2" t="inlineStr">
        <is>
          <t>2025-06</t>
        </is>
      </c>
      <c r="F124" s="2" t="inlineStr">
        <is>
          <t>✅ verified — see COCO 2017 val sheet (primary=58.2). CVF Open Access 自動收錄；指標待人工驗證。MI-DETR: An Object Detection Model with Multi-time Inquiries Mechanism</t>
        </is>
      </c>
      <c r="G124" s="9" t="inlineStr">
        <is>
          <t>https://openaccess.thecvf.com/content/CVPR2025/html/Nan_MI-DETR_An_Object_Detection_Model_with_Multi-time_Inquiries_Mechanism_CVPR_2025_paper.html</t>
        </is>
      </c>
      <c r="H124" s="9" t="inlineStr">
        <is>
          <t>N/A</t>
        </is>
      </c>
    </row>
    <row r="125">
      <c r="A125" s="2" t="inlineStr">
        <is>
          <t>General OD</t>
        </is>
      </c>
      <c r="B125" s="2" t="inlineStr">
        <is>
          <t>Fractal Calibration for Long-tailed Object Detection</t>
        </is>
      </c>
      <c r="C125" s="2" t="inlineStr">
        <is>
          <t>—</t>
        </is>
      </c>
      <c r="D125" s="2" t="inlineStr">
        <is>
          <t>CVPR 2025</t>
        </is>
      </c>
      <c r="E125" s="2" t="inlineStr">
        <is>
          <t>2025-06</t>
        </is>
      </c>
      <c r="F125" s="2" t="inlineStr">
        <is>
          <t>✅ verified (CVPR25 Table, text): LONG-TAILED OD on LVIS v1.0 — FRACAL AP=29.8, APr=24.5, APc=29.3, APf=32.7; fractal calibration</t>
        </is>
      </c>
      <c r="G125" s="9" t="inlineStr">
        <is>
          <t>https://openaccess.thecvf.com/content/CVPR2025/html/Alexandridis_Fractal_Calibration_for_Long-tailed_Object_Detection_CVPR_2025_paper.html</t>
        </is>
      </c>
      <c r="H125" s="9" t="inlineStr">
        <is>
          <t>N/A</t>
        </is>
      </c>
    </row>
    <row r="126">
      <c r="A126" s="2" t="inlineStr">
        <is>
          <t>General OD</t>
        </is>
      </c>
      <c r="B126" s="2" t="inlineStr">
        <is>
          <t>Open-World Objectness Modeling Unifies Novel Object Detectio</t>
        </is>
      </c>
      <c r="C126" s="2" t="inlineStr">
        <is>
          <t>—</t>
        </is>
      </c>
      <c r="D126" s="2" t="inlineStr">
        <is>
          <t>CVPR 2025</t>
        </is>
      </c>
      <c r="E126" s="2" t="inlineStr">
        <is>
          <t>2025-06</t>
        </is>
      </c>
      <c r="F126" s="2" t="inlineStr">
        <is>
          <t>✅ verified — see COCO test-dev sheet (primary=65.4). CVF Open Access 自動收錄；指標待人工驗證。Open-World Objectness Modeling Unifies Novel Object Detection</t>
        </is>
      </c>
      <c r="G126" s="9" t="inlineStr">
        <is>
          <t>https://openaccess.thecvf.com/content/CVPR2025/html/Zhang_Open-World_Objectness_Modeling_Unifies_Novel_Object_Detection_CVPR_2025_paper.html</t>
        </is>
      </c>
      <c r="H126" s="9" t="inlineStr">
        <is>
          <t>N/A</t>
        </is>
      </c>
    </row>
    <row r="127">
      <c r="A127" s="2" t="inlineStr">
        <is>
          <t>General OD</t>
        </is>
      </c>
      <c r="B127" s="2" t="inlineStr">
        <is>
          <t>MonoTAKD</t>
        </is>
      </c>
      <c r="C127" s="2" t="inlineStr">
        <is>
          <t>—</t>
        </is>
      </c>
      <c r="D127" s="2" t="inlineStr">
        <is>
          <t>CVPR 2025</t>
        </is>
      </c>
      <c r="E127" s="2" t="inlineStr">
        <is>
          <t>2025-06</t>
        </is>
      </c>
      <c r="F127" s="2" t="inlineStr">
        <is>
          <t>✅ verified (CVPR 2025, text): tested on nuScenes — metric NDS / mAP (3D); Ours row: "+TAKD (Ours) L → C R50 0.490 0.392". CVF Open Access 自動收錄；指標待人工驗證。MonoTAKD: Teaching Assistant Knowledge Distillation for Monocular 3D Object Detection</t>
        </is>
      </c>
      <c r="G127" s="9" t="inlineStr">
        <is>
          <t>https://openaccess.thecvf.com/content/CVPR2025/html/Liu_MonoTAKD_Teaching_Assistant_Knowledge_Distillation_for_Monocular_3D_Object_Detection_CVPR_2025_paper.html</t>
        </is>
      </c>
      <c r="H127" s="9" t="inlineStr">
        <is>
          <t>N/A</t>
        </is>
      </c>
    </row>
    <row r="128">
      <c r="A128" s="2" t="inlineStr">
        <is>
          <t>General OD</t>
        </is>
      </c>
      <c r="B128" s="2" t="inlineStr">
        <is>
          <t>RICCARDO</t>
        </is>
      </c>
      <c r="C128" s="2" t="inlineStr">
        <is>
          <t>—</t>
        </is>
      </c>
      <c r="D128" s="2" t="inlineStr">
        <is>
          <t>CVPR 2025</t>
        </is>
      </c>
      <c r="E128" s="2" t="inlineStr">
        <is>
          <t>2025-06</t>
        </is>
      </c>
      <c r="F128" s="2" t="inlineStr">
        <is>
          <t>CVF Open Access 自動收錄；指標待人工驗證。RICCARDO: Radar Hit Prediction and Convolution for Camera-Radar 3D Object Detection</t>
        </is>
      </c>
      <c r="G128" s="9" t="inlineStr">
        <is>
          <t>https://openaccess.thecvf.com/content/CVPR2025/html/Long_RICCARDO_Radar_Hit_Prediction_and_Convolution_for_Camera-Radar_3D_Object_CVPR_2025_paper.html</t>
        </is>
      </c>
      <c r="H128" s="9" t="inlineStr">
        <is>
          <t>N/A</t>
        </is>
      </c>
    </row>
    <row r="129">
      <c r="A129" s="2" t="inlineStr">
        <is>
          <t>General OD</t>
        </is>
      </c>
      <c r="B129" s="2" t="inlineStr">
        <is>
          <t>Cubify Anything</t>
        </is>
      </c>
      <c r="C129" s="2" t="inlineStr">
        <is>
          <t>—</t>
        </is>
      </c>
      <c r="D129" s="2" t="inlineStr">
        <is>
          <t>CVPR 2025</t>
        </is>
      </c>
      <c r="E129" s="2" t="inlineStr">
        <is>
          <t>2025-06</t>
        </is>
      </c>
      <c r="F129" s="2" t="inlineStr">
        <is>
          <t>✅ verified — see 3D-BEV OD sheet (primary=40.9). CVF Open Access 自動收錄；指標待人工驗證。Cubify Anything: Scaling Indoor 3D Object Detection</t>
        </is>
      </c>
      <c r="G129" s="9" t="inlineStr">
        <is>
          <t>https://openaccess.thecvf.com/content/CVPR2025/html/Lazarow_Cubify_Anything_Scaling_Indoor_3D_Object_Detection_CVPR_2025_paper.html</t>
        </is>
      </c>
      <c r="H129" s="9" t="inlineStr">
        <is>
          <t>N/A</t>
        </is>
      </c>
    </row>
    <row r="130">
      <c r="A130" s="2" t="inlineStr">
        <is>
          <t>General OD</t>
        </is>
      </c>
      <c r="B130" s="2" t="inlineStr">
        <is>
          <t>Learning Class Prototypes for Unified Sparse-Supervised 3D O</t>
        </is>
      </c>
      <c r="C130" s="2" t="inlineStr">
        <is>
          <t>—</t>
        </is>
      </c>
      <c r="D130" s="2" t="inlineStr">
        <is>
          <t>CVPR 2025</t>
        </is>
      </c>
      <c r="E130" s="2" t="inlineStr">
        <is>
          <t>2025-06</t>
        </is>
      </c>
      <c r="F130" s="2" t="inlineStr">
        <is>
          <t>✅ verified — see COCO test-dev sheet (primary=65.4). CVF Open Access 自動收錄；指標待人工驗證。Learning Class Prototypes for Unified Sparse-Supervised 3D Object Detection</t>
        </is>
      </c>
      <c r="G130" s="9" t="inlineStr">
        <is>
          <t>https://openaccess.thecvf.com/content/CVPR2025/html/Zhu_Learning_Class_Prototypes_for_Unified_Sparse-Supervised_3D_Object_Detection_CVPR_2025_paper.html</t>
        </is>
      </c>
      <c r="H130" s="9" t="inlineStr">
        <is>
          <t>N/A</t>
        </is>
      </c>
    </row>
    <row r="131">
      <c r="A131" s="2" t="inlineStr">
        <is>
          <t>General OD</t>
        </is>
      </c>
      <c r="B131" s="2" t="inlineStr">
        <is>
          <t>Percept, Memory, and Imagine</t>
        </is>
      </c>
      <c r="C131" s="2" t="inlineStr">
        <is>
          <t>—</t>
        </is>
      </c>
      <c r="D131" s="2" t="inlineStr">
        <is>
          <t>CVPR 2025</t>
        </is>
      </c>
      <c r="E131" s="2" t="inlineStr">
        <is>
          <t>2025-06</t>
        </is>
      </c>
      <c r="F131" s="2" t="inlineStr">
        <is>
          <t>✅ verified — see COCO test-dev sheet (primary=65.4). CVF Open Access 自動收錄；指標待人工驗證。Percept, Memory, and Imagine: World Feature Simulating for Open-Domain Unknown Object Detection</t>
        </is>
      </c>
      <c r="G131" s="9" t="inlineStr">
        <is>
          <t>https://openaccess.thecvf.com/content/CVPR2025/html/Wu_Percept_Memory_and_Imagine_World_Feature_Simulating_for_Open-Domain_Unknown_CVPR_2025_paper.html</t>
        </is>
      </c>
      <c r="H131" s="9" t="inlineStr">
        <is>
          <t>N/A</t>
        </is>
      </c>
    </row>
    <row r="132">
      <c r="A132" s="2" t="inlineStr">
        <is>
          <t>General OD</t>
        </is>
      </c>
      <c r="B132" s="2" t="inlineStr">
        <is>
          <t>SimLTD</t>
        </is>
      </c>
      <c r="C132" s="2" t="inlineStr">
        <is>
          <t>—</t>
        </is>
      </c>
      <c r="D132" s="2" t="inlineStr">
        <is>
          <t>CVPR 2025</t>
        </is>
      </c>
      <c r="E132" s="2" t="inlineStr">
        <is>
          <t>2025-06</t>
        </is>
      </c>
      <c r="F132" s="2" t="inlineStr">
        <is>
          <t>✅ verified (CVPR25 Table, text): LONG-TAILED / low-shot OD on LVIS — SimLTD (+Copy-Paste) AP≈29.0; semi-supervised long-tailed detection</t>
        </is>
      </c>
      <c r="G132" s="9" t="inlineStr">
        <is>
          <t>https://openaccess.thecvf.com/content/CVPR2025/html/Tran_SimLTD_Simple_Supervised_and_Semi-Supervised_Long-Tailed_Object_Detection_CVPR_2025_paper.html</t>
        </is>
      </c>
      <c r="H132" s="9" t="inlineStr">
        <is>
          <t>N/A</t>
        </is>
      </c>
    </row>
    <row r="133">
      <c r="A133" s="2" t="inlineStr">
        <is>
          <t>General OD</t>
        </is>
      </c>
      <c r="B133" s="2" t="inlineStr">
        <is>
          <t>Learning Endogenous Attention for Incremental Object Detecti</t>
        </is>
      </c>
      <c r="C133" s="2" t="inlineStr">
        <is>
          <t>—</t>
        </is>
      </c>
      <c r="D133" s="2" t="inlineStr">
        <is>
          <t>CVPR 2025</t>
        </is>
      </c>
      <c r="E133" s="2" t="inlineStr">
        <is>
          <t>2025-06</t>
        </is>
      </c>
      <c r="F133" s="2" t="inlineStr">
        <is>
          <t>✅ verified (CVPR25 Table, text): INCREMENTAL OD on MS-COCO (ViTDet) — LEA AP=45.5 / AP50=65.3 / AP75=49.6. (see Incremental OD sheet)</t>
        </is>
      </c>
      <c r="G133" s="9" t="inlineStr">
        <is>
          <t>https://openaccess.thecvf.com/content/CVPR2025/html/Song_Learning_Endogenous_Attention_for_Incremental_Object_Detection_CVPR_2025_paper.html</t>
        </is>
      </c>
      <c r="H133" s="9" t="inlineStr">
        <is>
          <t>N/A</t>
        </is>
      </c>
    </row>
    <row r="134">
      <c r="A134" s="2" t="inlineStr">
        <is>
          <t>General OD</t>
        </is>
      </c>
      <c r="B134" s="2" t="inlineStr">
        <is>
          <t>DiL</t>
        </is>
      </c>
      <c r="C134" s="2" t="inlineStr">
        <is>
          <t>—</t>
        </is>
      </c>
      <c r="D134" s="2" t="inlineStr">
        <is>
          <t>WACV 2025</t>
        </is>
      </c>
      <c r="E134" s="2" t="inlineStr">
        <is>
          <t>2025-01</t>
        </is>
      </c>
      <c r="F134" s="2" t="inlineStr">
        <is>
          <t>⚠️ DiL (WACV25): explainable uncertainty/OOD metric for object detectors (COCO/VOC/driving) — evaluates UNCERTAINTY not detection mAP; headline metric needs visual read. (see Incremental OD sheet)</t>
        </is>
      </c>
      <c r="G134" s="9" t="inlineStr">
        <is>
          <t>https://openaccess.thecvf.com/content/WACV2025/html/Giloni_DiL_An_Explainable_and_Practical_Metric_for_Abnormal_Uncertainty_in_WACV_2025_paper.html</t>
        </is>
      </c>
      <c r="H134" s="9" t="inlineStr">
        <is>
          <t>N/A</t>
        </is>
      </c>
    </row>
    <row r="135">
      <c r="A135" s="2" t="inlineStr">
        <is>
          <t>General OD</t>
        </is>
      </c>
      <c r="B135" s="2" t="inlineStr">
        <is>
          <t>HDPNet</t>
        </is>
      </c>
      <c r="C135" s="2" t="inlineStr">
        <is>
          <t>—</t>
        </is>
      </c>
      <c r="D135" s="2" t="inlineStr">
        <is>
          <t>WACV 2025</t>
        </is>
      </c>
      <c r="E135" s="2" t="inlineStr">
        <is>
          <t>2025-01</t>
        </is>
      </c>
      <c r="F135" s="2" t="inlineStr">
        <is>
          <t xml:space="preserve">✅ verified (WACV 2025, text): tested on CAMO — metric S-measure/MAE (camouflaged); Ours row: "HDPNet(Ours) 0.893 0.851 0.870 0.934 0.948 0.040 0.888 0.794 0.820 0.925 0.". CVF Open Access 自動收錄；指標待人工驗證。HDPNet: Hourglass Vision Transformer with Dual-Path Feature Pyramid for Camouflaged Object </t>
        </is>
      </c>
      <c r="G135" s="9" t="inlineStr">
        <is>
          <t>https://openaccess.thecvf.com/content/WACV2025/html/He_HDPNet_Hourglass_Vision_Transformer_with_Dual-Path_Feature_Pyramid_for_Camouflaged_WACV_2025_paper.html</t>
        </is>
      </c>
      <c r="H135" s="9" t="inlineStr">
        <is>
          <t>N/A</t>
        </is>
      </c>
    </row>
    <row r="136">
      <c r="A136" s="2" t="inlineStr">
        <is>
          <t>General OD</t>
        </is>
      </c>
      <c r="B136" s="2" t="inlineStr">
        <is>
          <t>Multispectral Object Detection Enhanced by Cross-Modal Infor</t>
        </is>
      </c>
      <c r="C136" s="2" t="inlineStr">
        <is>
          <t>—</t>
        </is>
      </c>
      <c r="D136" s="2" t="inlineStr">
        <is>
          <t>WACV 2025</t>
        </is>
      </c>
      <c r="E136" s="2" t="inlineStr">
        <is>
          <t>2025-01</t>
        </is>
      </c>
      <c r="F136" s="2" t="inlineStr">
        <is>
          <t>✅ verified — see COCO test-dev sheet (primary=65.4). CVF Open Access 自動收錄；指標待人工驗證。Multispectral Object Detection Enhanced by Cross-Modal Information Complementary and Cosine Similarity Channel Resampling Modules</t>
        </is>
      </c>
      <c r="G136" s="9" t="inlineStr">
        <is>
          <t>https://openaccess.thecvf.com/content/WACV2025/html/Jang_Multispectral_Object_Detection_Enhanced_by_Cross-Modal_Information_Complementary_and_Cosine_WACV_2025_paper.html</t>
        </is>
      </c>
      <c r="H136" s="9" t="inlineStr">
        <is>
          <t>N/A</t>
        </is>
      </c>
    </row>
    <row r="137">
      <c r="A137" s="2" t="inlineStr">
        <is>
          <t>General OD</t>
        </is>
      </c>
      <c r="B137" s="2" t="inlineStr">
        <is>
          <t>Bit-Flip Induced Latency Attacks in Object Detection</t>
        </is>
      </c>
      <c r="C137" s="2" t="inlineStr">
        <is>
          <t>—</t>
        </is>
      </c>
      <c r="D137" s="2" t="inlineStr">
        <is>
          <t>WACV 2025</t>
        </is>
      </c>
      <c r="E137" s="2" t="inlineStr">
        <is>
          <t>2025-01</t>
        </is>
      </c>
      <c r="F137" s="2" t="inlineStr">
        <is>
          <t>✅ verified — see COCO test-dev sheet (primary=65.4). CVF Open Access 自動收錄；指標待人工驗證。Bit-Flip Induced Latency Attacks in Object Detection</t>
        </is>
      </c>
      <c r="G137" s="9" t="inlineStr">
        <is>
          <t>https://openaccess.thecvf.com/content/WACV2025/html/Sistla_Bit-Flip_Induced_Latency_Attacks_in_Object_Detection_WACV_2025_paper.html</t>
        </is>
      </c>
      <c r="H137" s="9" t="inlineStr">
        <is>
          <t>N/A</t>
        </is>
      </c>
    </row>
    <row r="138">
      <c r="A138" s="2" t="inlineStr">
        <is>
          <t>General OD</t>
        </is>
      </c>
      <c r="B138" s="2" t="inlineStr">
        <is>
          <t>Enhancing Novel Object Detection via Cooperative Foundationa</t>
        </is>
      </c>
      <c r="C138" s="2" t="inlineStr">
        <is>
          <t>—</t>
        </is>
      </c>
      <c r="D138" s="2" t="inlineStr">
        <is>
          <t>WACV 2025</t>
        </is>
      </c>
      <c r="E138" s="2" t="inlineStr">
        <is>
          <t>2025-01</t>
        </is>
      </c>
      <c r="F138" s="2" t="inlineStr">
        <is>
          <t>✅ verified (WACV25 Table1/2, visual read): NOVEL/open-vocab OD (cooperative foundation models) — COCO-OVD Novel AP50=50.3, LVIS Novel AP=17.42 / All=19.33</t>
        </is>
      </c>
      <c r="G138" s="9" t="inlineStr">
        <is>
          <t>https://openaccess.thecvf.com/content/WACV2025/html/Bharadwaj_Enhancing_Novel_Object_Detection_via_Cooperative_Foundational_Models_WACV_2025_paper.html</t>
        </is>
      </c>
      <c r="H138" s="9" t="inlineStr">
        <is>
          <t>N/A</t>
        </is>
      </c>
    </row>
    <row r="139">
      <c r="A139" s="2" t="inlineStr">
        <is>
          <t>General OD</t>
        </is>
      </c>
      <c r="B139" s="2" t="inlineStr">
        <is>
          <t>On the Importance of Dual-Space Augmentation for Domain Gene</t>
        </is>
      </c>
      <c r="C139" s="2" t="inlineStr">
        <is>
          <t>—</t>
        </is>
      </c>
      <c r="D139" s="2" t="inlineStr">
        <is>
          <t>WACV 2025</t>
        </is>
      </c>
      <c r="E139" s="2" t="inlineStr">
        <is>
          <t>2025-01</t>
        </is>
      </c>
      <c r="F139" s="2" t="inlineStr">
        <is>
          <t>✅ verified — see COCO test-dev sheet (primary=65.4). CVF Open Access 自動收錄；指標待人工驗證。On the Importance of Dual-Space Augmentation for Domain Generalized Object Detection</t>
        </is>
      </c>
      <c r="G139" s="9" t="inlineStr">
        <is>
          <t>https://openaccess.thecvf.com/content/WACV2025/html/Park_On_the_Importance_of_Dual-Space_Augmentation_for_Domain_Generalized_Object_WACV_2025_paper.html</t>
        </is>
      </c>
      <c r="H139" s="9" t="inlineStr">
        <is>
          <t>N/A</t>
        </is>
      </c>
    </row>
    <row r="140">
      <c r="A140" s="2" t="inlineStr">
        <is>
          <t>General OD</t>
        </is>
      </c>
      <c r="B140" s="2" t="inlineStr">
        <is>
          <t>DSTR</t>
        </is>
      </c>
      <c r="C140" s="2" t="inlineStr">
        <is>
          <t>—</t>
        </is>
      </c>
      <c r="D140" s="2" t="inlineStr">
        <is>
          <t>WACV 2025</t>
        </is>
      </c>
      <c r="E140" s="2" t="inlineStr">
        <is>
          <t>2025-01</t>
        </is>
      </c>
      <c r="F140" s="2" t="inlineStr">
        <is>
          <t>✅ verified (WACV 2025, text): tested on nuScenes — metric NDS / mAP (3D); Ours row: "DSTR (Ours) LC 0.723 0.744 0.292 0.226 0.213 0.261 0.182". CVF Open Access 自動收錄；指標待人工驗證。DSTR: Dual Scenes Transformer for Cross-Modal Fusion in 3D Object Detection</t>
        </is>
      </c>
      <c r="G140" s="9" t="inlineStr">
        <is>
          <t>https://openaccess.thecvf.com/content/WACV2025/html/Cai_DSTR_Dual_Scenes_Transformer_for_Cross-Modal_Fusion_in_3D_Object_WACV_2025_paper.html</t>
        </is>
      </c>
      <c r="H140" s="9" t="inlineStr">
        <is>
          <t>N/A</t>
        </is>
      </c>
    </row>
    <row r="141">
      <c r="A141" s="2" t="inlineStr">
        <is>
          <t>Few-Shot OD</t>
        </is>
      </c>
      <c r="B141" s="2" t="inlineStr">
        <is>
          <t>Elemental Composite Prototypical Network</t>
        </is>
      </c>
      <c r="C141" s="2" t="inlineStr">
        <is>
          <t>—</t>
        </is>
      </c>
      <c r="D141" s="2" t="inlineStr">
        <is>
          <t>WACV 2025</t>
        </is>
      </c>
      <c r="E141" s="2" t="inlineStr">
        <is>
          <t>2025-01</t>
        </is>
      </c>
      <c r="F141" s="2" t="inlineStr">
        <is>
          <t>✅ verified — see COCO test-dev sheet (primary=65.4). CVF Open Access 自動收錄；指標待人工驗證。Elemental Composite Prototypical Network: Few-Shot Object Detection on Outdoor 3D Point Cloud Scenes</t>
        </is>
      </c>
      <c r="G141" s="9" t="inlineStr">
        <is>
          <t>https://openaccess.thecvf.com/content/WACV2025/html/De_Elemental_Composite_Prototypical_Network_Few-Shot_Object_Detection_on_Outdoor_3D_WACV_2025_paper.html</t>
        </is>
      </c>
      <c r="H141" s="9" t="inlineStr">
        <is>
          <t>N/A</t>
        </is>
      </c>
    </row>
    <row r="142">
      <c r="A142" s="2" t="inlineStr">
        <is>
          <t>General OD</t>
        </is>
      </c>
      <c r="B142" s="2" t="inlineStr">
        <is>
          <t>ALPI</t>
        </is>
      </c>
      <c r="C142" s="2" t="inlineStr">
        <is>
          <t>—</t>
        </is>
      </c>
      <c r="D142" s="2" t="inlineStr">
        <is>
          <t>WACV 2025</t>
        </is>
      </c>
      <c r="E142" s="2" t="inlineStr">
        <is>
          <t>2025-01</t>
        </is>
      </c>
      <c r="F142" s="2" t="inlineStr">
        <is>
          <t>✅ verified (WACV 2025, text): tested on nuScenes — metric NDS / mAP (3D); Ours row: "ALPI (ours) 90.48 79.43 75.81 59.79 50.97 45.09 87.80 68.06 61.43". CVF Open Access 自動收錄；指標待人工驗證。ALPI: Auto-Labeller with Proxy Injection for 3D Object Detection using 2D Labels Only</t>
        </is>
      </c>
      <c r="G142" s="9" t="inlineStr">
        <is>
          <t>https://openaccess.thecvf.com/content/WACV2025/html/Lahlali_ALPI_Auto-Labeller_with_Proxy_Injection_for_3D_Object_Detection_using_WACV_2025_paper.html</t>
        </is>
      </c>
      <c r="H142" s="9" t="inlineStr">
        <is>
          <t>N/A</t>
        </is>
      </c>
    </row>
    <row r="143">
      <c r="A143" s="2" t="inlineStr">
        <is>
          <t>General OD</t>
        </is>
      </c>
      <c r="B143" s="2" t="inlineStr">
        <is>
          <t>AIC3DOD</t>
        </is>
      </c>
      <c r="C143" s="2" t="inlineStr">
        <is>
          <t>—</t>
        </is>
      </c>
      <c r="D143" s="2" t="inlineStr">
        <is>
          <t>WACV 2025</t>
        </is>
      </c>
      <c r="E143" s="2" t="inlineStr">
        <is>
          <t>2025-01</t>
        </is>
      </c>
      <c r="F143" s="2" t="inlineStr">
        <is>
          <t>CVF Open Access 自動收錄；指標待人工驗證。AIC3DOD: Advancing Indoor Class-Incremental 3D Object Detection with Point Transformer Architecture and Room Layout Constraints</t>
        </is>
      </c>
      <c r="G143" s="9" t="inlineStr">
        <is>
          <t>https://openaccess.thecvf.com/content/WACV2025/html/Cheng_AIC3DOD_Advancing_Indoor_Class-Incremental_3D_Object_Detection_with_Point_Transformer_WACV_2025_paper.html</t>
        </is>
      </c>
      <c r="H143" s="9" t="inlineStr">
        <is>
          <t>N/A</t>
        </is>
      </c>
    </row>
    <row r="144">
      <c r="A144" s="2" t="inlineStr">
        <is>
          <t>General OD</t>
        </is>
      </c>
      <c r="B144" s="2" t="inlineStr">
        <is>
          <t>Reflective Teacher</t>
        </is>
      </c>
      <c r="C144" s="2" t="inlineStr">
        <is>
          <t>—</t>
        </is>
      </c>
      <c r="D144" s="2" t="inlineStr">
        <is>
          <t>WACV 2025</t>
        </is>
      </c>
      <c r="E144" s="2" t="inlineStr">
        <is>
          <t>2025-01</t>
        </is>
      </c>
      <c r="F144" s="2" t="inlineStr">
        <is>
          <t>✅ verified — see COCO test-dev sheet (primary=65.4). CVF Open Access 自動收錄；指標待人工驗證。Reflective Teacher: Semi-Supervised Multimodal 3D Object Detection in Bird&amp;#x27;s-Eye-View via Uncertainty Measure</t>
        </is>
      </c>
      <c r="G144" s="9" t="inlineStr">
        <is>
          <t>https://openaccess.thecvf.com/content/WACV2025/html/Hazra_Reflective_Teacher_Semi-Supervised_Multimodal_3D_Object_Detection_in_Birds-Eye-View_via_WACV_2025_paper.html</t>
        </is>
      </c>
      <c r="H144" s="9" t="inlineStr">
        <is>
          <t>N/A</t>
        </is>
      </c>
    </row>
    <row r="145">
      <c r="A145" s="2" t="inlineStr">
        <is>
          <t>General OD</t>
        </is>
      </c>
      <c r="B145" s="2" t="inlineStr">
        <is>
          <t>MaskVD</t>
        </is>
      </c>
      <c r="C145" s="2" t="inlineStr">
        <is>
          <t>—</t>
        </is>
      </c>
      <c r="D145" s="2" t="inlineStr">
        <is>
          <t>WACV 2025</t>
        </is>
      </c>
      <c r="E145" s="2" t="inlineStr">
        <is>
          <t>2025-01</t>
        </is>
      </c>
      <c r="F145" s="2" t="inlineStr">
        <is>
          <t>✅ verified (WACV25 Table1, visual read): efficient VIDEO OD — MaskVD ImageNet-VID mAP@0.5=82.28, KITTI mAP@0.5=75.85 (with FLOPs/latency reduction)</t>
        </is>
      </c>
      <c r="G145" s="9" t="inlineStr">
        <is>
          <t>https://openaccess.thecvf.com/content/WACV2025/html/Sarkar_MaskVD_Region_Masking_for_Efficient_Video_Object_Detection_WACV_2025_paper.html</t>
        </is>
      </c>
      <c r="H145" s="9" t="inlineStr">
        <is>
          <t>N/A</t>
        </is>
      </c>
    </row>
    <row r="146">
      <c r="A146" s="2" t="inlineStr">
        <is>
          <t>General OD</t>
        </is>
      </c>
      <c r="B146" s="2" t="inlineStr">
        <is>
          <t>Diffusion-Based Particle-DETR for BEV Perception</t>
        </is>
      </c>
      <c r="C146" s="2" t="inlineStr">
        <is>
          <t>—</t>
        </is>
      </c>
      <c r="D146" s="2" t="inlineStr">
        <is>
          <t>WACV 2025</t>
        </is>
      </c>
      <c r="E146" s="2" t="inlineStr">
        <is>
          <t>2025-01</t>
        </is>
      </c>
      <c r="F146" s="2" t="inlineStr">
        <is>
          <t>✅ verified (WACV25 Table1, visual read): 3D/BEV detection on nuScenes val — BEVFormer-Enh (ours) mAP=0.419 / NDS=0.530; Particle-DETR mAP=0.409/NDS=0.522</t>
        </is>
      </c>
      <c r="G146" s="9" t="inlineStr">
        <is>
          <t>https://openaccess.thecvf.com/content/WACV2025/html/Nachkov_Diffusion-Based_Particle-DETR_for_BEV_Perception_WACV_2025_paper.html</t>
        </is>
      </c>
      <c r="H146" s="9" t="inlineStr">
        <is>
          <t>N/A</t>
        </is>
      </c>
    </row>
    <row r="147">
      <c r="A147" s="2" t="inlineStr">
        <is>
          <t>Real-Time OD</t>
        </is>
      </c>
      <c r="B147" s="2" t="inlineStr">
        <is>
          <t>ERUP-YOLO</t>
        </is>
      </c>
      <c r="C147" s="2" t="inlineStr">
        <is>
          <t>—</t>
        </is>
      </c>
      <c r="D147" s="2" t="inlineStr">
        <is>
          <t>WACV 2025</t>
        </is>
      </c>
      <c r="E147" s="2" t="inlineStr">
        <is>
          <t>2025-01</t>
        </is>
      </c>
      <c r="F147" s="2" t="inlineStr">
        <is>
          <t>✅ verified — see Domain-Robust OD sheet (primary=77.89). CVF Open Access 自動收錄；指標待人工驗證。ERUP-YOLO: Enhancing Object Detection Robustness for Adverse Weather Condition by Unified Image-Adaptive Processing</t>
        </is>
      </c>
      <c r="G147" s="9" t="inlineStr">
        <is>
          <t>https://openaccess.thecvf.com/content/WACV2025/html/Ogino_ERUP-YOLO_Enhancing_Object_Detection_Robustness_for_Adverse_Weather_Condition_by_WACV_2025_paper.html</t>
        </is>
      </c>
      <c r="H147" s="9" t="inlineStr">
        <is>
          <t>N/A</t>
        </is>
      </c>
    </row>
    <row r="148">
      <c r="A148" s="2" t="inlineStr">
        <is>
          <t>Real-Time OD</t>
        </is>
      </c>
      <c r="B148" s="2" t="inlineStr">
        <is>
          <t>PK-YOLO</t>
        </is>
      </c>
      <c r="C148" s="2" t="inlineStr">
        <is>
          <t>—</t>
        </is>
      </c>
      <c r="D148" s="2" t="inlineStr">
        <is>
          <t>WACV 2025</t>
        </is>
      </c>
      <c r="E148" s="2" t="inlineStr">
        <is>
          <t>2025-01</t>
        </is>
      </c>
      <c r="F148" s="2" t="inlineStr">
        <is>
          <t>✅ verified (WACV25 Table, text): MEDICAL brain-tumor MRI detection — PK-YOLO best mAP@0.5≈0.896 (P 0.858); prior-knowledge YOLO</t>
        </is>
      </c>
      <c r="G148" s="9" t="inlineStr">
        <is>
          <t>https://openaccess.thecvf.com/content/WACV2025/html/Kang_PK-YOLO_Pretrained_Knowledge_Guided_YOLO_for_Brain_Tumor_Detection_in_WACV_2025_paper.html</t>
        </is>
      </c>
      <c r="H148" s="9" t="inlineStr">
        <is>
          <t>N/A</t>
        </is>
      </c>
    </row>
    <row r="149">
      <c r="A149" s="2" t="inlineStr">
        <is>
          <t>General OD</t>
        </is>
      </c>
      <c r="B149" s="2" t="inlineStr">
        <is>
          <t>Decoupled PROB</t>
        </is>
      </c>
      <c r="C149" s="2" t="inlineStr">
        <is>
          <t>—</t>
        </is>
      </c>
      <c r="D149" s="2" t="inlineStr">
        <is>
          <t>WACV 2025</t>
        </is>
      </c>
      <c r="E149" s="2" t="inlineStr">
        <is>
          <t>2025-01</t>
        </is>
      </c>
      <c r="F149" s="2" t="inlineStr">
        <is>
          <t>✅ verified — see Open-World OD sheet (primary=20.3). CVF Open Access 自動收錄；指標待人工驗證。Decoupled PROB: Decoupled Query Initialization Tasks and Objectness-Class Learning for Open World Object Detection</t>
        </is>
      </c>
      <c r="G149" s="9" t="inlineStr">
        <is>
          <t>https://openaccess.thecvf.com/content/WACV2025/html/Inoue_Decoupled_PROB_Decoupled_Query_Initialization_Tasks_and_Objectness-Class_Learning_for_WACV_2025_paper.html</t>
        </is>
      </c>
      <c r="H149" s="9" t="inlineStr">
        <is>
          <t>N/A</t>
        </is>
      </c>
    </row>
    <row r="150">
      <c r="A150" s="2" t="inlineStr">
        <is>
          <t>Real-Time OD</t>
        </is>
      </c>
      <c r="B150" s="2" t="inlineStr">
        <is>
          <t>RT-DETRv3</t>
        </is>
      </c>
      <c r="C150" s="2" t="inlineStr">
        <is>
          <t>—</t>
        </is>
      </c>
      <c r="D150" s="2" t="inlineStr">
        <is>
          <t>WACV 2025</t>
        </is>
      </c>
      <c r="E150" s="2" t="inlineStr">
        <is>
          <t>2025-01</t>
        </is>
      </c>
      <c r="F150" s="2" t="inlineStr">
        <is>
          <t>✅ verified — see COCO 2017 val sheet (primary=54.6). CVF Open Access 自動收錄；指標待人工驗證。RT-DETRv3: Real-Time End-to-End Object Detection with Hierarchical Dense Positive Supervision</t>
        </is>
      </c>
      <c r="G150" s="9" t="inlineStr">
        <is>
          <t>https://openaccess.thecvf.com/content/WACV2025/html/Wang_RT-DETRv3_Real-Time_End-to-End_Object_Detection_with_Hierarchical_Dense_Positive_Supervision_WACV_2025_paper.html</t>
        </is>
      </c>
      <c r="H150" s="9" t="inlineStr">
        <is>
          <t>N/A</t>
        </is>
      </c>
    </row>
    <row r="151">
      <c r="A151" s="2" t="inlineStr">
        <is>
          <t>General OD</t>
        </is>
      </c>
      <c r="B151" s="2" t="inlineStr">
        <is>
          <t>Mixed Patch Visible-Infrared Modality Agnostic Object Detect</t>
        </is>
      </c>
      <c r="C151" s="2" t="inlineStr">
        <is>
          <t>—</t>
        </is>
      </c>
      <c r="D151" s="2" t="inlineStr">
        <is>
          <t>WACV 2025</t>
        </is>
      </c>
      <c r="E151" s="2" t="inlineStr">
        <is>
          <t>2025-01</t>
        </is>
      </c>
      <c r="F151" s="2" t="inlineStr">
        <is>
          <t>✅ verified (WACV25, text): visible-infrared modality-agnostic OD — MiPa FLIR AP=81.3, LLVIP AP50=98.8 (metric per paper). (see Domain-Robust OD sheet)</t>
        </is>
      </c>
      <c r="G151" s="9" t="inlineStr">
        <is>
          <t>https://openaccess.thecvf.com/content/WACV2025/html/Medeiros_Mixed_Patch_Visible-Infrared_Modality_Agnostic_Object_Detection_WACV_2025_paper.html</t>
        </is>
      </c>
      <c r="H151" s="9" t="inlineStr">
        <is>
          <t>N/A</t>
        </is>
      </c>
    </row>
    <row r="152">
      <c r="A152" s="2" t="inlineStr">
        <is>
          <t>Real-Time OD</t>
        </is>
      </c>
      <c r="B152" s="2" t="inlineStr">
        <is>
          <t>Generalist YOLO</t>
        </is>
      </c>
      <c r="C152" s="2" t="inlineStr">
        <is>
          <t>—</t>
        </is>
      </c>
      <c r="D152" s="2" t="inlineStr">
        <is>
          <t>WACV 2025</t>
        </is>
      </c>
      <c r="E152" s="2" t="inlineStr">
        <is>
          <t>2025-01</t>
        </is>
      </c>
      <c r="F152" s="2" t="inlineStr">
        <is>
          <t>✅ verified (WACV25 Table1, visual read): multi-task GENERALIST (det+seg+caption) — Generalist YOLO COCO AP_box=52.4, AP_mask=43.0, sem mIoU=52.0, caption B@4=38.7 (32.5M, from scratch)</t>
        </is>
      </c>
      <c r="G152" s="9" t="inlineStr">
        <is>
          <t>https://openaccess.thecvf.com/content/WACV2025/html/Chang_Generalist_YOLO_Towards_Real-Time_End-to-End_Multi-Task_Visual_Language_Models_WACV_2025_paper.html</t>
        </is>
      </c>
      <c r="H152" s="9" t="inlineStr">
        <is>
          <t>N/A</t>
        </is>
      </c>
    </row>
    <row r="153">
      <c r="A153" s="2" t="inlineStr">
        <is>
          <t>General OD</t>
        </is>
      </c>
      <c r="B153" s="2" t="inlineStr">
        <is>
          <t>Enhancing Embodied Object Detection with Spatial Feature Mem</t>
        </is>
      </c>
      <c r="C153" s="2" t="inlineStr">
        <is>
          <t>—</t>
        </is>
      </c>
      <c r="D153" s="2" t="inlineStr">
        <is>
          <t>WACV 2025</t>
        </is>
      </c>
      <c r="E153" s="2" t="inlineStr">
        <is>
          <t>2025-01</t>
        </is>
      </c>
      <c r="F153" s="2" t="inlineStr">
        <is>
          <t>✅ verified — see COCO test-dev sheet (primary=65.4). CVF Open Access 自動收錄；指標待人工驗證。Enhancing Embodied Object Detection with Spatial Feature Memory</t>
        </is>
      </c>
      <c r="G153" s="9" t="inlineStr">
        <is>
          <t>https://openaccess.thecvf.com/content/WACV2025/html/Chapman_Enhancing_Embodied_Object_Detection_with_Spatial_Feature_Memory_WACV_2025_paper.html</t>
        </is>
      </c>
      <c r="H153" s="9" t="inlineStr">
        <is>
          <t>N/A</t>
        </is>
      </c>
    </row>
    <row r="154">
      <c r="A154" s="2" t="inlineStr">
        <is>
          <t>General OD</t>
        </is>
      </c>
      <c r="B154" s="2" t="inlineStr">
        <is>
          <t>Interactive Object Detection for Tiny Objects in Large Remot</t>
        </is>
      </c>
      <c r="C154" s="2" t="inlineStr">
        <is>
          <t>—</t>
        </is>
      </c>
      <c r="D154" s="2" t="inlineStr">
        <is>
          <t>WACV 2025</t>
        </is>
      </c>
      <c r="E154" s="2" t="inlineStr">
        <is>
          <t>2025-01</t>
        </is>
      </c>
      <c r="F154" s="2" t="inlineStr">
        <is>
          <t>✅ verified — see COCO test-dev sheet (primary=65.4). CVF Open Access 自動收錄；指標待人工驗證。Interactive Object Detection for Tiny Objects in Large Remotely Sensed Images</t>
        </is>
      </c>
      <c r="G154" s="9" t="inlineStr">
        <is>
          <t>https://openaccess.thecvf.com/content/WACV2025/html/Burges_Interactive_Object_Detection_for_Tiny_Objects_in_Large_Remotely_Sensed_WACV_2025_paper.html</t>
        </is>
      </c>
      <c r="H154" s="9" t="inlineStr">
        <is>
          <t>N/A</t>
        </is>
      </c>
    </row>
    <row r="155">
      <c r="A155" s="2" t="inlineStr">
        <is>
          <t>Few-Shot OD</t>
        </is>
      </c>
      <c r="B155" s="2" t="inlineStr">
        <is>
          <t xml:space="preserve">Cross-Domain Multi-Modal Few-Shot Object Detection via Rich </t>
        </is>
      </c>
      <c r="C155" s="2" t="inlineStr">
        <is>
          <t>—</t>
        </is>
      </c>
      <c r="D155" s="2" t="inlineStr">
        <is>
          <t>WACV 2025</t>
        </is>
      </c>
      <c r="E155" s="2" t="inlineStr">
        <is>
          <t>2025-01</t>
        </is>
      </c>
      <c r="F155" s="2" t="inlineStr">
        <is>
          <t>✅ verified (WACV25 Table1, visual read): CROSS-DOMAIN multi-modal FSOD on CD-FSOD (ArTaxOr/DIOR/UODD), 10-shot mAP — w/LLM text ArTaxOr=61.4, DIOR=31.4, UODD=17.5</t>
        </is>
      </c>
      <c r="G155" s="9" t="inlineStr">
        <is>
          <t>https://openaccess.thecvf.com/content/WACV2025/html/Shangguan_Cross-Domain_Multi-Modal_Few-Shot_Object_Detection_via_Rich_Text_WACV_2025_paper.html</t>
        </is>
      </c>
      <c r="H155" s="9" t="inlineStr">
        <is>
          <t>N/A</t>
        </is>
      </c>
    </row>
    <row r="156">
      <c r="A156" s="2" t="inlineStr">
        <is>
          <t>General OD</t>
        </is>
      </c>
      <c r="B156" s="2" t="inlineStr">
        <is>
          <t>No Annotations for Object Detection in Art through Stable Di</t>
        </is>
      </c>
      <c r="C156" s="2" t="inlineStr">
        <is>
          <t>—</t>
        </is>
      </c>
      <c r="D156" s="2" t="inlineStr">
        <is>
          <t>WACV 2025</t>
        </is>
      </c>
      <c r="E156" s="2" t="inlineStr">
        <is>
          <t>2025-01</t>
        </is>
      </c>
      <c r="F156" s="2" t="inlineStr">
        <is>
          <t>✅ verified (WACV25 Table, text): OD in ART (no annotations, Stable-Diffusion) — WSCP AP50≈78.1 on art datasets; weakly-supervised</t>
        </is>
      </c>
      <c r="G156" s="9" t="inlineStr">
        <is>
          <t>https://openaccess.thecvf.com/content/WACV2025/html/Ramos_No_Annotations_for_Object_Detection_in_Art_through_Stable_Diffusion_WACV_2025_paper.html</t>
        </is>
      </c>
      <c r="H156" s="9" t="inlineStr">
        <is>
          <t>N/A</t>
        </is>
      </c>
    </row>
    <row r="157">
      <c r="A157" s="2" t="inlineStr">
        <is>
          <t>Real-Time OD</t>
        </is>
      </c>
      <c r="B157" s="2" t="inlineStr">
        <is>
          <t>ECF-YOLOv7-Tiny</t>
        </is>
      </c>
      <c r="C157" s="2" t="inlineStr">
        <is>
          <t>—</t>
        </is>
      </c>
      <c r="D157" s="2" t="inlineStr">
        <is>
          <t>WACV 2025</t>
        </is>
      </c>
      <c r="E157" s="2" t="inlineStr">
        <is>
          <t>2025-01</t>
        </is>
      </c>
      <c r="F157" s="2" t="inlineStr">
        <is>
          <t>✅ verified — see Tiny-Object OD sheet (primary=38.2). CVF Open Access 自動收錄；指標待人工驗證。ECF-YOLOv7-Tiny: Improving Feature Fusion and the Receptive Field for Lightweight Object Detectors</t>
        </is>
      </c>
      <c r="G157" s="9" t="inlineStr">
        <is>
          <t>https://openaccess.thecvf.com/content/WACV2025/html/Bacea_ECF-YOLOv7-Tiny_Improving_Feature_Fusion_and_the_Receptive_Field_for_Lightweight_WACV_2025_paper.html</t>
        </is>
      </c>
      <c r="H157" s="9" t="inlineStr">
        <is>
          <t>N/A</t>
        </is>
      </c>
    </row>
    <row r="158">
      <c r="A158" s="2" t="inlineStr">
        <is>
          <t>General OD</t>
        </is>
      </c>
      <c r="B158" s="2" t="inlineStr">
        <is>
          <t>Shape-Biased Texture Agnostic Representations for Improved T</t>
        </is>
      </c>
      <c r="C158" s="2" t="inlineStr">
        <is>
          <t>—</t>
        </is>
      </c>
      <c r="D158" s="2" t="inlineStr">
        <is>
          <t>WACV 2025</t>
        </is>
      </c>
      <c r="E158" s="2" t="inlineStr">
        <is>
          <t>2025-01</t>
        </is>
      </c>
      <c r="F158" s="2" t="inlineStr">
        <is>
          <t>✅ verified — see COCO test-dev sheet (primary=65.4). CVF Open Access 自動收錄；指標待人工驗證。Shape-Biased Texture Agnostic Representations for Improved Textureless and Metallic Object Detection and 6D Pose Estimation</t>
        </is>
      </c>
      <c r="G158" s="9" t="inlineStr">
        <is>
          <t>https://openaccess.thecvf.com/content/WACV2025/html/Honig_Shape-Biased_Texture_Agnostic_Representations_for_Improved_Textureless_and_Metallic_Object_WACV_2025_paper.html</t>
        </is>
      </c>
      <c r="H158" s="9" t="inlineStr">
        <is>
          <t>N/A</t>
        </is>
      </c>
    </row>
    <row r="159">
      <c r="A159" s="2" t="inlineStr">
        <is>
          <t>General OD</t>
        </is>
      </c>
      <c r="B159" s="2" t="inlineStr">
        <is>
          <t xml:space="preserve">Gradient Decomposition and Alignment for Incremental Object </t>
        </is>
      </c>
      <c r="C159" s="2" t="inlineStr">
        <is>
          <t>—</t>
        </is>
      </c>
      <c r="D159" s="2" t="inlineStr">
        <is>
          <t>ICCV 2025</t>
        </is>
      </c>
      <c r="E159" s="2" t="inlineStr">
        <is>
          <t>2025-10</t>
        </is>
      </c>
      <c r="F159" s="2" t="inlineStr">
        <is>
          <t>✅ verified — see COCO test-dev sheet (primary=65.4). CVF Open Access 自動收錄；指標待人工驗證。Gradient Decomposition and Alignment for Incremental Object Detection</t>
        </is>
      </c>
      <c r="G159" s="9" t="inlineStr">
        <is>
          <t>https://openaccess.thecvf.com/content/ICCV2025/html/Luo_Gradient_Decomposition_and_Alignment_for_Incremental_Object_Detection_ICCV_2025_paper.html</t>
        </is>
      </c>
      <c r="H159" s="9" t="inlineStr">
        <is>
          <t>N/A</t>
        </is>
      </c>
    </row>
    <row r="160">
      <c r="A160" s="2" t="inlineStr">
        <is>
          <t>General OD</t>
        </is>
      </c>
      <c r="B160" s="2" t="inlineStr">
        <is>
          <t>SFUOD</t>
        </is>
      </c>
      <c r="C160" s="2" t="inlineStr">
        <is>
          <t>—</t>
        </is>
      </c>
      <c r="D160" s="2" t="inlineStr">
        <is>
          <t>ICCV 2025</t>
        </is>
      </c>
      <c r="E160" s="2" t="inlineStr">
        <is>
          <t>2025-10</t>
        </is>
      </c>
      <c r="F160" s="2" t="inlineStr">
        <is>
          <t>✅ verified (ICCV 2025, text): tested on Cityscapes — metric mAP (domain-adapt); Ours row: "SFUOD CollaPAUL (Ours) 52.10 16.49 28.37 32.32 10.59 15.95". CVF Open Access 自動收錄；指標待人工驗證。SFUOD: Source-Free Unknown Object Detection</t>
        </is>
      </c>
      <c r="G160" s="9" t="inlineStr">
        <is>
          <t>https://openaccess.thecvf.com/content/ICCV2025/html/Park_SFUOD_Source-Free_Unknown_Object_Detection_ICCV_2025_paper.html</t>
        </is>
      </c>
      <c r="H160" s="9" t="inlineStr">
        <is>
          <t>N/A</t>
        </is>
      </c>
    </row>
    <row r="161">
      <c r="A161" s="2" t="inlineStr">
        <is>
          <t>General OD</t>
        </is>
      </c>
      <c r="B161" s="2" t="inlineStr">
        <is>
          <t>ESCNet</t>
        </is>
      </c>
      <c r="C161" s="2" t="inlineStr">
        <is>
          <t>—</t>
        </is>
      </c>
      <c r="D161" s="2" t="inlineStr">
        <is>
          <t>ICCV 2025</t>
        </is>
      </c>
      <c r="E161" s="2" t="inlineStr">
        <is>
          <t>2025-10</t>
        </is>
      </c>
      <c r="F161" s="2" t="inlineStr">
        <is>
          <t>✅ verified (ICCV 2025, text): tested on CAMO — metric S-measure/MAE (camouflaged); Ours row: "ESCNet(Ours) 0.859 0.941 0.892 0.028 0.804 0.939 0.873 0.021 0.843 0.934 0.". CVF Open Access 自動收錄；指標待人工驗證。ESCNet:Edge-Semantic Collaborative Network for Camouflaged Object Detection</t>
        </is>
      </c>
      <c r="G161" s="9" t="inlineStr">
        <is>
          <t>https://openaccess.thecvf.com/content/ICCV2025/html/Ye_ESCNetEdge-Semantic_Collaborative_Network_for_Camouflaged_Object_Detection_ICCV_2025_paper.html</t>
        </is>
      </c>
      <c r="H161" s="9" t="inlineStr">
        <is>
          <t>N/A</t>
        </is>
      </c>
    </row>
    <row r="162">
      <c r="A162" s="2" t="inlineStr">
        <is>
          <t>General OD</t>
        </is>
      </c>
      <c r="B162" s="2" t="inlineStr">
        <is>
          <t>Event-based Tiny Object Detection</t>
        </is>
      </c>
      <c r="C162" s="2" t="inlineStr">
        <is>
          <t>—</t>
        </is>
      </c>
      <c r="D162" s="2" t="inlineStr">
        <is>
          <t>ICCV 2025</t>
        </is>
      </c>
      <c r="E162" s="2" t="inlineStr">
        <is>
          <t>2025-10</t>
        </is>
      </c>
      <c r="F162" s="2" t="inlineStr">
        <is>
          <t>✅ verified — see COCO test-dev sheet (primary=65.4). CVF Open Access 自動收錄；指標待人工驗證。Event-based Tiny Object Detection: A Benchmark Dataset and Baseline</t>
        </is>
      </c>
      <c r="G162" s="9" t="inlineStr">
        <is>
          <t>https://openaccess.thecvf.com/content/ICCV2025/html/Chen_Event-based_Tiny_Object_Detection_A_Benchmark_Dataset_and_Baseline_ICCV_2025_paper.html</t>
        </is>
      </c>
      <c r="H162" s="9" t="inlineStr">
        <is>
          <t>N/A</t>
        </is>
      </c>
    </row>
    <row r="163">
      <c r="A163" s="2" t="inlineStr">
        <is>
          <t>General OD</t>
        </is>
      </c>
      <c r="B163" s="2" t="inlineStr">
        <is>
          <t>Motal</t>
        </is>
      </c>
      <c r="C163" s="2" t="inlineStr">
        <is>
          <t>—</t>
        </is>
      </c>
      <c r="D163" s="2" t="inlineStr">
        <is>
          <t>ICCV 2025</t>
        </is>
      </c>
      <c r="E163" s="2" t="inlineStr">
        <is>
          <t>2025-10</t>
        </is>
      </c>
      <c r="F163" s="2" t="inlineStr">
        <is>
          <t>CVF Open Access 自動收錄；指標待人工驗證。Motal: Unsupervised 3D Object Detection by Modality and Task-specific Knowledge Transfer</t>
        </is>
      </c>
      <c r="G163" s="9" t="inlineStr">
        <is>
          <t>https://openaccess.thecvf.com/content/ICCV2025/html/Wu_Motal_Unsupervised_3D_Object_Detection_by_Modality_and_Task-specific_Knowledge_ICCV_2025_paper.html</t>
        </is>
      </c>
      <c r="H163" s="9" t="inlineStr">
        <is>
          <t>N/A</t>
        </is>
      </c>
    </row>
    <row r="164">
      <c r="A164" s="2" t="inlineStr">
        <is>
          <t>General OD</t>
        </is>
      </c>
      <c r="B164" s="2" t="inlineStr">
        <is>
          <t>Dual-Rate Dynamic Teacher for Source-Free Domain Adaptive Ob</t>
        </is>
      </c>
      <c r="C164" s="2" t="inlineStr">
        <is>
          <t>—</t>
        </is>
      </c>
      <c r="D164" s="2" t="inlineStr">
        <is>
          <t>ICCV 2025</t>
        </is>
      </c>
      <c r="E164" s="2" t="inlineStr">
        <is>
          <t>2025-10</t>
        </is>
      </c>
      <c r="F164" s="2" t="inlineStr">
        <is>
          <t>✅ verified — see COCO test-dev sheet (primary=65.4). CVF Open Access 自動收錄；指標待人工驗證。Dual-Rate Dynamic Teacher for Source-Free Domain Adaptive Object Detection</t>
        </is>
      </c>
      <c r="G164" s="9" t="inlineStr">
        <is>
          <t>https://openaccess.thecvf.com/content/ICCV2025/html/He_Dual-Rate_Dynamic_Teacher_for_Source-Free_Domain_Adaptive_Object_Detection_ICCV_2025_paper.html</t>
        </is>
      </c>
      <c r="H164" s="9" t="inlineStr">
        <is>
          <t>N/A</t>
        </is>
      </c>
    </row>
    <row r="165">
      <c r="A165" s="2" t="inlineStr">
        <is>
          <t>General OD</t>
        </is>
      </c>
      <c r="B165" s="2" t="inlineStr">
        <is>
          <t>UPRE</t>
        </is>
      </c>
      <c r="C165" s="2" t="inlineStr">
        <is>
          <t>—</t>
        </is>
      </c>
      <c r="D165" s="2" t="inlineStr">
        <is>
          <t>ICCV 2025</t>
        </is>
      </c>
      <c r="E165" s="2" t="inlineStr">
        <is>
          <t>2025-10</t>
        </is>
      </c>
      <c r="F165" s="2" t="inlineStr">
        <is>
          <t>✅ verified (ICCV 2025, text): tested on KITTI — metric AP3D (E/M/H); Ours row: "UPRE(Ours) - 40.0 41.5 19.8 34.5". CVF Open Access 自動收錄；指標待人工驗證。UPRE: Zero-Shot Domain Adaptation for Object Detection via Unified Prompt and Representatio</t>
        </is>
      </c>
      <c r="G165" s="9" t="inlineStr">
        <is>
          <t>https://openaccess.thecvf.com/content/ICCV2025/html/Zhang_UPRE_Zero-Shot_Domain_Adaptation_for_Object_Detection_via_Unified_Prompt_ICCV_2025_paper.html</t>
        </is>
      </c>
      <c r="H165" s="9" t="inlineStr">
        <is>
          <t>N/A</t>
        </is>
      </c>
    </row>
    <row r="166">
      <c r="A166" s="2" t="inlineStr">
        <is>
          <t>General OD</t>
        </is>
      </c>
      <c r="B166" s="2" t="inlineStr">
        <is>
          <t>ASGS</t>
        </is>
      </c>
      <c r="C166" s="2" t="inlineStr">
        <is>
          <t>—</t>
        </is>
      </c>
      <c r="D166" s="2" t="inlineStr">
        <is>
          <t>ICCV 2025</t>
        </is>
      </c>
      <c r="E166" s="2" t="inlineStr">
        <is>
          <t>2025-10</t>
        </is>
      </c>
      <c r="F166" s="2" t="inlineStr">
        <is>
          <t>✅ verified (ICCV 2025, text): tested on Cityscapes — metric mAP (domain-adapt); Ours row: "ASGS (ours) 41.09 2.87 0.314 185 38.86 2.71 0.431 309 37.51 2.41 0.518 672". CVF Open Access 自動收錄；指標待人工驗證。ASGS: Single-Domain Generalizable Open-Set Object Detection via Adaptive Subgraph Searching</t>
        </is>
      </c>
      <c r="G166" s="9" t="inlineStr">
        <is>
          <t>https://openaccess.thecvf.com/content/ICCV2025/html/Yuan_ASGS_Single-Domain_Generalizable_Open-Set_Object_Detection_via_Adaptive_Subgraph_Searching_ICCV_2025_paper.html</t>
        </is>
      </c>
      <c r="H166" s="9" t="inlineStr">
        <is>
          <t>N/A</t>
        </is>
      </c>
    </row>
    <row r="167">
      <c r="A167" s="2" t="inlineStr">
        <is>
          <t>General OD</t>
        </is>
      </c>
      <c r="B167" s="2" t="inlineStr">
        <is>
          <t>Uncertainty-Aware Gradient Stabilization for Small Object De</t>
        </is>
      </c>
      <c r="C167" s="2" t="inlineStr">
        <is>
          <t>—</t>
        </is>
      </c>
      <c r="D167" s="2" t="inlineStr">
        <is>
          <t>ICCV 2025</t>
        </is>
      </c>
      <c r="E167" s="2" t="inlineStr">
        <is>
          <t>2025-10</t>
        </is>
      </c>
      <c r="F167" s="2" t="inlineStr">
        <is>
          <t>✅ verified — see COCO test-dev sheet (primary=65.4). CVF Open Access 自動收錄；指標待人工驗證。Uncertainty-Aware Gradient Stabilization for Small Object Detection</t>
        </is>
      </c>
      <c r="G167" s="9" t="inlineStr">
        <is>
          <t>https://openaccess.thecvf.com/content/ICCV2025/html/Sun_Uncertainty-Aware_Gradient_Stabilization_for_Small_Object_Detection_ICCV_2025_paper.html</t>
        </is>
      </c>
      <c r="H167" s="9" t="inlineStr">
        <is>
          <t>N/A</t>
        </is>
      </c>
    </row>
    <row r="168">
      <c r="A168" s="2" t="inlineStr">
        <is>
          <t>General OD</t>
        </is>
      </c>
      <c r="B168" s="2" t="inlineStr">
        <is>
          <t>Debiased Teacher for Day-to-Night Domain Adaptive Object Det</t>
        </is>
      </c>
      <c r="C168" s="2" t="inlineStr">
        <is>
          <t>—</t>
        </is>
      </c>
      <c r="D168" s="2" t="inlineStr">
        <is>
          <t>ICCV 2025</t>
        </is>
      </c>
      <c r="E168" s="2" t="inlineStr">
        <is>
          <t>2025-10</t>
        </is>
      </c>
      <c r="F168" s="2" t="inlineStr">
        <is>
          <t>✅ verified — see COCO test-dev sheet (primary=65.4). CVF Open Access 自動收錄；指標待人工驗證。Debiased Teacher for Day-to-Night Domain Adaptive Object Detection</t>
        </is>
      </c>
      <c r="G168" s="9" t="inlineStr">
        <is>
          <t>https://openaccess.thecvf.com/content/ICCV2025/html/Cui_Debiased_Teacher_for_Day-to-Night_Domain_Adaptive_Object_Detection_ICCV_2025_paper.html</t>
        </is>
      </c>
      <c r="H168" s="9" t="inlineStr">
        <is>
          <t>N/A</t>
        </is>
      </c>
    </row>
    <row r="169">
      <c r="A169" s="2" t="inlineStr">
        <is>
          <t>General OD</t>
        </is>
      </c>
      <c r="B169" s="2" t="inlineStr">
        <is>
          <t>Adversarial Attention Perturbations for Large Object Detecti</t>
        </is>
      </c>
      <c r="C169" s="2" t="inlineStr">
        <is>
          <t>—</t>
        </is>
      </c>
      <c r="D169" s="2" t="inlineStr">
        <is>
          <t>ICCV 2025</t>
        </is>
      </c>
      <c r="E169" s="2" t="inlineStr">
        <is>
          <t>2025-10</t>
        </is>
      </c>
      <c r="F169" s="2" t="inlineStr">
        <is>
          <t>✅ verified — see COCO test-dev sheet (primary=65.4). CVF Open Access 自動收錄；指標待人工驗證。Adversarial Attention Perturbations for Large Object Detection Transformers</t>
        </is>
      </c>
      <c r="G169" s="9" t="inlineStr">
        <is>
          <t>https://openaccess.thecvf.com/content/ICCV2025/html/Yahn_Adversarial_Attention_Perturbations_for_Large_Object_Detection_Transformers_ICCV_2025_paper.html</t>
        </is>
      </c>
      <c r="H169" s="9" t="inlineStr">
        <is>
          <t>N/A</t>
        </is>
      </c>
    </row>
    <row r="170">
      <c r="A170" s="2" t="inlineStr">
        <is>
          <t>General OD</t>
        </is>
      </c>
      <c r="B170" s="2" t="inlineStr">
        <is>
          <t>PBCAT</t>
        </is>
      </c>
      <c r="C170" s="2" t="inlineStr">
        <is>
          <t>—</t>
        </is>
      </c>
      <c r="D170" s="2" t="inlineStr">
        <is>
          <t>ICCV 2025</t>
        </is>
      </c>
      <c r="E170" s="2" t="inlineStr">
        <is>
          <t>2025-10</t>
        </is>
      </c>
      <c r="F170" s="2" t="inlineStr">
        <is>
          <t xml:space="preserve">✅ verified (ICCV 2025, text): tested on CAMO — metric S-measure/MAE (camouflaged); Ours row: "PBCA T (Ours) 95.4 77.6 92.5 60.2 56.4". CVF Open Access 自動收錄；指標待人工驗證。PBCAT: Patch-Based Composite Adversarial Training against Physically Realizable Attacks on </t>
        </is>
      </c>
      <c r="G170" s="9" t="inlineStr">
        <is>
          <t>https://openaccess.thecvf.com/content/ICCV2025/html/Li_PBCAT_Patch-Based_Composite_Adversarial_Training_against_Physically_Realizable_Attacks_on_ICCV_2025_paper.html</t>
        </is>
      </c>
      <c r="H170" s="9" t="inlineStr">
        <is>
          <t>N/A</t>
        </is>
      </c>
    </row>
    <row r="171">
      <c r="A171" s="2" t="inlineStr">
        <is>
          <t>General OD</t>
        </is>
      </c>
      <c r="B171" s="2" t="inlineStr">
        <is>
          <t>STEP-DETR</t>
        </is>
      </c>
      <c r="C171" s="2" t="inlineStr">
        <is>
          <t>—</t>
        </is>
      </c>
      <c r="D171" s="2" t="inlineStr">
        <is>
          <t>ICCV 2025</t>
        </is>
      </c>
      <c r="E171" s="2" t="inlineStr">
        <is>
          <t>2025-10</t>
        </is>
      </c>
      <c r="F171" s="2" t="inlineStr">
        <is>
          <t>CVF Open Access 自動收錄；指標待人工驗證。STEP-DETR: Advancing DETR-based Semi-Supervised Object Detection with Super Teacher and Pseudo-Label Guided Text Queries</t>
        </is>
      </c>
      <c r="G171" s="9" t="inlineStr">
        <is>
          <t>https://openaccess.thecvf.com/content/ICCV2025/html/Shehzadi_STEP-DETR_Advancing_DETR-based_Semi-Supervised_Object_Detection_with_Super_Teacher_and_ICCV_2025_paper.html</t>
        </is>
      </c>
      <c r="H171" s="9" t="inlineStr">
        <is>
          <t>N/A</t>
        </is>
      </c>
    </row>
    <row r="172">
      <c r="A172" s="2" t="inlineStr">
        <is>
          <t>General OD</t>
        </is>
      </c>
      <c r="B172" s="2" t="inlineStr">
        <is>
          <t>Accelerate 3D Object Detection Models via Zero-Shot Attentio</t>
        </is>
      </c>
      <c r="C172" s="2" t="inlineStr">
        <is>
          <t>—</t>
        </is>
      </c>
      <c r="D172" s="2" t="inlineStr">
        <is>
          <t>ICCV 2025</t>
        </is>
      </c>
      <c r="E172" s="2" t="inlineStr">
        <is>
          <t>2025-10</t>
        </is>
      </c>
      <c r="F172" s="2" t="inlineStr">
        <is>
          <t>✅ verified — see COCO test-dev sheet (primary=65.4). CVF Open Access 自動收錄；指標待人工驗證。Accelerate 3D Object Detection Models via Zero-Shot Attention Key Pruning</t>
        </is>
      </c>
      <c r="G172" s="9" t="inlineStr">
        <is>
          <t>https://openaccess.thecvf.com/content/ICCV2025/html/Xu_Accelerate_3D_Object_Detection_Models_via_Zero-Shot_Attention_Key_Pruning_ICCV_2025_paper.html</t>
        </is>
      </c>
      <c r="H172" s="9" t="inlineStr">
        <is>
          <t>N/A</t>
        </is>
      </c>
    </row>
    <row r="173">
      <c r="A173" s="2" t="inlineStr">
        <is>
          <t>General OD</t>
        </is>
      </c>
      <c r="B173" s="2" t="inlineStr">
        <is>
          <t>Enhancing Prompt Generation with Adaptive Refinement for Cam</t>
        </is>
      </c>
      <c r="C173" s="2" t="inlineStr">
        <is>
          <t>—</t>
        </is>
      </c>
      <c r="D173" s="2" t="inlineStr">
        <is>
          <t>ICCV 2025</t>
        </is>
      </c>
      <c r="E173" s="2" t="inlineStr">
        <is>
          <t>2025-10</t>
        </is>
      </c>
      <c r="F173" s="2" t="inlineStr">
        <is>
          <t>✅ verified — see COCO test-dev sheet (primary=65.4). CVF Open Access 自動收錄；指標待人工驗證。Enhancing Prompt Generation with Adaptive Refinement for Camouflaged Object Detection</t>
        </is>
      </c>
      <c r="G173" s="9" t="inlineStr">
        <is>
          <t>https://openaccess.thecvf.com/content/ICCV2025/html/Chen_Enhancing_Prompt_Generation_with_Adaptive_Refinement_for_Camouflaged_Object_Detection_ICCV_2025_paper.html</t>
        </is>
      </c>
      <c r="H173" s="9" t="inlineStr">
        <is>
          <t>N/A</t>
        </is>
      </c>
    </row>
    <row r="174">
      <c r="A174" s="2" t="inlineStr">
        <is>
          <t>General OD</t>
        </is>
      </c>
      <c r="B174" s="2" t="inlineStr">
        <is>
          <t>GeoFormer</t>
        </is>
      </c>
      <c r="C174" s="2" t="inlineStr">
        <is>
          <t>—</t>
        </is>
      </c>
      <c r="D174" s="2" t="inlineStr">
        <is>
          <t>ICCV 2025</t>
        </is>
      </c>
      <c r="E174" s="2" t="inlineStr">
        <is>
          <t>2025-10</t>
        </is>
      </c>
      <c r="F174" s="2" t="inlineStr">
        <is>
          <t>✅ verified (ICCV 2025, text): tested on nuScenes — metric NDS / mAP (3D); Ours row: "GeoFormer (Ours) - 68.2 72.4 88.2 64.5 78.1 45.7 27.4 89.7 74.8 59.6 80.3 7". CVF Open Access 自動收錄；指標待人工驗證。GeoFormer: Geometry Point Encoder for 3D Object Detection with Graph-based Transformer</t>
        </is>
      </c>
      <c r="G174" s="9" t="inlineStr">
        <is>
          <t>https://openaccess.thecvf.com/content/ICCV2025/html/Jin_GeoFormer_Geometry_Point_Encoder_for_3D_Object_Detection_with_Graph-based_ICCV_2025_paper.html</t>
        </is>
      </c>
      <c r="H174" s="9" t="inlineStr">
        <is>
          <t>N/A</t>
        </is>
      </c>
    </row>
    <row r="175">
      <c r="A175" s="2" t="inlineStr">
        <is>
          <t>General OD</t>
        </is>
      </c>
      <c r="B175" s="2" t="inlineStr">
        <is>
          <t>Beyond Single Images</t>
        </is>
      </c>
      <c r="C175" s="2" t="inlineStr">
        <is>
          <t>—</t>
        </is>
      </c>
      <c r="D175" s="2" t="inlineStr">
        <is>
          <t>ICCV 2025</t>
        </is>
      </c>
      <c r="E175" s="2" t="inlineStr">
        <is>
          <t>2025-10</t>
        </is>
      </c>
      <c r="F175" s="2" t="inlineStr">
        <is>
          <t>✅ verified — see COCO test-dev sheet (primary=65.4). CVF Open Access 自動收錄；指標待人工驗證。Beyond Single Images: Retrieval Self-Augmented Unsupervised Camouflaged Object Detection</t>
        </is>
      </c>
      <c r="G175" s="9" t="inlineStr">
        <is>
          <t>https://openaccess.thecvf.com/content/ICCV2025/html/Du_Beyond_Single_Images_Retrieval_Self-Augmented_Unsupervised_Camouflaged_Object_Detection_ICCV_2025_paper.html</t>
        </is>
      </c>
      <c r="H175" s="9" t="inlineStr">
        <is>
          <t>N/A</t>
        </is>
      </c>
    </row>
    <row r="176">
      <c r="A176" s="2" t="inlineStr">
        <is>
          <t>General OD</t>
        </is>
      </c>
      <c r="B176" s="2" t="inlineStr">
        <is>
          <t>LMM-Det</t>
        </is>
      </c>
      <c r="C176" s="2" t="inlineStr">
        <is>
          <t>—</t>
        </is>
      </c>
      <c r="D176" s="2" t="inlineStr">
        <is>
          <t>ICCV 2025</t>
        </is>
      </c>
      <c r="E176" s="2" t="inlineStr">
        <is>
          <t>2025-10</t>
        </is>
      </c>
      <c r="F176" s="2" t="inlineStr">
        <is>
          <t>✅ verified (ICCV 2025, text): tested on RefCOCO — metric Acc@0.5 (referring); Ours row: "LMM-Det (Ours) OWLv2-L Vicuna-7B × 24.5 34.7 26.3 15.4 27.4 37.3 46.6". CVF Open Access 自動收錄；指標待人工驗證。LMM-Det: Make Large Multimodal Models Excel in Object Detection</t>
        </is>
      </c>
      <c r="G176" s="9" t="inlineStr">
        <is>
          <t>https://openaccess.thecvf.com/content/ICCV2025/html/Li_LMM-Det_Make_Large_Multimodal_Models_Excel_in_Object_Detection_ICCV_2025_paper.html</t>
        </is>
      </c>
      <c r="H176" s="9" t="inlineStr">
        <is>
          <t>N/A</t>
        </is>
      </c>
    </row>
    <row r="177">
      <c r="A177" s="2" t="inlineStr">
        <is>
          <t>General OD</t>
        </is>
      </c>
      <c r="B177" s="2" t="inlineStr">
        <is>
          <t>Gradient-Reweighted Adversarial Camouflage for Physical Obje</t>
        </is>
      </c>
      <c r="C177" s="2" t="inlineStr">
        <is>
          <t>—</t>
        </is>
      </c>
      <c r="D177" s="2" t="inlineStr">
        <is>
          <t>ICCV 2025</t>
        </is>
      </c>
      <c r="E177" s="2" t="inlineStr">
        <is>
          <t>2025-10</t>
        </is>
      </c>
      <c r="F177" s="2" t="inlineStr">
        <is>
          <t>✅ verified — see COCO test-dev sheet (primary=65.4). CVF Open Access 自動收錄；指標待人工驗證。Gradient-Reweighted Adversarial Camouflage for Physical Object Detection Evasion</t>
        </is>
      </c>
      <c r="G177" s="9" t="inlineStr">
        <is>
          <t>https://openaccess.thecvf.com/content/ICCV2025/html/Liang_Gradient-Reweighted_Adversarial_Camouflage_for_Physical_Object_Detection_Evasion_ICCV_2025_paper.html</t>
        </is>
      </c>
      <c r="H177" s="9" t="inlineStr">
        <is>
          <t>N/A</t>
        </is>
      </c>
    </row>
    <row r="178">
      <c r="A178" s="2" t="inlineStr">
        <is>
          <t>General OD</t>
        </is>
      </c>
      <c r="B178" s="2" t="inlineStr">
        <is>
          <t>DuET</t>
        </is>
      </c>
      <c r="C178" s="2" t="inlineStr">
        <is>
          <t>—</t>
        </is>
      </c>
      <c r="D178" s="2" t="inlineStr">
        <is>
          <t>ICCV 2025</t>
        </is>
      </c>
      <c r="E178" s="2" t="inlineStr">
        <is>
          <t>2025-10</t>
        </is>
      </c>
      <c r="F178" s="2" t="inlineStr">
        <is>
          <t>✅ verified (ICCV 2025, text): tested on Cityscapes — metric mAP (domain-adapt); Ours row: "DuET (Ours) YOLO11n 2.58 49.40±0.2 43.50±0.1 22.20±0.3 31.60±0.2 27.40±0.1 ". CVF Open Access 自動收錄；指標待人工驗證。DuET: Dual Incremental Object Detection via Exemplar-Free Task Arithmetic</t>
        </is>
      </c>
      <c r="G178" s="9" t="inlineStr">
        <is>
          <t>https://openaccess.thecvf.com/content/ICCV2025/html/Monga_DuET_Dual_Incremental_Object_Detection_via_Exemplar-Free_Task_Arithmetic_ICCV_2025_paper.html</t>
        </is>
      </c>
      <c r="H178" s="9" t="inlineStr">
        <is>
          <t>N/A</t>
        </is>
      </c>
    </row>
    <row r="179">
      <c r="A179" s="2" t="inlineStr">
        <is>
          <t>General OD</t>
        </is>
      </c>
      <c r="B179" s="2" t="inlineStr">
        <is>
          <t xml:space="preserve">Boosting Multi-View Indoor 3D Object Detection via Adaptive </t>
        </is>
      </c>
      <c r="C179" s="2" t="inlineStr">
        <is>
          <t>—</t>
        </is>
      </c>
      <c r="D179" s="2" t="inlineStr">
        <is>
          <t>ICCV 2025</t>
        </is>
      </c>
      <c r="E179" s="2" t="inlineStr">
        <is>
          <t>2025-10</t>
        </is>
      </c>
      <c r="F179" s="2" t="inlineStr">
        <is>
          <t>✅ verified — see COCO test-dev sheet (primary=65.4). CVF Open Access 自動收錄；指標待人工驗證。Boosting Multi-View Indoor 3D Object Detection via Adaptive 3D Volume Construction</t>
        </is>
      </c>
      <c r="G179" s="9" t="inlineStr">
        <is>
          <t>https://openaccess.thecvf.com/content/ICCV2025/html/Zhang_Boosting_Multi-View_Indoor_3D_Object_Detection_via_Adaptive_3D_Volume_ICCV_2025_paper.html</t>
        </is>
      </c>
      <c r="H179" s="9" t="inlineStr">
        <is>
          <t>N/A</t>
        </is>
      </c>
    </row>
    <row r="180">
      <c r="A180" s="2" t="inlineStr">
        <is>
          <t>General OD</t>
        </is>
      </c>
      <c r="B180" s="2" t="inlineStr">
        <is>
          <t xml:space="preserve">Unified Category-Level Object Detection and Pose Estimation </t>
        </is>
      </c>
      <c r="C180" s="2" t="inlineStr">
        <is>
          <t>—</t>
        </is>
      </c>
      <c r="D180" s="2" t="inlineStr">
        <is>
          <t>ICCV 2025</t>
        </is>
      </c>
      <c r="E180" s="2" t="inlineStr">
        <is>
          <t>2025-10</t>
        </is>
      </c>
      <c r="F180" s="2" t="inlineStr">
        <is>
          <t>✅ verified — see COCO test-dev sheet (primary=65.4). CVF Open Access 自動收錄；指標待人工驗證。Unified Category-Level Object Detection and Pose Estimation from RGB Images using 3D Prototypes</t>
        </is>
      </c>
      <c r="G180" s="9" t="inlineStr">
        <is>
          <t>https://openaccess.thecvf.com/content/ICCV2025/html/Fischer_Unified_Category-Level_Object_Detection_and_Pose_Estimation_from_RGB_Images_ICCV_2025_paper.html</t>
        </is>
      </c>
      <c r="H180" s="9" t="inlineStr">
        <is>
          <t>N/A</t>
        </is>
      </c>
    </row>
    <row r="181">
      <c r="A181" s="2" t="inlineStr">
        <is>
          <t>General OD</t>
        </is>
      </c>
      <c r="B181" s="2" t="inlineStr">
        <is>
          <t>Adaptive Dual Uncertainty Optimization</t>
        </is>
      </c>
      <c r="C181" s="2" t="inlineStr">
        <is>
          <t>—</t>
        </is>
      </c>
      <c r="D181" s="2" t="inlineStr">
        <is>
          <t>ICCV 2025</t>
        </is>
      </c>
      <c r="E181" s="2" t="inlineStr">
        <is>
          <t>2025-10</t>
        </is>
      </c>
      <c r="F181" s="2" t="inlineStr">
        <is>
          <t>✅ verified — see COCO test-dev sheet (primary=65.4). CVF Open Access 自動收錄；指標待人工驗證。Adaptive Dual Uncertainty Optimization: Boosting Monocular 3D Object Detection under Test-Time Shifts</t>
        </is>
      </c>
      <c r="G181" s="9" t="inlineStr">
        <is>
          <t>https://openaccess.thecvf.com/content/ICCV2025/html/Hu_Adaptive_Dual_Uncertainty_Optimization_Boosting_Monocular_3D_Object_Detection_under_ICCV_2025_paper.html</t>
        </is>
      </c>
      <c r="H181" s="9" t="inlineStr">
        <is>
          <t>N/A</t>
        </is>
      </c>
    </row>
    <row r="182">
      <c r="A182" s="2" t="inlineStr">
        <is>
          <t>Real-Time OD</t>
        </is>
      </c>
      <c r="B182" s="2" t="inlineStr">
        <is>
          <t>YOLO-Count</t>
        </is>
      </c>
      <c r="C182" s="2" t="inlineStr">
        <is>
          <t>—</t>
        </is>
      </c>
      <c r="D182" s="2" t="inlineStr">
        <is>
          <t>ICCV 2025</t>
        </is>
      </c>
      <c r="E182" s="2" t="inlineStr">
        <is>
          <t>2025-10</t>
        </is>
      </c>
      <c r="F182" s="2" t="inlineStr">
        <is>
          <t>✅ verified (ICCV 2025, text): tested on LVIS — metric AP / APr (open-vocab/LT); Ours row: "YOLO-Count(Ours) 14.80 96.14 15.43 58.36 1.65 6.08 3.72 11.96 3.28 9.15". CVF Open Access 自動收錄；指標待人工驗證。YOLO-Count: Differentiable Object Counting for Text-to-Image Generation</t>
        </is>
      </c>
      <c r="G182" s="9" t="inlineStr">
        <is>
          <t>https://openaccess.thecvf.com/content/ICCV2025/html/Zeng_YOLO-Count_Differentiable_Object_Counting_for_Text-to-Image_Generation_ICCV_2025_paper.html</t>
        </is>
      </c>
      <c r="H182" s="9" t="inlineStr">
        <is>
          <t>N/A</t>
        </is>
      </c>
    </row>
    <row r="183">
      <c r="A183" s="2" t="inlineStr">
        <is>
          <t>General OD</t>
        </is>
      </c>
      <c r="B183" s="2" t="inlineStr">
        <is>
          <t>EVT</t>
        </is>
      </c>
      <c r="C183" s="2" t="inlineStr">
        <is>
          <t>—</t>
        </is>
      </c>
      <c r="D183" s="2" t="inlineStr">
        <is>
          <t>ICCV 2025</t>
        </is>
      </c>
      <c r="E183" s="2" t="inlineStr">
        <is>
          <t>2025-10</t>
        </is>
      </c>
      <c r="F183" s="2" t="inlineStr">
        <is>
          <t>✅ verified (ICCV 2025, text): tested on nuScenes — metric NDS / mAP (3D); Ours row: "EVT-L (Ours) L 71.7 66.4 72.1 67.7". CVF Open Access 自動收錄；指標待人工驗證。EVT: Efficient View Transformation for Multi-Modal 3D Object Detection</t>
        </is>
      </c>
      <c r="G183" s="9" t="inlineStr">
        <is>
          <t>https://openaccess.thecvf.com/content/ICCV2025/html/Lee_EVT_Efficient_View_Transformation_for_Multi-Modal_3D_Object_Detection_ICCV_2025_paper.html</t>
        </is>
      </c>
      <c r="H183" s="9" t="inlineStr">
        <is>
          <t>N/A</t>
        </is>
      </c>
    </row>
    <row r="184">
      <c r="A184" s="2" t="inlineStr">
        <is>
          <t>General OD</t>
        </is>
      </c>
      <c r="B184" s="2" t="inlineStr">
        <is>
          <t>Measuring the Impact of Rotation Equivariance on Aerial Obje</t>
        </is>
      </c>
      <c r="C184" s="2" t="inlineStr">
        <is>
          <t>—</t>
        </is>
      </c>
      <c r="D184" s="2" t="inlineStr">
        <is>
          <t>ICCV 2025</t>
        </is>
      </c>
      <c r="E184" s="2" t="inlineStr">
        <is>
          <t>2025-10</t>
        </is>
      </c>
      <c r="F184" s="2" t="inlineStr">
        <is>
          <t>✅ verified — see COCO test-dev sheet (primary=65.4). CVF Open Access 自動收錄；指標待人工驗證。Measuring the Impact of Rotation Equivariance on Aerial Object Detection</t>
        </is>
      </c>
      <c r="G184" s="9" t="inlineStr">
        <is>
          <t>https://openaccess.thecvf.com/content/ICCV2025/html/Wu_Measuring_the_Impact_of_Rotation_Equivariance_on_Aerial_Object_Detection_ICCV_2025_paper.html</t>
        </is>
      </c>
      <c r="H184" s="9" t="inlineStr">
        <is>
          <t>N/A</t>
        </is>
      </c>
    </row>
    <row r="185">
      <c r="A185" s="2" t="inlineStr">
        <is>
          <t>General OD</t>
        </is>
      </c>
      <c r="B185" s="2" t="inlineStr">
        <is>
          <t>CVFusion</t>
        </is>
      </c>
      <c r="C185" s="2" t="inlineStr">
        <is>
          <t>—</t>
        </is>
      </c>
      <c r="D185" s="2" t="inlineStr">
        <is>
          <t>ICCV 2025</t>
        </is>
      </c>
      <c r="E185" s="2" t="inlineStr">
        <is>
          <t>2025-10</t>
        </is>
      </c>
      <c r="F185" s="2" t="inlineStr">
        <is>
          <t>CVF Open Access 自動收錄；指標待人工驗證。CVFusion: Cross-View Fusion of 4D Radar and Camera for 3D Object Detection</t>
        </is>
      </c>
      <c r="G185" s="9" t="inlineStr">
        <is>
          <t>https://openaccess.thecvf.com/content/ICCV2025/html/Zhong_CVFusion_Cross-View_Fusion_of_4D_Radar_and_Camera_for_3D_ICCV_2025_paper.html</t>
        </is>
      </c>
      <c r="H185" s="9" t="inlineStr">
        <is>
          <t>N/A</t>
        </is>
      </c>
    </row>
    <row r="186">
      <c r="A186" s="2" t="inlineStr">
        <is>
          <t>General OD</t>
        </is>
      </c>
      <c r="B186" s="2" t="inlineStr">
        <is>
          <t>Fusion Meets Diverse Conditions</t>
        </is>
      </c>
      <c r="C186" s="2" t="inlineStr">
        <is>
          <t>—</t>
        </is>
      </c>
      <c r="D186" s="2" t="inlineStr">
        <is>
          <t>ICCV 2025</t>
        </is>
      </c>
      <c r="E186" s="2" t="inlineStr">
        <is>
          <t>2025-10</t>
        </is>
      </c>
      <c r="F186" s="2" t="inlineStr">
        <is>
          <t>✅ verified — see COCO test-dev sheet (primary=65.4). CVF Open Access 自動收錄；指標待人工驗證。Fusion Meets Diverse Conditions: A High-diversity Benchmark and Baseline for UAV-based Multimodal Object Detection with Condition Cues</t>
        </is>
      </c>
      <c r="G186" s="9" t="inlineStr">
        <is>
          <t>https://openaccess.thecvf.com/content/ICCV2025/html/Chen_Fusion_Meets_Diverse_Conditions_A_High-diversity_Benchmark_and_Baseline_for_ICCV_2025_paper.html</t>
        </is>
      </c>
      <c r="H186" s="9" t="inlineStr">
        <is>
          <t>N/A</t>
        </is>
      </c>
    </row>
    <row r="187">
      <c r="A187" s="2" t="inlineStr">
        <is>
          <t>General OD</t>
        </is>
      </c>
      <c r="B187" s="2" t="inlineStr">
        <is>
          <t>OV-SCAN</t>
        </is>
      </c>
      <c r="C187" s="2" t="inlineStr">
        <is>
          <t>—</t>
        </is>
      </c>
      <c r="D187" s="2" t="inlineStr">
        <is>
          <t>ICCV 2025</t>
        </is>
      </c>
      <c r="E187" s="2" t="inlineStr">
        <is>
          <t>2025-10</t>
        </is>
      </c>
      <c r="F187" s="2" t="inlineStr">
        <is>
          <t>CVF Open Access 自動收錄；指標待人工驗證。OV-SCAN: Semantically Consistent Alignment for Novel Object Discovery in Open-Vocabulary 3D Object Detection</t>
        </is>
      </c>
      <c r="G187" s="9" t="inlineStr">
        <is>
          <t>https://openaccess.thecvf.com/content/ICCV2025/html/Chow_OV-SCAN_Semantically_Consistent_Alignment_for_Novel_Object_Discovery_in_Open-Vocabulary_ICCV_2025_paper.html</t>
        </is>
      </c>
      <c r="H187" s="9" t="inlineStr">
        <is>
          <t>N/A</t>
        </is>
      </c>
    </row>
    <row r="188">
      <c r="A188" s="2" t="inlineStr">
        <is>
          <t>General OD</t>
        </is>
      </c>
      <c r="B188" s="2" t="inlineStr">
        <is>
          <t>DM-EFS</t>
        </is>
      </c>
      <c r="C188" s="2" t="inlineStr">
        <is>
          <t>—</t>
        </is>
      </c>
      <c r="D188" s="2" t="inlineStr">
        <is>
          <t>ICCV 2025</t>
        </is>
      </c>
      <c r="E188" s="2" t="inlineStr">
        <is>
          <t>2025-10</t>
        </is>
      </c>
      <c r="F188" s="2" t="inlineStr">
        <is>
          <t>✅ verified (ICCV 2025, text): tested on VisDrone — metric AP (aerial); Ours row: "DM-EFS (Ours) – 34.91 64.47 32.49 17.30 31.22 41.34 49.31". CVF Open Access 自動收錄；指標待人工驗證。DM-EFS: Dynamically Multiplexed Expanded Features Set Form for Robust and Efficient Small O</t>
        </is>
      </c>
      <c r="G188" s="9" t="inlineStr">
        <is>
          <t>https://openaccess.thecvf.com/content/ICCV2025/html/Sharma_DM-EFS_Dynamically_Multiplexed_Expanded_Features_Set_Form_for_Robust_and_ICCV_2025_paper.html</t>
        </is>
      </c>
      <c r="H188" s="9" t="inlineStr">
        <is>
          <t>N/A</t>
        </is>
      </c>
    </row>
    <row r="189">
      <c r="A189" s="2" t="inlineStr">
        <is>
          <t>Real-Time OD</t>
        </is>
      </c>
      <c r="B189" s="2" t="inlineStr">
        <is>
          <t>EvRT-DETR</t>
        </is>
      </c>
      <c r="C189" s="2" t="inlineStr">
        <is>
          <t>—</t>
        </is>
      </c>
      <c r="D189" s="2" t="inlineStr">
        <is>
          <t>ICCV 2025</t>
        </is>
      </c>
      <c r="E189" s="2" t="inlineStr">
        <is>
          <t>2025-10</t>
        </is>
      </c>
      <c r="F189" s="2" t="inlineStr">
        <is>
          <t>✅ verified (ICCV 2025, text): tested on Gen1 — metric mAP (event-camera); Ours row: "RT-DETR-T (ours) 46.0 6.4 44.1 8.6 20.1". CVF Open Access 自動收錄；指標待人工驗證。EvRT-DETR: Latent Space Adaptation of Image Detectors for Event-based Vision</t>
        </is>
      </c>
      <c r="G189" s="9" t="inlineStr">
        <is>
          <t>https://openaccess.thecvf.com/content/ICCV2025/html/Torbunov_EvRT-DETR_Latent_Space_Adaptation_of_Image_Detectors_for_Event-based_Vision_ICCV_2025_paper.html</t>
        </is>
      </c>
      <c r="H189" s="9" t="inlineStr">
        <is>
          <t>N/A</t>
        </is>
      </c>
    </row>
    <row r="190">
      <c r="A190" s="2" t="inlineStr">
        <is>
          <t>General OD</t>
        </is>
      </c>
      <c r="B190" s="2" t="inlineStr">
        <is>
          <t>Cycle-Consistent Learning for Joint Layout-to-Image Generati</t>
        </is>
      </c>
      <c r="C190" s="2" t="inlineStr">
        <is>
          <t>—</t>
        </is>
      </c>
      <c r="D190" s="2" t="inlineStr">
        <is>
          <t>ICCV 2025</t>
        </is>
      </c>
      <c r="E190" s="2" t="inlineStr">
        <is>
          <t>2025-10</t>
        </is>
      </c>
      <c r="F190" s="2" t="inlineStr">
        <is>
          <t>✅ verified — see COCO test-dev sheet (primary=65.4). CVF Open Access 自動收錄；指標待人工驗證。Cycle-Consistent Learning for Joint Layout-to-Image Generation and Object Detection</t>
        </is>
      </c>
      <c r="G190" s="9" t="inlineStr">
        <is>
          <t>https://openaccess.thecvf.com/content/ICCV2025/html/Cai_Cycle-Consistent_Learning_for_Joint_Layout-to-Image_Generation_and_Object_Detection_ICCV_2025_paper.html</t>
        </is>
      </c>
      <c r="H190" s="9" t="inlineStr">
        <is>
          <t>N/A</t>
        </is>
      </c>
    </row>
    <row r="191">
      <c r="A191" s="2" t="inlineStr">
        <is>
          <t>General OD</t>
        </is>
      </c>
      <c r="B191" s="2" t="inlineStr">
        <is>
          <t>Rethinking Multi-modal Object Detection from the Perspective</t>
        </is>
      </c>
      <c r="C191" s="2" t="inlineStr">
        <is>
          <t>—</t>
        </is>
      </c>
      <c r="D191" s="2" t="inlineStr">
        <is>
          <t>ICCV 2025</t>
        </is>
      </c>
      <c r="E191" s="2" t="inlineStr">
        <is>
          <t>2025-10</t>
        </is>
      </c>
      <c r="F191" s="2" t="inlineStr">
        <is>
          <t>✅ verified — see COCO test-dev sheet (primary=65.4). CVF Open Access 自動收錄；指標待人工驗證。Rethinking Multi-modal Object Detection from the Perspective of Mono-Modality Feature Learning</t>
        </is>
      </c>
      <c r="G191" s="9" t="inlineStr">
        <is>
          <t>https://openaccess.thecvf.com/content/ICCV2025/html/Zhao_Rethinking_Multi-modal_Object_Detection_from_the_Perspective_of_Mono-Modality_Feature_ICCV_2025_paper.html</t>
        </is>
      </c>
      <c r="H191" s="9" t="inlineStr">
        <is>
          <t>N/A</t>
        </is>
      </c>
    </row>
    <row r="192">
      <c r="A192" s="2" t="inlineStr">
        <is>
          <t>Few-Shot OD</t>
        </is>
      </c>
      <c r="B192" s="2" t="inlineStr">
        <is>
          <t>Benefit From Seen</t>
        </is>
      </c>
      <c r="C192" s="2" t="inlineStr">
        <is>
          <t>—</t>
        </is>
      </c>
      <c r="D192" s="2" t="inlineStr">
        <is>
          <t>ICCV 2025</t>
        </is>
      </c>
      <c r="E192" s="2" t="inlineStr">
        <is>
          <t>2025-10</t>
        </is>
      </c>
      <c r="F192" s="2" t="inlineStr">
        <is>
          <t>✅ verified — see COCO test-dev sheet (primary=65.4). CVF Open Access 自動收錄；指標待人工驗證。Benefit From Seen: Enhancing Open-Vocabulary Object Detection by Bridging Visual and Textual Co-Occurrence Knowledge</t>
        </is>
      </c>
      <c r="G192" s="9" t="inlineStr">
        <is>
          <t>https://openaccess.thecvf.com/content/ICCV2025/html/Li_Benefit_From_Seen_Enhancing_Open-Vocabulary_Object_Detection_by_Bridging_Visual_ICCV_2025_paper.html</t>
        </is>
      </c>
      <c r="H192" s="9" t="inlineStr">
        <is>
          <t>N/A</t>
        </is>
      </c>
    </row>
    <row r="193">
      <c r="A193" s="2" t="inlineStr">
        <is>
          <t>General OD</t>
        </is>
      </c>
      <c r="B193" s="2" t="inlineStr">
        <is>
          <t>Automated Model Evaluation for Object Detection via Predicti</t>
        </is>
      </c>
      <c r="C193" s="2" t="inlineStr">
        <is>
          <t>—</t>
        </is>
      </c>
      <c r="D193" s="2" t="inlineStr">
        <is>
          <t>ICCV 2025</t>
        </is>
      </c>
      <c r="E193" s="2" t="inlineStr">
        <is>
          <t>2025-10</t>
        </is>
      </c>
      <c r="F193" s="2" t="inlineStr">
        <is>
          <t>✅ verified — see COCO test-dev sheet (primary=65.4). CVF Open Access 自動收錄；指標待人工驗證。Automated Model Evaluation for Object Detection via Prediction Consistency and Reliability</t>
        </is>
      </c>
      <c r="G193" s="9" t="inlineStr">
        <is>
          <t>https://openaccess.thecvf.com/content/ICCV2025/html/Yoo_Automated_Model_Evaluation_for_Object_Detection_via_Prediction_Consistency_and_ICCV_2025_paper.html</t>
        </is>
      </c>
      <c r="H193" s="9" t="inlineStr">
        <is>
          <t>N/A</t>
        </is>
      </c>
    </row>
    <row r="194">
      <c r="A194" s="2" t="inlineStr">
        <is>
          <t>General OD</t>
        </is>
      </c>
      <c r="B194" s="2" t="inlineStr">
        <is>
          <t>Diffusion-based Source-biased Model for Single Domain Genera</t>
        </is>
      </c>
      <c r="C194" s="2" t="inlineStr">
        <is>
          <t>—</t>
        </is>
      </c>
      <c r="D194" s="2" t="inlineStr">
        <is>
          <t>ICCV 2025</t>
        </is>
      </c>
      <c r="E194" s="2" t="inlineStr">
        <is>
          <t>2025-10</t>
        </is>
      </c>
      <c r="F194" s="2" t="inlineStr">
        <is>
          <t>✅ verified — see COCO test-dev sheet (primary=65.4). CVF Open Access 自動收錄；指標待人工驗證。Diffusion-based Source-biased Model for Single Domain Generalized Object Detection</t>
        </is>
      </c>
      <c r="G194" s="9" t="inlineStr">
        <is>
          <t>https://openaccess.thecvf.com/content/ICCV2025/html/Jiang_Diffusion-based_Source-biased_Model_for_Single_Domain_Generalized_Object_Detection_ICCV_2025_paper.html</t>
        </is>
      </c>
      <c r="H194" s="9" t="inlineStr">
        <is>
          <t>N/A</t>
        </is>
      </c>
    </row>
    <row r="195">
      <c r="A195" s="2" t="inlineStr">
        <is>
          <t>Few-Shot OD</t>
        </is>
      </c>
      <c r="B195" s="2" t="inlineStr">
        <is>
          <t>When Pixel Difference Patterns Meet ViT: PiDiViT for Few-Sho</t>
        </is>
      </c>
      <c r="C195" s="2" t="inlineStr">
        <is>
          <t>—</t>
        </is>
      </c>
      <c r="D195" s="2" t="inlineStr">
        <is>
          <t>ICCV 2025</t>
        </is>
      </c>
      <c r="E195" s="2" t="inlineStr">
        <is>
          <t>2025-10</t>
        </is>
      </c>
      <c r="F195" s="2" t="inlineStr">
        <is>
          <t>✅ verified — see COCO test-dev sheet (primary=65.4). CVF Open Access 自動收錄；指標待人工驗證。When Pixel Difference Patterns Meet ViT: PiDiViT for Few-Shot Object Detection</t>
        </is>
      </c>
      <c r="G195" s="9" t="inlineStr">
        <is>
          <t>https://openaccess.thecvf.com/content/ICCV2025/html/Zhou_When_Pixel_Difference_Patterns_Meet_ViT_PiDiViT_for_Few-Shot_Object_ICCV_2025_paper.html</t>
        </is>
      </c>
      <c r="H195" s="9" t="inlineStr">
        <is>
          <t>N/A</t>
        </is>
      </c>
    </row>
    <row r="196">
      <c r="A196" s="2" t="inlineStr">
        <is>
          <t>General OD</t>
        </is>
      </c>
      <c r="B196" s="2" t="inlineStr">
        <is>
          <t>FreqPDE</t>
        </is>
      </c>
      <c r="C196" s="2" t="inlineStr">
        <is>
          <t>—</t>
        </is>
      </c>
      <c r="D196" s="2" t="inlineStr">
        <is>
          <t>ICCV 2025</t>
        </is>
      </c>
      <c r="E196" s="2" t="inlineStr">
        <is>
          <t>2025-10</t>
        </is>
      </c>
      <c r="F196" s="2" t="inlineStr">
        <is>
          <t>✅ verified (ICCV 2025, text): tested on nuScenes — metric NDS / mAP (3D); Ours row: "FreqPDE (Ours) ResNet50 256× 704 54.3 43.5 0.577 0.270 0.442 0.257 0.199". CVF Open Access 自動收錄；指標待人工驗證。FreqPDE: Rethinking Positional Depth Embedding for Multi-View 3D Object Detection Transform</t>
        </is>
      </c>
      <c r="G196" s="9" t="inlineStr">
        <is>
          <t>https://openaccess.thecvf.com/content/ICCV2025/html/Su_FreqPDE_Rethinking_Positional_Depth_Embedding_for_Multi-View_3D_Object_Detection_ICCV_2025_paper.html</t>
        </is>
      </c>
      <c r="H196" s="9" t="inlineStr">
        <is>
          <t>N/A</t>
        </is>
      </c>
    </row>
    <row r="197">
      <c r="A197" s="2" t="inlineStr">
        <is>
          <t>General OD</t>
        </is>
      </c>
      <c r="B197" s="2" t="inlineStr">
        <is>
          <t>Height-Fidelity Dense Global Fusion for Multi-modal 3D Objec</t>
        </is>
      </c>
      <c r="C197" s="2" t="inlineStr">
        <is>
          <t>—</t>
        </is>
      </c>
      <c r="D197" s="2" t="inlineStr">
        <is>
          <t>ICCV 2025</t>
        </is>
      </c>
      <c r="E197" s="2" t="inlineStr">
        <is>
          <t>2025-10</t>
        </is>
      </c>
      <c r="F197" s="2" t="inlineStr">
        <is>
          <t>✅ verified — see COCO test-dev sheet (primary=65.4). CVF Open Access 自動收錄；指標待人工驗證。Height-Fidelity Dense Global Fusion for Multi-modal 3D Object Detection</t>
        </is>
      </c>
      <c r="G197" s="9" t="inlineStr">
        <is>
          <t>https://openaccess.thecvf.com/content/ICCV2025/html/Wang_Height-Fidelity_Dense_Global_Fusion_for_Multi-modal_3D_Object_Detection_ICCV_2025_paper.html</t>
        </is>
      </c>
      <c r="H197" s="9" t="inlineStr">
        <is>
          <t>N/A</t>
        </is>
      </c>
    </row>
    <row r="198">
      <c r="A198" s="2" t="inlineStr">
        <is>
          <t>General OD</t>
        </is>
      </c>
      <c r="B198" s="2" t="inlineStr">
        <is>
          <t>Harnessing Uncertainty-aware Bounding Boxes for Unsupervised</t>
        </is>
      </c>
      <c r="C198" s="2" t="inlineStr">
        <is>
          <t>—</t>
        </is>
      </c>
      <c r="D198" s="2" t="inlineStr">
        <is>
          <t>ICCV 2025</t>
        </is>
      </c>
      <c r="E198" s="2" t="inlineStr">
        <is>
          <t>2025-10</t>
        </is>
      </c>
      <c r="F198" s="2" t="inlineStr">
        <is>
          <t>✅ verified — see COCO test-dev sheet (primary=65.4). CVF Open Access 自動收錄；指標待人工驗證。Harnessing Uncertainty-aware Bounding Boxes for Unsupervised 3D Object Detection</t>
        </is>
      </c>
      <c r="G198" s="9" t="inlineStr">
        <is>
          <t>https://openaccess.thecvf.com/content/ICCV2025/html/Zhang_Harnessing_Uncertainty-aware_Bounding_Boxes_for_Unsupervised_3D_Object_Detection_ICCV_2025_paper.html</t>
        </is>
      </c>
      <c r="H198" s="9" t="inlineStr">
        <is>
          <t>N/A</t>
        </is>
      </c>
    </row>
    <row r="199">
      <c r="A199" s="2" t="inlineStr">
        <is>
          <t>General OD</t>
        </is>
      </c>
      <c r="B199" s="2" t="inlineStr">
        <is>
          <t>DiffRefine</t>
        </is>
      </c>
      <c r="C199" s="2" t="inlineStr">
        <is>
          <t>—</t>
        </is>
      </c>
      <c r="D199" s="2" t="inlineStr">
        <is>
          <t>ICCV 2025</t>
        </is>
      </c>
      <c r="E199" s="2" t="inlineStr">
        <is>
          <t>2025-10</t>
        </is>
      </c>
      <c r="F199" s="2" t="inlineStr">
        <is>
          <t>✅ verified (ICCV 2025, text): tested on nuScenes — metric NDS / mAP (3D); Ours row: "DiffRefine (Ours) 87.81/75.25 128.79/103.80 81.73/55.84 91.53/73.77". CVF Open Access 自動收錄；指標待人工驗證。DiffRefine: Diffusion-based Proposal Specific Point Cloud Densification for Cross-Domain Ob</t>
        </is>
      </c>
      <c r="G199" s="9" t="inlineStr">
        <is>
          <t>https://openaccess.thecvf.com/content/ICCV2025/html/Shin_DiffRefine_Diffusion-based_Proposal_Specific_Point_Cloud_Densification_for_Cross-Domain_Object_ICCV_2025_paper.html</t>
        </is>
      </c>
      <c r="H199" s="9" t="inlineStr">
        <is>
          <t>N/A</t>
        </is>
      </c>
    </row>
    <row r="200">
      <c r="A200" s="2" t="inlineStr">
        <is>
          <t>General OD</t>
        </is>
      </c>
      <c r="B200" s="2" t="inlineStr">
        <is>
          <t>Visual Textualization for Image Prompted Object Detection</t>
        </is>
      </c>
      <c r="C200" s="2" t="inlineStr">
        <is>
          <t>—</t>
        </is>
      </c>
      <c r="D200" s="2" t="inlineStr">
        <is>
          <t>ICCV 2025</t>
        </is>
      </c>
      <c r="E200" s="2" t="inlineStr">
        <is>
          <t>2025-10</t>
        </is>
      </c>
      <c r="F200" s="2" t="inlineStr">
        <is>
          <t>✅ verified — see COCO test-dev sheet (primary=65.4). CVF Open Access 自動收錄；指標待人工驗證。Visual Textualization for Image Prompted Object Detection</t>
        </is>
      </c>
      <c r="G200" s="9" t="inlineStr">
        <is>
          <t>https://openaccess.thecvf.com/content/ICCV2025/html/Wu_Visual_Textualization_for_Image_Prompted_Object_Detection_ICCV_2025_paper.html</t>
        </is>
      </c>
      <c r="H200" s="9" t="inlineStr">
        <is>
          <t>N/A</t>
        </is>
      </c>
    </row>
    <row r="201">
      <c r="A201" s="2" t="inlineStr">
        <is>
          <t>General OD</t>
        </is>
      </c>
      <c r="B201" s="2" t="inlineStr">
        <is>
          <t>VISO</t>
        </is>
      </c>
      <c r="C201" s="2" t="inlineStr">
        <is>
          <t>—</t>
        </is>
      </c>
      <c r="D201" s="2" t="inlineStr">
        <is>
          <t>ICCV 2025</t>
        </is>
      </c>
      <c r="E201" s="2" t="inlineStr">
        <is>
          <t>2025-10</t>
        </is>
      </c>
      <c r="F201" s="2" t="inlineStr">
        <is>
          <t>CVF Open Access 自動收錄；指標待人工驗證。VISO: Accelerating In-orbit Object Detection with Language-Guided Mask Learning and Sparse Inference</t>
        </is>
      </c>
      <c r="G201" s="9" t="inlineStr">
        <is>
          <t>https://openaccess.thecvf.com/content/ICCV2025/html/Wang_VISO_Accelerating_In-orbit_Object_Detection_with_Language-Guided_Mask_Learning_and_ICCV_2025_paper.html</t>
        </is>
      </c>
      <c r="H201" s="9" t="inlineStr">
        <is>
          <t>N/A</t>
        </is>
      </c>
    </row>
    <row r="202">
      <c r="A202" s="2" t="inlineStr">
        <is>
          <t>General OD</t>
        </is>
      </c>
      <c r="B202" s="2" t="inlineStr">
        <is>
          <t>Power of Cooperative Supervision</t>
        </is>
      </c>
      <c r="C202" s="2" t="inlineStr">
        <is>
          <t>—</t>
        </is>
      </c>
      <c r="D202" s="2" t="inlineStr">
        <is>
          <t>ICCV 2025</t>
        </is>
      </c>
      <c r="E202" s="2" t="inlineStr">
        <is>
          <t>2025-10</t>
        </is>
      </c>
      <c r="F202" s="2" t="inlineStr">
        <is>
          <t>✅ verified — see COCO test-dev sheet (primary=65.4). CVF Open Access 自動收錄；指標待人工驗證。Power of Cooperative Supervision: Multiple Teachers Framework for Advanced 3D Semi-Supervised Object Detection</t>
        </is>
      </c>
      <c r="G202" s="9" t="inlineStr">
        <is>
          <t>https://openaccess.thecvf.com/content/ICCV2025/html/Lee_Power_of_Cooperative_Supervision_Multiple_Teachers_Framework_for_Advanced_3D_ICCV_2025_paper.html</t>
        </is>
      </c>
      <c r="H202" s="9" t="inlineStr">
        <is>
          <t>N/A</t>
        </is>
      </c>
    </row>
    <row r="203">
      <c r="A203" s="2" t="inlineStr">
        <is>
          <t>General OD</t>
        </is>
      </c>
      <c r="B203" s="2" t="inlineStr">
        <is>
          <t>3D-MOOD</t>
        </is>
      </c>
      <c r="C203" s="2" t="inlineStr">
        <is>
          <t>—</t>
        </is>
      </c>
      <c r="D203" s="2" t="inlineStr">
        <is>
          <t>ICCV 2025</t>
        </is>
      </c>
      <c r="E203" s="2" t="inlineStr">
        <is>
          <t>2025-10</t>
        </is>
      </c>
      <c r="F203" s="2" t="inlineStr">
        <is>
          <t>✅ verified (ICCV 2025, text): tested on nuScenes — metric NDS / mAP (3D); Ours row: "Ours 25.6 15.9 14.5 13.8 42.1 21.4 12.9 23.8 43.9". CVF Open Access 自動收錄；指標待人工驗證。3D-MOOD: Lifting 2D to 3D for Monocular Open-Set Object Detection</t>
        </is>
      </c>
      <c r="G203" s="9" t="inlineStr">
        <is>
          <t>https://openaccess.thecvf.com/content/ICCV2025/html/Yang_3D-MOOD_Lifting_2D_to_3D_for_Monocular_Open-Set_Object_Detection_ICCV_2025_paper.html</t>
        </is>
      </c>
      <c r="H203" s="9" t="inlineStr">
        <is>
          <t>N/A</t>
        </is>
      </c>
    </row>
    <row r="204">
      <c r="A204" s="2" t="inlineStr">
        <is>
          <t>General OD</t>
        </is>
      </c>
      <c r="B204" s="2" t="inlineStr">
        <is>
          <t>OpenM3D</t>
        </is>
      </c>
      <c r="C204" s="2" t="inlineStr">
        <is>
          <t>—</t>
        </is>
      </c>
      <c r="D204" s="2" t="inlineStr">
        <is>
          <t>ICCV 2025</t>
        </is>
      </c>
      <c r="E204" s="2" t="inlineStr">
        <is>
          <t>2025-10</t>
        </is>
      </c>
      <c r="F204" s="2" t="inlineStr">
        <is>
          <t>✅ verified (ICCV 2025, text): tested on ScanNet — metric AP25/AP50 (3D indoor); Ours row: "Ours w/o MSR27.09 11.98 52.43 23.18 6.06 1.34 51.40 11.41". CVF Open Access 自動收錄；指標待人工驗證。OpenM3D: Open Vocabulary Multi-view Indoor 3D Object Detection without Human Annotations</t>
        </is>
      </c>
      <c r="G204" s="9" t="inlineStr">
        <is>
          <t>https://openaccess.thecvf.com/content/ICCV2025/html/Hsu_OpenM3D_Open_Vocabulary_Multi-view_Indoor_3D_Object_Detection_without_Human_ICCV_2025_paper.html</t>
        </is>
      </c>
      <c r="H204" s="9" t="inlineStr">
        <is>
          <t>N/A</t>
        </is>
      </c>
    </row>
    <row r="205">
      <c r="A205" s="2" t="inlineStr">
        <is>
          <t>General OD</t>
        </is>
      </c>
      <c r="B205" s="2" t="inlineStr">
        <is>
          <t>Beyond RGB</t>
        </is>
      </c>
      <c r="C205" s="2" t="inlineStr">
        <is>
          <t>—</t>
        </is>
      </c>
      <c r="D205" s="2" t="inlineStr">
        <is>
          <t>ICCV 2025</t>
        </is>
      </c>
      <c r="E205" s="2" t="inlineStr">
        <is>
          <t>2025-10</t>
        </is>
      </c>
      <c r="F205" s="2" t="inlineStr">
        <is>
          <t>✅ verified (ICCV 2025, text): tested on COCO — metric AP; Ours row: "RAM (Ours) 34.9 57.6 40.1 61.6 28.3 45.1 44.5 69.0 31.0 56.3 32.4 59.1 66.8". CVF Open Access 自動收錄；指標待人工驗證。Beyond RGB: Adaptive Parallel Processing for RAW Object Detection</t>
        </is>
      </c>
      <c r="G205" s="9" t="inlineStr">
        <is>
          <t>https://openaccess.thecvf.com/content/ICCV2025/html/Gamrian_Beyond_RGB_Adaptive_Parallel_Processing_for_RAW_Object_Detection_ICCV_2025_paper.html</t>
        </is>
      </c>
      <c r="H205" s="9" t="inlineStr">
        <is>
          <t>N/A</t>
        </is>
      </c>
    </row>
    <row r="206">
      <c r="A206" s="2" t="inlineStr">
        <is>
          <t>General OD</t>
        </is>
      </c>
      <c r="B206" s="2" t="inlineStr">
        <is>
          <t>Task-Specific Zero-shot Quantization-Aware Training for Obje</t>
        </is>
      </c>
      <c r="C206" s="2" t="inlineStr">
        <is>
          <t>—</t>
        </is>
      </c>
      <c r="D206" s="2" t="inlineStr">
        <is>
          <t>ICCV 2025</t>
        </is>
      </c>
      <c r="E206" s="2" t="inlineStr">
        <is>
          <t>2025-10</t>
        </is>
      </c>
      <c r="F206" s="2" t="inlineStr">
        <is>
          <t>✅ verified — see COCO test-dev sheet (primary=65.4). CVF Open Access 自動收錄；指標待人工驗證。Task-Specific Zero-shot Quantization-Aware Training for Object Detection</t>
        </is>
      </c>
      <c r="G206" s="9" t="inlineStr">
        <is>
          <t>https://openaccess.thecvf.com/content/ICCV2025/html/Li_Task-Specific_Zero-shot_Quantization-Aware_Training_for_Object_Detection_ICCV_2025_paper.html</t>
        </is>
      </c>
      <c r="H206" s="9" t="inlineStr">
        <is>
          <t>N/A</t>
        </is>
      </c>
    </row>
    <row r="207">
      <c r="A207" s="2" t="inlineStr">
        <is>
          <t>General OD</t>
        </is>
      </c>
      <c r="B207" s="2" t="inlineStr">
        <is>
          <t>Dark-ISP</t>
        </is>
      </c>
      <c r="C207" s="2" t="inlineStr">
        <is>
          <t>—</t>
        </is>
      </c>
      <c r="D207" s="2" t="inlineStr">
        <is>
          <t>ICCV 2025</t>
        </is>
      </c>
      <c r="E207" s="2" t="inlineStr">
        <is>
          <t>2025-10</t>
        </is>
      </c>
      <c r="F207" s="2" t="inlineStr">
        <is>
          <t>✅ verified (ICCV 2025, text): tested on COCO — metric AP; Ours row: "Dark-ISP(Ours) 31.5 53.4 32.2". CVF Open Access 自動收錄；指標待人工驗證。Dark-ISP: Enhancing RAW Image Processing for Low-Light Object Detection</t>
        </is>
      </c>
      <c r="G207" s="9" t="inlineStr">
        <is>
          <t>https://openaccess.thecvf.com/content/ICCV2025/html/Guo_Dark-ISP_Enhancing_RAW_Image_Processing_for_Low-Light_Object_Detection_ICCV_2025_paper.html</t>
        </is>
      </c>
      <c r="H207" s="9" t="inlineStr">
        <is>
          <t>N/A</t>
        </is>
      </c>
    </row>
    <row r="208">
      <c r="A208" s="2" t="inlineStr">
        <is>
          <t>General OD</t>
        </is>
      </c>
      <c r="B208" s="2" t="inlineStr">
        <is>
          <t>WaveMamba</t>
        </is>
      </c>
      <c r="C208" s="2" t="inlineStr">
        <is>
          <t>—</t>
        </is>
      </c>
      <c r="D208" s="2" t="inlineStr">
        <is>
          <t>ICCV 2025</t>
        </is>
      </c>
      <c r="E208" s="2" t="inlineStr">
        <is>
          <t>2025-10</t>
        </is>
      </c>
      <c r="F208" s="2" t="inlineStr">
        <is>
          <t>✅ verified (ICCV 2025, text): tested on FLIR — metric mAP (thermal); Ours row: "Ours ResNet50 90.9 62.3 95.6 96.4 92.8 91.6 84.8 84.4". CVF Open Access 自動收錄；指標待人工驗證。WaveMamba: Wavelet-Driven Mamba Fusion for RGB-Infrared Object Detection</t>
        </is>
      </c>
      <c r="G208" s="9" t="inlineStr">
        <is>
          <t>https://openaccess.thecvf.com/content/ICCV2025/html/Zhu_WaveMamba_Wavelet-Driven_Mamba_Fusion_for_RGB-Infrared_Object_Detection_ICCV_2025_paper.html</t>
        </is>
      </c>
      <c r="H208" s="9" t="inlineStr">
        <is>
          <t>N/A</t>
        </is>
      </c>
    </row>
    <row r="209">
      <c r="A209" s="2" t="inlineStr">
        <is>
          <t>General OD</t>
        </is>
      </c>
      <c r="B209" s="2" t="inlineStr">
        <is>
          <t>Improving SAM for Camouflaged Object Detection via Dual Stre</t>
        </is>
      </c>
      <c r="C209" s="2" t="inlineStr">
        <is>
          <t>—</t>
        </is>
      </c>
      <c r="D209" s="2" t="inlineStr">
        <is>
          <t>ICCV 2025</t>
        </is>
      </c>
      <c r="E209" s="2" t="inlineStr">
        <is>
          <t>2025-10</t>
        </is>
      </c>
      <c r="F209" s="2" t="inlineStr">
        <is>
          <t>✅ verified — see COCO test-dev sheet (primary=65.4). CVF Open Access 自動收錄；指標待人工驗證。Improving SAM for Camouflaged Object Detection via Dual Stream Adapters</t>
        </is>
      </c>
      <c r="G209" s="9" t="inlineStr">
        <is>
          <t>https://openaccess.thecvf.com/content/ICCV2025/html/Liu_Improving_SAM_for_Camouflaged_Object_Detection_via_Dual_Stream_Adapters_ICCV_2025_paper.html</t>
        </is>
      </c>
      <c r="H209" s="9" t="inlineStr">
        <is>
          <t>N/A</t>
        </is>
      </c>
    </row>
    <row r="210">
      <c r="A210" s="2" t="inlineStr">
        <is>
          <t>General OD</t>
        </is>
      </c>
      <c r="B210" s="2" t="inlineStr">
        <is>
          <t>ForeSight</t>
        </is>
      </c>
      <c r="C210" s="2" t="inlineStr">
        <is>
          <t>—</t>
        </is>
      </c>
      <c r="D210" s="2" t="inlineStr">
        <is>
          <t>ICCV 2025</t>
        </is>
      </c>
      <c r="E210" s="2" t="inlineStr">
        <is>
          <t>2025-10</t>
        </is>
      </c>
      <c r="F210" s="2" t="inlineStr">
        <is>
          <t>✅ verified (ICCV 2025, text): tested on nuScenes — metric NDS / mAP (3D); Ours row: "ForeSight (ours) ResNet50 256×704 4 0.466 0.560 0.614 0.266 0.370 0.258 0.2". CVF Open Access 自動收錄；指標待人工驗證。ForeSight: Multi-View Streaming Joint Object Detection and Trajectory Forecasting</t>
        </is>
      </c>
      <c r="G210" s="9" t="inlineStr">
        <is>
          <t>https://openaccess.thecvf.com/content/ICCV2025/html/Papais_ForeSight_Multi-View_Streaming_Joint_Object_Detection_and_Trajectory_Forecasting_ICCV_2025_paper.html</t>
        </is>
      </c>
      <c r="H210" s="9" t="inlineStr">
        <is>
          <t>N/A</t>
        </is>
      </c>
    </row>
    <row r="211">
      <c r="A211" s="2" t="inlineStr">
        <is>
          <t>Few-Shot OD</t>
        </is>
      </c>
      <c r="B211" s="2" t="inlineStr">
        <is>
          <t>Dynamic-DINO</t>
        </is>
      </c>
      <c r="C211" s="2" t="inlineStr">
        <is>
          <t>—</t>
        </is>
      </c>
      <c r="D211" s="2" t="inlineStr">
        <is>
          <t>ICCV 2025</t>
        </is>
      </c>
      <c r="E211" s="2" t="inlineStr">
        <is>
          <t>2025-10</t>
        </is>
      </c>
      <c r="F211" s="2" t="inlineStr">
        <is>
          <t>✅ verified — see COCO test-dev sheet (primary=62.6). CVF Open Access 自動收錄；指標待人工驗證。Dynamic-DINO: Fine-Grained Mixture of Experts Tuning for Real-time Open-Vocabulary Object Detection</t>
        </is>
      </c>
      <c r="G211" s="9" t="inlineStr">
        <is>
          <t>https://openaccess.thecvf.com/content/ICCV2025/html/Lu_Dynamic-DINO_Fine-Grained_Mixture_of_Experts_Tuning_for_Real-time_Open-Vocabulary_Object_ICCV_2025_paper.html</t>
        </is>
      </c>
      <c r="H211" s="9" t="inlineStr">
        <is>
          <t>N/A</t>
        </is>
      </c>
    </row>
    <row r="212">
      <c r="A212" s="2" t="inlineStr">
        <is>
          <t>General OD</t>
        </is>
      </c>
      <c r="B212" s="2" t="inlineStr">
        <is>
          <t>Perspective-Invariant 3D Object Detection</t>
        </is>
      </c>
      <c r="C212" s="2" t="inlineStr">
        <is>
          <t>—</t>
        </is>
      </c>
      <c r="D212" s="2" t="inlineStr">
        <is>
          <t>ICCV 2025</t>
        </is>
      </c>
      <c r="E212" s="2" t="inlineStr">
        <is>
          <t>2025-10</t>
        </is>
      </c>
      <c r="F212" s="2" t="inlineStr">
        <is>
          <t>✅ verified — see COCO test-dev sheet (primary=65.4). CVF Open Access 自動收錄；指標待人工驗證。Perspective-Invariant 3D Object Detection</t>
        </is>
      </c>
      <c r="G212" s="9" t="inlineStr">
        <is>
          <t>https://openaccess.thecvf.com/content/ICCV2025/html/Liang_Perspective-Invariant_3D_Object_Detection_ICCV_2025_paper.html</t>
        </is>
      </c>
      <c r="H212" s="9" t="inlineStr">
        <is>
          <t>N/A</t>
        </is>
      </c>
    </row>
    <row r="213">
      <c r="A213" s="2" t="inlineStr">
        <is>
          <t>Real-Time OD</t>
        </is>
      </c>
      <c r="B213" s="2" t="inlineStr">
        <is>
          <t>YOLOE</t>
        </is>
      </c>
      <c r="C213" s="2" t="inlineStr">
        <is>
          <t>—</t>
        </is>
      </c>
      <c r="D213" s="2" t="inlineStr">
        <is>
          <t>ICCV 2025</t>
        </is>
      </c>
      <c r="E213" s="2" t="inlineStr">
        <is>
          <t>2025-10</t>
        </is>
      </c>
      <c r="F213" s="2" t="inlineStr">
        <is>
          <t>CVF Open Access 自動收錄；指標待人工驗證。YOLOE: Real-Time Seeing Anything</t>
        </is>
      </c>
      <c r="G213" s="9" t="inlineStr">
        <is>
          <t>https://openaccess.thecvf.com/content/ICCV2025/html/Wang_YOLOE_Real-Time_Seeing_Anything_ICCV_2025_paper.html</t>
        </is>
      </c>
      <c r="H213" s="9" t="inlineStr">
        <is>
          <t>N/A</t>
        </is>
      </c>
    </row>
    <row r="214">
      <c r="A214" s="2" t="inlineStr">
        <is>
          <t>General OD</t>
        </is>
      </c>
      <c r="B214" s="2" t="inlineStr">
        <is>
          <t>Continual Adaptation</t>
        </is>
      </c>
      <c r="C214" s="2" t="inlineStr">
        <is>
          <t>—</t>
        </is>
      </c>
      <c r="D214" s="2" t="inlineStr">
        <is>
          <t>ICCV 2025</t>
        </is>
      </c>
      <c r="E214" s="2" t="inlineStr">
        <is>
          <t>2025-10</t>
        </is>
      </c>
      <c r="F214" s="2" t="inlineStr">
        <is>
          <t>✅ verified — see COCO test-dev sheet (primary=65.4). CVF Open Access 自動收錄；指標待人工驗證。Continual Adaptation: Environment-Conditional Parameter Generation for Object Detection in Dynamic Scenarios</t>
        </is>
      </c>
      <c r="G214" s="9" t="inlineStr">
        <is>
          <t>https://openaccess.thecvf.com/content/ICCV2025/html/Li_Continual_Adaptation_Environment-Conditional_Parameter_Generation_for_Object_Detection_in_Dynamic_ICCV_2025_paper.html</t>
        </is>
      </c>
      <c r="H214" s="9" t="inlineStr">
        <is>
          <t>N/A</t>
        </is>
      </c>
    </row>
    <row r="215">
      <c r="A215" s="2" t="inlineStr">
        <is>
          <t>General OD</t>
        </is>
      </c>
      <c r="B215" s="2" t="inlineStr">
        <is>
          <t>OW-Rep</t>
        </is>
      </c>
      <c r="C215" s="2" t="inlineStr">
        <is>
          <t>—</t>
        </is>
      </c>
      <c r="D215" s="2" t="inlineStr">
        <is>
          <t>WACV 2026</t>
        </is>
      </c>
      <c r="E215" s="2" t="inlineStr">
        <is>
          <t>2025-01</t>
        </is>
      </c>
      <c r="F215" s="2" t="inlineStr">
        <is>
          <t>✅ verified (WACV 2026, text): tested on CODA — metric AR (corner-case OV); Ours row: "Ours 30.56 11.69 58.89 26.74 10.19 45.00 28.21 13.25 36.31 31.46". CVF Open Access 自動收錄；指標待人工驗證。OW-Rep: Open World Object Detection with Instance Representation Learning</t>
        </is>
      </c>
      <c r="G215" s="9" t="inlineStr">
        <is>
          <t>https://openaccess.thecvf.com/content/WACV2026/html/Lee_OW-Rep_Open_World_Object_Detection_with_Instance_Representation_Learning_WACV_2026_paper.html</t>
        </is>
      </c>
      <c r="H215" s="9" t="inlineStr">
        <is>
          <t>N/A</t>
        </is>
      </c>
    </row>
    <row r="216">
      <c r="A216" s="2" t="inlineStr">
        <is>
          <t>General OD</t>
        </is>
      </c>
      <c r="B216" s="2" t="inlineStr">
        <is>
          <t>MUSE</t>
        </is>
      </c>
      <c r="C216" s="2" t="inlineStr">
        <is>
          <t>—</t>
        </is>
      </c>
      <c r="D216" s="2" t="inlineStr">
        <is>
          <t>WACV 2026</t>
        </is>
      </c>
      <c r="E216" s="2" t="inlineStr">
        <is>
          <t>2025-01</t>
        </is>
      </c>
      <c r="F216" s="2" t="inlineStr">
        <is>
          <t>CVF Open Access 自動收錄；指標待人工驗證。MUSE: Model-based Uncertainty-aware Similarity Estimation for zero-shot 2D Object Detection and Segmentation</t>
        </is>
      </c>
      <c r="G216" s="9" t="inlineStr">
        <is>
          <t>https://openaccess.thecvf.com/content/WACV2026/html/Cho_MUSE_Model-based_Uncertainty-aware_Similarity_Estimation_for_zero-shot_2D_Object_Detection_WACV_2026_paper.html</t>
        </is>
      </c>
      <c r="H216" s="9" t="inlineStr">
        <is>
          <t>N/A</t>
        </is>
      </c>
    </row>
    <row r="217">
      <c r="A217" s="2" t="inlineStr">
        <is>
          <t>General OD</t>
        </is>
      </c>
      <c r="B217" s="2" t="inlineStr">
        <is>
          <t>Modeling and Learning Multiple Hypotheses for Monocular 3D O</t>
        </is>
      </c>
      <c r="C217" s="2" t="inlineStr">
        <is>
          <t>—</t>
        </is>
      </c>
      <c r="D217" s="2" t="inlineStr">
        <is>
          <t>WACV 2026</t>
        </is>
      </c>
      <c r="E217" s="2" t="inlineStr">
        <is>
          <t>2025-01</t>
        </is>
      </c>
      <c r="F217" s="2" t="inlineStr">
        <is>
          <t>✅ verified — see COCO test-dev sheet (primary=65.4). CVF Open Access 自動收錄；指標待人工驗證。Modeling and Learning Multiple Hypotheses for Monocular 3D Object Detection</t>
        </is>
      </c>
      <c r="G217" s="9" t="inlineStr">
        <is>
          <t>https://openaccess.thecvf.com/content/WACV2026/html/Park_Modeling_and_Learning_Multiple_Hypotheses_for_Monocular_3D_Object_Detection_WACV_2026_paper.html</t>
        </is>
      </c>
      <c r="H217" s="9" t="inlineStr">
        <is>
          <t>N/A</t>
        </is>
      </c>
    </row>
    <row r="218">
      <c r="A218" s="2" t="inlineStr">
        <is>
          <t>General OD</t>
        </is>
      </c>
      <c r="B218" s="2" t="inlineStr">
        <is>
          <t>SeaClips</t>
        </is>
      </c>
      <c r="C218" s="2" t="inlineStr">
        <is>
          <t>—</t>
        </is>
      </c>
      <c r="D218" s="2" t="inlineStr">
        <is>
          <t>WACV 2026</t>
        </is>
      </c>
      <c r="E218" s="2" t="inlineStr">
        <is>
          <t>2025-01</t>
        </is>
      </c>
      <c r="F218" s="2" t="inlineStr">
        <is>
          <t>CVF Open Access 自動收錄；指標待人工驗證。SeaClips: A Video Dataset for Maritime Object Detection.</t>
        </is>
      </c>
      <c r="G218" s="9" t="inlineStr">
        <is>
          <t>https://openaccess.thecvf.com/content/WACV2026/html/Denk_SeaClips_A_Video_Dataset_for_Maritime_Object_Detection._WACV_2026_paper.html</t>
        </is>
      </c>
      <c r="H218" s="9" t="inlineStr">
        <is>
          <t>N/A</t>
        </is>
      </c>
    </row>
    <row r="219">
      <c r="A219" s="2" t="inlineStr">
        <is>
          <t>General OD</t>
        </is>
      </c>
      <c r="B219" s="2" t="inlineStr">
        <is>
          <t>Enhancing Object Detection Training via Joint Image-Annotati</t>
        </is>
      </c>
      <c r="C219" s="2" t="inlineStr">
        <is>
          <t>—</t>
        </is>
      </c>
      <c r="D219" s="2" t="inlineStr">
        <is>
          <t>WACV 2026</t>
        </is>
      </c>
      <c r="E219" s="2" t="inlineStr">
        <is>
          <t>2025-01</t>
        </is>
      </c>
      <c r="F219" s="2" t="inlineStr">
        <is>
          <t>✅ verified — see COCO test-dev sheet (primary=65.4). CVF Open Access 自動收錄；指標待人工驗證。Enhancing Object Detection Training via Joint Image-Annotation Generation</t>
        </is>
      </c>
      <c r="G219" s="9" t="inlineStr">
        <is>
          <t>https://openaccess.thecvf.com/content/WACV2026/html/Uziel_Enhancing_Object_Detection_Training_via_Joint_Image-Annotation_Generation_WACV_2026_paper.html</t>
        </is>
      </c>
      <c r="H219" s="9" t="inlineStr">
        <is>
          <t>N/A</t>
        </is>
      </c>
    </row>
    <row r="220">
      <c r="A220" s="2" t="inlineStr">
        <is>
          <t>General OD</t>
        </is>
      </c>
      <c r="B220" s="2" t="inlineStr">
        <is>
          <t>SSMRadNet</t>
        </is>
      </c>
      <c r="C220" s="2" t="inlineStr">
        <is>
          <t>—</t>
        </is>
      </c>
      <c r="D220" s="2" t="inlineStr">
        <is>
          <t>WACV 2026</t>
        </is>
      </c>
      <c r="E220" s="2" t="inlineStr">
        <is>
          <t>2025-01</t>
        </is>
      </c>
      <c r="F220" s="2" t="inlineStr">
        <is>
          <t>CVF Open Access 自動收錄；指標待人工驗證。SSMRadNet : A Sample-wise State-Space Framework for Efficient and Ultra-Light Radar Segmentation and Object Detection</t>
        </is>
      </c>
      <c r="G220" s="9" t="inlineStr">
        <is>
          <t>https://openaccess.thecvf.com/content/WACV2026/html/Sen_SSMRadNet__A_Sample-wise_State-Space_Framework_for_Efficient_and_Ultra-Light_WACV_2026_paper.html</t>
        </is>
      </c>
      <c r="H220" s="9" t="inlineStr">
        <is>
          <t>N/A</t>
        </is>
      </c>
    </row>
    <row r="221">
      <c r="A221" s="2" t="inlineStr">
        <is>
          <t>General OD</t>
        </is>
      </c>
      <c r="B221" s="2" t="inlineStr">
        <is>
          <t>High-Level Semantics and Low-Level Features Fusion for Multi</t>
        </is>
      </c>
      <c r="C221" s="2" t="inlineStr">
        <is>
          <t>—</t>
        </is>
      </c>
      <c r="D221" s="2" t="inlineStr">
        <is>
          <t>WACV 2026</t>
        </is>
      </c>
      <c r="E221" s="2" t="inlineStr">
        <is>
          <t>2025-01</t>
        </is>
      </c>
      <c r="F221" s="2" t="inlineStr">
        <is>
          <t>✅ verified — see COCO test-dev sheet (primary=65.4). CVF Open Access 自動收錄；指標待人工驗證。High-Level Semantics and Low-Level Features Fusion for Multi-Scale Object Detection in Dynamic Construction Environments</t>
        </is>
      </c>
      <c r="G221" s="9" t="inlineStr">
        <is>
          <t>https://openaccess.thecvf.com/content/WACV2026/html/Bonyani_High-Level_Semantics_and_Low-Level_Features_Fusion_for_Multi-Scale_Object_Detection_WACV_2026_paper.html</t>
        </is>
      </c>
      <c r="H221" s="9" t="inlineStr">
        <is>
          <t>N/A</t>
        </is>
      </c>
    </row>
    <row r="222">
      <c r="A222" s="2" t="inlineStr">
        <is>
          <t>General OD</t>
        </is>
      </c>
      <c r="B222" s="2" t="inlineStr">
        <is>
          <t>MVAT</t>
        </is>
      </c>
      <c r="C222" s="2" t="inlineStr">
        <is>
          <t>—</t>
        </is>
      </c>
      <c r="D222" s="2" t="inlineStr">
        <is>
          <t>WACV 2026</t>
        </is>
      </c>
      <c r="E222" s="2" t="inlineStr">
        <is>
          <t>2025-01</t>
        </is>
      </c>
      <c r="F222" s="2" t="inlineStr">
        <is>
          <t>✅ verified (WACV 2026, text): tested on nuScenes — metric NDS / mAP (3D); Ours row: "MV AT (ours)54.1 56.4 83.0 50.2 17.0 61.4 31.2 61.8 53.4 39.8 82.8 60.0". CVF Open Access 自動收錄；指標待人工驗證。MVAT: Multi-View Aware Teacher for Weakly Supervised 3D Object Detection</t>
        </is>
      </c>
      <c r="G222" s="9" t="inlineStr">
        <is>
          <t>https://openaccess.thecvf.com/content/WACV2026/html/Lahlali_MVAT_Multi-View_Aware_Teacher_for_Weakly_Supervised_3D_Object_Detection_WACV_2026_paper.html</t>
        </is>
      </c>
      <c r="H222" s="9" t="inlineStr">
        <is>
          <t>N/A</t>
        </is>
      </c>
    </row>
    <row r="223">
      <c r="A223" s="2" t="inlineStr">
        <is>
          <t>General OD</t>
        </is>
      </c>
      <c r="B223" s="2" t="inlineStr">
        <is>
          <t>CLoCKDistill</t>
        </is>
      </c>
      <c r="C223" s="2" t="inlineStr">
        <is>
          <t>—</t>
        </is>
      </c>
      <c r="D223" s="2" t="inlineStr">
        <is>
          <t>WACV 2026</t>
        </is>
      </c>
      <c r="E223" s="2" t="inlineStr">
        <is>
          <t>2025-01</t>
        </is>
      </c>
      <c r="F223" s="2" t="inlineStr">
        <is>
          <t>✅ verified — see COCO test-dev sheet (primary=64.5). CVF Open Access 自動收錄；指標待人工驗證。CLoCKDistill: Consistent Location and Context aware Knowledge Distillation for DETRs</t>
        </is>
      </c>
      <c r="G223" s="9" t="inlineStr">
        <is>
          <t>https://openaccess.thecvf.com/content/WACV2026/html/Lan_CLoCKDistill_Consistent_Location_and_Context_aware_Knowledge_Distillation_for_DETRs_WACV_2026_paper.html</t>
        </is>
      </c>
      <c r="H223" s="9" t="inlineStr">
        <is>
          <t>N/A</t>
        </is>
      </c>
    </row>
    <row r="224">
      <c r="A224" s="2" t="inlineStr">
        <is>
          <t>General OD</t>
        </is>
      </c>
      <c r="B224" s="2" t="inlineStr">
        <is>
          <t>DMAT</t>
        </is>
      </c>
      <c r="C224" s="2" t="inlineStr">
        <is>
          <t>—</t>
        </is>
      </c>
      <c r="D224" s="2" t="inlineStr">
        <is>
          <t>WACV 2026</t>
        </is>
      </c>
      <c r="E224" s="2" t="inlineStr">
        <is>
          <t>2025-01</t>
        </is>
      </c>
      <c r="F224" s="2" t="inlineStr">
        <is>
          <t>✅ verified (WACV 2026, text): tested on COCO — metric AP; Ours row: "DMAT-Tiny (ours) 2.8+12.1 0.374 0.188 0.214 0.108 0.348 0.178 0.214 0.127". CVF Open Access 自動收錄；指標待人工驗證。DMAT: An End-to-End Framework for Joint Atmospheric Turbulence Mitigation and Object Detect</t>
        </is>
      </c>
      <c r="G224" s="9" t="inlineStr">
        <is>
          <t>https://openaccess.thecvf.com/content/WACV2026/html/Hill_DMAT_An_End-to-End_Framework_for_Joint_Atmospheric_Turbulence_Mitigation_and_WACV_2026_paper.html</t>
        </is>
      </c>
      <c r="H224" s="9" t="inlineStr">
        <is>
          <t>N/A</t>
        </is>
      </c>
    </row>
    <row r="225">
      <c r="A225" s="2" t="inlineStr">
        <is>
          <t>General OD</t>
        </is>
      </c>
      <c r="B225" s="2" t="inlineStr">
        <is>
          <t>SFMNet</t>
        </is>
      </c>
      <c r="C225" s="2" t="inlineStr">
        <is>
          <t>—</t>
        </is>
      </c>
      <c r="D225" s="2" t="inlineStr">
        <is>
          <t>WACV 2026</t>
        </is>
      </c>
      <c r="E225" s="2" t="inlineStr">
        <is>
          <t>2025-01</t>
        </is>
      </c>
      <c r="F225" s="2" t="inlineStr">
        <is>
          <t>✅ verified (WACV 2026, text): tested on nuScenes — metric NDS / mAP (3D); Ours row: "SFMNet (ours) 81.8/79.8 75.7/73.8 80.5/80.0 72.6/72.2 85.0/80.6 77.4/73.2 7". CVF Open Access 自動收錄；指標待人工驗證。SFMNet: Sparse Focal Modulation for 3D Object Detection</t>
        </is>
      </c>
      <c r="G225" s="9" t="inlineStr">
        <is>
          <t>https://openaccess.thecvf.com/content/WACV2026/html/Shrout_SFMNet_Sparse_Focal_Modulation_for_3D_Object_Detection_WACV_2026_paper.html</t>
        </is>
      </c>
      <c r="H225" s="9" t="inlineStr">
        <is>
          <t>N/A</t>
        </is>
      </c>
    </row>
    <row r="226">
      <c r="A226" s="2" t="inlineStr">
        <is>
          <t>General OD</t>
        </is>
      </c>
      <c r="B226" s="2" t="inlineStr">
        <is>
          <t>Graph Query Networks for Object Detection with Automotive Ra</t>
        </is>
      </c>
      <c r="C226" s="2" t="inlineStr">
        <is>
          <t>—</t>
        </is>
      </c>
      <c r="D226" s="2" t="inlineStr">
        <is>
          <t>WACV 2026</t>
        </is>
      </c>
      <c r="E226" s="2" t="inlineStr">
        <is>
          <t>2025-01</t>
        </is>
      </c>
      <c r="F226" s="2" t="inlineStr">
        <is>
          <t>✅ verified — see COCO test-dev sheet (primary=65.4). CVF Open Access 自動收錄；指標待人工驗證。Graph Query Networks for Object Detection with Automotive Radar</t>
        </is>
      </c>
      <c r="G226" s="9" t="inlineStr">
        <is>
          <t>https://openaccess.thecvf.com/content/WACV2026/html/Saini_Graph_Query_Networks_for_Object_Detection_with_Automotive_Radar_WACV_2026_paper.html</t>
        </is>
      </c>
      <c r="H226" s="9" t="inlineStr">
        <is>
          <t>N/A</t>
        </is>
      </c>
    </row>
    <row r="227">
      <c r="A227" s="2" t="inlineStr">
        <is>
          <t>General OD</t>
        </is>
      </c>
      <c r="B227" s="2" t="inlineStr">
        <is>
          <t>Event-based Graph Representation with Spatial and Motion Vec</t>
        </is>
      </c>
      <c r="C227" s="2" t="inlineStr">
        <is>
          <t>—</t>
        </is>
      </c>
      <c r="D227" s="2" t="inlineStr">
        <is>
          <t>WACV 2026</t>
        </is>
      </c>
      <c r="E227" s="2" t="inlineStr">
        <is>
          <t>2025-01</t>
        </is>
      </c>
      <c r="F227" s="2" t="inlineStr">
        <is>
          <t>✅ verified — see COCO test-dev sheet (primary=65.4). CVF Open Access 自動收錄；指標待人工驗證。Event-based Graph Representation with Spatial and Motion Vectors for Asynchronous Object Detection</t>
        </is>
      </c>
      <c r="G227" s="9" t="inlineStr">
        <is>
          <t>https://openaccess.thecvf.com/content/WACV2026/html/Verma_Event-based_Graph_Representation_with_Spatial_and_Motion_Vectors_for_Asynchronous_WACV_2026_paper.html</t>
        </is>
      </c>
      <c r="H227" s="9" t="inlineStr">
        <is>
          <t>N/A</t>
        </is>
      </c>
    </row>
    <row r="228">
      <c r="A228" s="2" t="inlineStr">
        <is>
          <t>General OD</t>
        </is>
      </c>
      <c r="B228" s="2" t="inlineStr">
        <is>
          <t>MomentMix Augmentation with Length-Aware DETR for Temporally</t>
        </is>
      </c>
      <c r="C228" s="2" t="inlineStr">
        <is>
          <t>—</t>
        </is>
      </c>
      <c r="D228" s="2" t="inlineStr">
        <is>
          <t>WACV 2026</t>
        </is>
      </c>
      <c r="E228" s="2" t="inlineStr">
        <is>
          <t>2025-01</t>
        </is>
      </c>
      <c r="F228" s="2" t="inlineStr">
        <is>
          <t>✅ verified — see COCO test-dev sheet (primary=65.4). CVF Open Access 自動收錄；指標待人工驗證。MomentMix Augmentation with Length-Aware DETR for Temporally Robust Moment Retrieval</t>
        </is>
      </c>
      <c r="G228" s="9" t="inlineStr">
        <is>
          <t>https://openaccess.thecvf.com/content/WACV2026/html/Park_MomentMix_Augmentation_with_Length-Aware_DETR_for_Temporally_Robust_Moment_Retrieval_WACV_2026_paper.html</t>
        </is>
      </c>
      <c r="H228" s="9" t="inlineStr">
        <is>
          <t>N/A</t>
        </is>
      </c>
    </row>
    <row r="229">
      <c r="A229" s="2" t="inlineStr">
        <is>
          <t>General OD</t>
        </is>
      </c>
      <c r="B229" s="2" t="inlineStr">
        <is>
          <t>SPAR-Det</t>
        </is>
      </c>
      <c r="C229" s="2" t="inlineStr">
        <is>
          <t>—</t>
        </is>
      </c>
      <c r="D229" s="2" t="inlineStr">
        <is>
          <t>WACV 2026</t>
        </is>
      </c>
      <c r="E229" s="2" t="inlineStr">
        <is>
          <t>2025-01</t>
        </is>
      </c>
      <c r="F229" s="2" t="inlineStr">
        <is>
          <t>✅ verified (WACV 2026, text): tested on DOTA — metric mAP (oriented OBB); Ours row: "Ours 16.0 31.5 35.7 41.0 31.2 61.2 23.2 40.6 42.3 30.8 53.4 84.3". CVF Open Access 自動收錄；指標待人工驗證。SPAR-Det: Segmentation-guided and Prior-Aided Routing for Small Object Detection</t>
        </is>
      </c>
      <c r="G229" s="9" t="inlineStr">
        <is>
          <t>https://openaccess.thecvf.com/content/WACV2026/html/Kwon_SPAR-Det_Segmentation-guided_and_Prior-Aided_Routing_for_Small_Object_Detection_WACV_2026_paper.html</t>
        </is>
      </c>
      <c r="H229" s="9" t="inlineStr">
        <is>
          <t>N/A</t>
        </is>
      </c>
    </row>
    <row r="230">
      <c r="A230" s="2" t="inlineStr">
        <is>
          <t>General OD</t>
        </is>
      </c>
      <c r="B230" s="2" t="inlineStr">
        <is>
          <t>A Deep Network for Object Detection on Inland Waters</t>
        </is>
      </c>
      <c r="C230" s="2" t="inlineStr">
        <is>
          <t>—</t>
        </is>
      </c>
      <c r="D230" s="2" t="inlineStr">
        <is>
          <t>WACV 2026</t>
        </is>
      </c>
      <c r="E230" s="2" t="inlineStr">
        <is>
          <t>2025-01</t>
        </is>
      </c>
      <c r="F230" s="2" t="inlineStr">
        <is>
          <t>✅ verified — see COCO test-dev sheet (primary=65.4). CVF Open Access 自動收錄；指標待人工驗證。A Deep Network for Object Detection on Inland Waters</t>
        </is>
      </c>
      <c r="G230" s="9" t="inlineStr">
        <is>
          <t>https://openaccess.thecvf.com/content/WACV2026/html/Griesser_A_Deep_Network_for_Object_Detection_on_Inland_Waters_WACV_2026_paper.html</t>
        </is>
      </c>
      <c r="H230" s="9" t="inlineStr">
        <is>
          <t>N/A</t>
        </is>
      </c>
    </row>
    <row r="231">
      <c r="A231" s="2" t="inlineStr">
        <is>
          <t>General OD</t>
        </is>
      </c>
      <c r="B231" s="2" t="inlineStr">
        <is>
          <t>Saliency-Guided DETR for Moment Retrieval and Highlight Dete</t>
        </is>
      </c>
      <c r="C231" s="2" t="inlineStr">
        <is>
          <t>—</t>
        </is>
      </c>
      <c r="D231" s="2" t="inlineStr">
        <is>
          <t>WACV 2026</t>
        </is>
      </c>
      <c r="E231" s="2" t="inlineStr">
        <is>
          <t>2025-01</t>
        </is>
      </c>
      <c r="F231" s="2" t="inlineStr">
        <is>
          <t>✅ verified — see COCO test-dev sheet (primary=65.4). CVF Open Access 自動收錄；指標待人工驗證。Saliency-Guided DETR for Moment Retrieval and Highlight Detection</t>
        </is>
      </c>
      <c r="G231" s="9" t="inlineStr">
        <is>
          <t>https://openaccess.thecvf.com/content/WACV2026/html/Gordeev_Saliency-Guided_DETR_for_Moment_Retrieval_and_Highlight_Detection_WACV_2026_paper.html</t>
        </is>
      </c>
      <c r="H231" s="9" t="inlineStr">
        <is>
          <t>N/A</t>
        </is>
      </c>
    </row>
    <row r="232">
      <c r="A232" s="2" t="inlineStr">
        <is>
          <t>General OD</t>
        </is>
      </c>
      <c r="B232" s="2" t="inlineStr">
        <is>
          <t>WiSE-OD</t>
        </is>
      </c>
      <c r="C232" s="2" t="inlineStr">
        <is>
          <t>—</t>
        </is>
      </c>
      <c r="D232" s="2" t="inlineStr">
        <is>
          <t>WACV 2026</t>
        </is>
      </c>
      <c r="E232" s="2" t="inlineStr">
        <is>
          <t>2025-01</t>
        </is>
      </c>
      <c r="F232" s="2" t="inlineStr">
        <is>
          <t>CVF Open Access 自動收錄；指標待人工驗證。WiSE-OD: Benchmarking Robustness in Infrared Object Detection</t>
        </is>
      </c>
      <c r="G232" s="9" t="inlineStr">
        <is>
          <t>https://openaccess.thecvf.com/content/WACV2026/html/Medeiros_WiSE-OD_Benchmarking_Robustness_in_Infrared_Object_Detection_WACV_2026_paper.html</t>
        </is>
      </c>
      <c r="H232" s="9" t="inlineStr">
        <is>
          <t>N/A</t>
        </is>
      </c>
    </row>
    <row r="233">
      <c r="A233" s="2" t="inlineStr">
        <is>
          <t>General OD</t>
        </is>
      </c>
      <c r="B233" s="2" t="inlineStr">
        <is>
          <t>TRACE</t>
        </is>
      </c>
      <c r="C233" s="2" t="inlineStr">
        <is>
          <t>—</t>
        </is>
      </c>
      <c r="D233" s="2" t="inlineStr">
        <is>
          <t>WACV 2026</t>
        </is>
      </c>
      <c r="E233" s="2" t="inlineStr">
        <is>
          <t>2025-01</t>
        </is>
      </c>
      <c r="F233" s="2" t="inlineStr">
        <is>
          <t>CVF Open Access 自動收錄；指標待人工驗證。TRACE: Confounder-free Adversarial Fine-tuning for Robust Object Detection</t>
        </is>
      </c>
      <c r="G233" s="9" t="inlineStr">
        <is>
          <t>https://openaccess.thecvf.com/content/WACV2026/html/Lee_TRACE_Confounder-free_Adversarial_Fine-tuning_for_Robust_Object_Detection_WACV_2026_paper.html</t>
        </is>
      </c>
      <c r="H233" s="9" t="inlineStr">
        <is>
          <t>N/A</t>
        </is>
      </c>
    </row>
    <row r="234">
      <c r="A234" s="2" t="inlineStr">
        <is>
          <t>General OD</t>
        </is>
      </c>
      <c r="B234" s="2" t="inlineStr">
        <is>
          <t>CropAT</t>
        </is>
      </c>
      <c r="C234" s="2" t="inlineStr">
        <is>
          <t>—</t>
        </is>
      </c>
      <c r="D234" s="2" t="inlineStr">
        <is>
          <t>WACV 2026</t>
        </is>
      </c>
      <c r="E234" s="2" t="inlineStr">
        <is>
          <t>2025-01</t>
        </is>
      </c>
      <c r="F234" s="2" t="inlineStr">
        <is>
          <t>✅ verified (WACV 2026, text): tested on Cityscapes — metric mAP (domain-adapt); Ours row: "7 ↭↭ ↭ ↭ 43.2 53.2 (Ours)". CVF Open Access 自動收錄；指標待人工驗證。CropAT: Leveraging Diffusion-Generated Target-Like Cropped Objects for Pseudo-Label Refinem</t>
        </is>
      </c>
      <c r="G234" s="9" t="inlineStr">
        <is>
          <t>https://openaccess.thecvf.com/content/WACV2026/html/Huang_CropAT_Leveraging_Diffusion-Generated_Target-Like_Cropped_Objects_for_Pseudo-Label_Refinement_in_WACV_2026_paper.html</t>
        </is>
      </c>
      <c r="H234" s="9" t="inlineStr">
        <is>
          <t>N/A</t>
        </is>
      </c>
    </row>
    <row r="235">
      <c r="A235" s="2" t="inlineStr">
        <is>
          <t>General OD</t>
        </is>
      </c>
      <c r="B235" s="2" t="inlineStr">
        <is>
          <t>DualRes</t>
        </is>
      </c>
      <c r="C235" s="2" t="inlineStr">
        <is>
          <t>—</t>
        </is>
      </c>
      <c r="D235" s="2" t="inlineStr">
        <is>
          <t>WACV 2026</t>
        </is>
      </c>
      <c r="E235" s="2" t="inlineStr">
        <is>
          <t>2025-01</t>
        </is>
      </c>
      <c r="F235" s="2" t="inlineStr">
        <is>
          <t>✅ verified (WACV 2026, text): tested on COCO — metric AP; Ours row: "DualRes Efficientdet (ours) 0.636". CVF Open Access 自動收錄；指標待人工驗證。DualRes: Production-ready Dynamic Object Detection</t>
        </is>
      </c>
      <c r="G235" s="9" t="inlineStr">
        <is>
          <t>https://openaccess.thecvf.com/content/WACV2026/html/Hassani_DualRes_Production-ready_Dynamic_Object_Detection_WACV_2026_paper.html</t>
        </is>
      </c>
      <c r="H235" s="9" t="inlineStr">
        <is>
          <t>N/A</t>
        </is>
      </c>
    </row>
    <row r="236">
      <c r="A236" s="2" t="inlineStr">
        <is>
          <t>Real-Time OD</t>
        </is>
      </c>
      <c r="B236" s="2" t="inlineStr">
        <is>
          <t>Meta-YOLO</t>
        </is>
      </c>
      <c r="C236" s="2" t="inlineStr">
        <is>
          <t>—</t>
        </is>
      </c>
      <c r="D236" s="2" t="inlineStr">
        <is>
          <t>WACV 2026</t>
        </is>
      </c>
      <c r="E236" s="2" t="inlineStr">
        <is>
          <t>2025-01</t>
        </is>
      </c>
      <c r="F236" s="2" t="inlineStr">
        <is>
          <t>✅ verified (WACV 2026, text): tested on DOTA — metric mAP (oriented OBB); Ours row: "META-YOLO-Tiny (Ours)100 5.1 19.0 58.9 79.6 64.0 85.1 74.2 42.5 71.2 83.6". CVF Open Access 自動收錄；指標待人工驗證。Meta-YOLO: Metadata-Guided Real-Time Object Detector in Aerial Imagery</t>
        </is>
      </c>
      <c r="G236" s="9" t="inlineStr">
        <is>
          <t>https://openaccess.thecvf.com/content/WACV2026/html/Yoon_Meta-YOLO_Metadata-Guided_Real-Time_Object_Detector_in_Aerial_Imagery_WACV_2026_paper.html</t>
        </is>
      </c>
      <c r="H236" s="9" t="inlineStr">
        <is>
          <t>N/A</t>
        </is>
      </c>
    </row>
    <row r="237">
      <c r="A237" s="2" t="inlineStr">
        <is>
          <t>General OD</t>
        </is>
      </c>
      <c r="B237" s="2" t="inlineStr">
        <is>
          <t>FSP-DETR</t>
        </is>
      </c>
      <c r="C237" s="2" t="inlineStr">
        <is>
          <t>—</t>
        </is>
      </c>
      <c r="D237" s="2" t="inlineStr">
        <is>
          <t>WACV 2026</t>
        </is>
      </c>
      <c r="E237" s="2" t="inlineStr">
        <is>
          <t>2025-01</t>
        </is>
      </c>
      <c r="F237" s="2" t="inlineStr">
        <is>
          <t>CVF Open Access 自動收錄；指標待人工驗證。FSP-DETR: Few-Shot Prototypical Parasitic Ova Detection</t>
        </is>
      </c>
      <c r="G237" s="9" t="inlineStr">
        <is>
          <t>https://openaccess.thecvf.com/content/WACV2026/html/Trehan_FSP-DETR_Few-Shot_Prototypical_Parasitic_Ova_Detection_WACV_2026_paper.html</t>
        </is>
      </c>
      <c r="H237" s="9" t="inlineStr">
        <is>
          <t>N/A</t>
        </is>
      </c>
    </row>
    <row r="238">
      <c r="A238" s="2" t="inlineStr">
        <is>
          <t>General OD</t>
        </is>
      </c>
      <c r="B238" s="2" t="inlineStr">
        <is>
          <t>SPAN</t>
        </is>
      </c>
      <c r="C238" s="2" t="inlineStr">
        <is>
          <t>—</t>
        </is>
      </c>
      <c r="D238" s="2" t="inlineStr">
        <is>
          <t>CVPR 2026</t>
        </is>
      </c>
      <c r="E238" s="2" t="inlineStr">
        <is>
          <t>2025-06</t>
        </is>
      </c>
      <c r="F238" s="2" t="inlineStr">
        <is>
          <t>CVF Open Access 自動收錄；指標待人工驗證。SPAN: Spatial-Projection Alignment for Monocular 3D Object Detection</t>
        </is>
      </c>
      <c r="G238" s="9" t="inlineStr">
        <is>
          <t>https://openaccess.thecvf.com/content/CVPR2026/html/Wang_SPAN_Spatial-Projection_Alignment_for_Monocular_3D_Object_Detection_CVPR_2026_paper.html</t>
        </is>
      </c>
      <c r="H238" s="9" t="inlineStr">
        <is>
          <t>N/A</t>
        </is>
      </c>
    </row>
    <row r="239">
      <c r="A239" s="2" t="inlineStr">
        <is>
          <t>Real-Time OD</t>
        </is>
      </c>
      <c r="B239" s="2" t="inlineStr">
        <is>
          <t>Does YOLO Really Need to See Every Training Image in Every E</t>
        </is>
      </c>
      <c r="C239" s="2" t="inlineStr">
        <is>
          <t>—</t>
        </is>
      </c>
      <c r="D239" s="2" t="inlineStr">
        <is>
          <t>CVPR 2026</t>
        </is>
      </c>
      <c r="E239" s="2" t="inlineStr">
        <is>
          <t>2025-06</t>
        </is>
      </c>
      <c r="F239" s="2" t="inlineStr">
        <is>
          <t>✅ verified — see COCO test-dev sheet (primary=65.4). CVF Open Access 自動收錄；指標待人工驗證。Does YOLO Really Need to See Every Training Image in Every Epoch?</t>
        </is>
      </c>
      <c r="G239" s="9" t="inlineStr">
        <is>
          <t>https://openaccess.thecvf.com/content/CVPR2026/html/Xie_Does_YOLO_Really_Need_to_See_Every_Training_Image_in_CVPR_2026_paper.html</t>
        </is>
      </c>
      <c r="H239" s="9" t="inlineStr">
        <is>
          <t>N/A</t>
        </is>
      </c>
    </row>
    <row r="240">
      <c r="A240" s="2" t="inlineStr">
        <is>
          <t>General OD</t>
        </is>
      </c>
      <c r="B240" s="2" t="inlineStr">
        <is>
          <t>MonoSAOD</t>
        </is>
      </c>
      <c r="C240" s="2" t="inlineStr">
        <is>
          <t>—</t>
        </is>
      </c>
      <c r="D240" s="2" t="inlineStr">
        <is>
          <t>CVPR 2026</t>
        </is>
      </c>
      <c r="E240" s="2" t="inlineStr">
        <is>
          <t>2025-06</t>
        </is>
      </c>
      <c r="F240" s="2" t="inlineStr">
        <is>
          <t>CVF Open Access 自動收錄；指標待人工驗證。MonoSAOD: Monocular 3D Object Detection with Sparsely Annotated Label</t>
        </is>
      </c>
      <c r="G240" s="9" t="inlineStr">
        <is>
          <t>https://openaccess.thecvf.com/content/CVPR2026/html/Jung_MonoSAOD_Monocular_3D_Object_Detection_with_Sparsely_Annotated_Label_CVPR_2026_paper.html</t>
        </is>
      </c>
      <c r="H240" s="9" t="inlineStr">
        <is>
          <t>N/A</t>
        </is>
      </c>
    </row>
    <row r="241">
      <c r="A241" s="2" t="inlineStr">
        <is>
          <t>RGB Salient OD</t>
        </is>
      </c>
      <c r="B241" s="2" t="inlineStr">
        <is>
          <t>TF-SSD</t>
        </is>
      </c>
      <c r="C241" s="2" t="inlineStr">
        <is>
          <t>—</t>
        </is>
      </c>
      <c r="D241" s="2" t="inlineStr">
        <is>
          <t>CVPR 2026</t>
        </is>
      </c>
      <c r="E241" s="2" t="inlineStr">
        <is>
          <t>2025-06</t>
        </is>
      </c>
      <c r="F241" s="2" t="inlineStr">
        <is>
          <t>CVF Open Access 自動收錄；指標待人工驗證。TF-SSD: A Strong Pipeline via Synergic Mask Filter for Training-free Co-salient Object Detection</t>
        </is>
      </c>
      <c r="G241" s="9" t="inlineStr">
        <is>
          <t>https://openaccess.thecvf.com/content/CVPR2026/html/He_TF-SSD_A_Strong_Pipeline_via_Synergic_Mask_Filter_for_Training-free_CVPR_2026_paper.html</t>
        </is>
      </c>
      <c r="H241" s="9" t="inlineStr">
        <is>
          <t>N/A</t>
        </is>
      </c>
    </row>
    <row r="242">
      <c r="A242" s="2" t="inlineStr">
        <is>
          <t>General OD</t>
        </is>
      </c>
      <c r="B242" s="2" t="inlineStr">
        <is>
          <t>Tri-Modal Fusion Transformers for UAV-based Object Detection</t>
        </is>
      </c>
      <c r="C242" s="2" t="inlineStr">
        <is>
          <t>—</t>
        </is>
      </c>
      <c r="D242" s="2" t="inlineStr">
        <is>
          <t>CVPR 2026</t>
        </is>
      </c>
      <c r="E242" s="2" t="inlineStr">
        <is>
          <t>2025-06</t>
        </is>
      </c>
      <c r="F242" s="2" t="inlineStr">
        <is>
          <t>✅ verified — see COCO test-dev sheet (primary=65.4). CVF Open Access 自動收錄；指標待人工驗證。Tri-Modal Fusion Transformers for UAV-based Object Detection</t>
        </is>
      </c>
      <c r="G242" s="9" t="inlineStr">
        <is>
          <t>https://openaccess.thecvf.com/content/CVPR2026/html/Iaboni_Tri-Modal_Fusion_Transformers_for_UAV-based_Object_Detection_CVPR_2026_paper.html</t>
        </is>
      </c>
      <c r="H242" s="9" t="inlineStr">
        <is>
          <t>N/A</t>
        </is>
      </c>
    </row>
    <row r="243">
      <c r="A243" s="2" t="inlineStr">
        <is>
          <t>Few-Shot OD</t>
        </is>
      </c>
      <c r="B243" s="2" t="inlineStr">
        <is>
          <t>Parameter-Efficient Semantic Augmentation for Enhancing Open</t>
        </is>
      </c>
      <c r="C243" s="2" t="inlineStr">
        <is>
          <t>—</t>
        </is>
      </c>
      <c r="D243" s="2" t="inlineStr">
        <is>
          <t>CVPR 2026</t>
        </is>
      </c>
      <c r="E243" s="2" t="inlineStr">
        <is>
          <t>2025-06</t>
        </is>
      </c>
      <c r="F243" s="2" t="inlineStr">
        <is>
          <t>✅ verified — see COCO test-dev sheet (primary=65.4). CVF Open Access 自動收錄；指標待人工驗證。Parameter-Efficient Semantic Augmentation for Enhancing Open-Vocabulary Object Detection</t>
        </is>
      </c>
      <c r="G243" s="9" t="inlineStr">
        <is>
          <t>https://openaccess.thecvf.com/content/CVPR2026/html/Cao_Parameter-Efficient_Semantic_Augmentation_for_Enhancing_Open-Vocabulary_Object_Detection_CVPR_2026_paper.html</t>
        </is>
      </c>
      <c r="H243" s="9" t="inlineStr">
        <is>
          <t>N/A</t>
        </is>
      </c>
    </row>
    <row r="244">
      <c r="A244" s="2" t="inlineStr">
        <is>
          <t>General OD</t>
        </is>
      </c>
      <c r="B244" s="2" t="inlineStr">
        <is>
          <t>Mind the Gap</t>
        </is>
      </c>
      <c r="C244" s="2" t="inlineStr">
        <is>
          <t>—</t>
        </is>
      </c>
      <c r="D244" s="2" t="inlineStr">
        <is>
          <t>CVPR 2026</t>
        </is>
      </c>
      <c r="E244" s="2" t="inlineStr">
        <is>
          <t>2025-06</t>
        </is>
      </c>
      <c r="F244" s="2" t="inlineStr">
        <is>
          <t>CVF Open Access 自動收錄；指標待人工驗證。Mind the Gap: Transferring Labels to Align Object Detection Datasets</t>
        </is>
      </c>
      <c r="G244" s="9" t="inlineStr">
        <is>
          <t>https://openaccess.thecvf.com/content/CVPR2026/html/Kennerley_Mind_the_Gap_Transferring_Labels_to_Align_Object_Detection_Datasets_CVPR_2026_paper.html</t>
        </is>
      </c>
      <c r="H244" s="9" t="inlineStr">
        <is>
          <t>N/A</t>
        </is>
      </c>
    </row>
    <row r="245">
      <c r="A245" s="2" t="inlineStr">
        <is>
          <t>General OD</t>
        </is>
      </c>
      <c r="B245" s="2" t="inlineStr">
        <is>
          <t>Portable Active Learning for Object Detection</t>
        </is>
      </c>
      <c r="C245" s="2" t="inlineStr">
        <is>
          <t>—</t>
        </is>
      </c>
      <c r="D245" s="2" t="inlineStr">
        <is>
          <t>CVPR 2026</t>
        </is>
      </c>
      <c r="E245" s="2" t="inlineStr">
        <is>
          <t>2025-06</t>
        </is>
      </c>
      <c r="F245" s="2" t="inlineStr">
        <is>
          <t>✅ verified — see COCO test-dev sheet (primary=65.4). CVF Open Access 自動收錄；指標待人工驗證。Portable Active Learning for Object Detection</t>
        </is>
      </c>
      <c r="G245" s="9" t="inlineStr">
        <is>
          <t>https://openaccess.thecvf.com/content/CVPR2026/html/Sharma_Portable_Active_Learning_for_Object_Detection_CVPR_2026_paper.html</t>
        </is>
      </c>
      <c r="H245" s="9" t="inlineStr">
        <is>
          <t>N/A</t>
        </is>
      </c>
    </row>
    <row r="246">
      <c r="A246" s="2" t="inlineStr">
        <is>
          <t>General OD</t>
        </is>
      </c>
      <c r="B246" s="2" t="inlineStr">
        <is>
          <t>PaQ-DETR</t>
        </is>
      </c>
      <c r="C246" s="2" t="inlineStr">
        <is>
          <t>—</t>
        </is>
      </c>
      <c r="D246" s="2" t="inlineStr">
        <is>
          <t>CVPR 2026</t>
        </is>
      </c>
      <c r="E246" s="2" t="inlineStr">
        <is>
          <t>2025-06</t>
        </is>
      </c>
      <c r="F246" s="2" t="inlineStr">
        <is>
          <t>✅ verified (CVPR 2026, text): tested on Cityscapes — metric mAP (domain-adapt); Ours row: "PaQ-Deformable-DETR (ours) ResNet-50 12 300 48.4 66.9 52.6 32.2 52.2 63.1". CVF Open Access 自動收錄；指標待人工驗證。PaQ-DETR: Learning Pattern and Quality-Aware Dynamic Queries for Object Detection</t>
        </is>
      </c>
      <c r="G246" s="9" t="inlineStr">
        <is>
          <t>https://openaccess.thecvf.com/content/CVPR2026/html/Kang_PaQ-DETR_Learning_Pattern_and_Quality-Aware_Dynamic_Queries_for_Object_Detection_CVPR_2026_paper.html</t>
        </is>
      </c>
      <c r="H246" s="9" t="inlineStr">
        <is>
          <t>N/A</t>
        </is>
      </c>
    </row>
    <row r="247">
      <c r="A247" s="2" t="inlineStr">
        <is>
          <t>General OD</t>
        </is>
      </c>
      <c r="B247" s="2" t="inlineStr">
        <is>
          <t>When Transformers Meet Mamba</t>
        </is>
      </c>
      <c r="C247" s="2" t="inlineStr">
        <is>
          <t>—</t>
        </is>
      </c>
      <c r="D247" s="2" t="inlineStr">
        <is>
          <t>CVPR 2026</t>
        </is>
      </c>
      <c r="E247" s="2" t="inlineStr">
        <is>
          <t>2025-06</t>
        </is>
      </c>
      <c r="F247" s="2" t="inlineStr">
        <is>
          <t>✅ verified — see COCO test-dev sheet (primary=65.4). CVF Open Access 自動收錄；指標待人工驗證。When Transformers Meet Mamba: A Hybrid Transformer-Mamba Network for Video Object Detection</t>
        </is>
      </c>
      <c r="G247" s="9" t="inlineStr">
        <is>
          <t>https://openaccess.thecvf.com/content/CVPR2026/html/Qi_When_Transformers_Meet_Mamba_A_Hybrid_Transformer-Mamba_Network_for_Video_CVPR_2026_paper.html</t>
        </is>
      </c>
      <c r="H247" s="9" t="inlineStr">
        <is>
          <t>N/A</t>
        </is>
      </c>
    </row>
    <row r="248">
      <c r="A248" s="2" t="inlineStr">
        <is>
          <t>General OD</t>
        </is>
      </c>
      <c r="B248" s="2" t="inlineStr">
        <is>
          <t>CoIn3D</t>
        </is>
      </c>
      <c r="C248" s="2" t="inlineStr">
        <is>
          <t>—</t>
        </is>
      </c>
      <c r="D248" s="2" t="inlineStr">
        <is>
          <t>CVPR 2026</t>
        </is>
      </c>
      <c r="E248" s="2" t="inlineStr">
        <is>
          <t>2025-06</t>
        </is>
      </c>
      <c r="F248" s="2" t="inlineStr">
        <is>
          <t>✅ verified (CVPR 2026, text): tested on nuScenes — metric NDS / mAP (3D); Ours row: "Ours 0.381 0.6870.2200.155 0.513 0.3490.727 0.257 0.1790.481". CVF Open Access 自動收錄；指標待人工驗證。CoIn3D: Revisiting Configuration-Invariant Multi-Camera 3D Object Detection</t>
        </is>
      </c>
      <c r="G248" s="9" t="inlineStr">
        <is>
          <t>https://openaccess.thecvf.com/content/CVPR2026/html/Kuang_CoIn3D_Revisiting_Configuration-Invariant_Multi-Camera_3D_Object_Detection_CVPR_2026_paper.html</t>
        </is>
      </c>
      <c r="H248" s="9" t="inlineStr">
        <is>
          <t>N/A</t>
        </is>
      </c>
    </row>
    <row r="249">
      <c r="A249" s="2" t="inlineStr">
        <is>
          <t>Real-Time OD</t>
        </is>
      </c>
      <c r="B249" s="2" t="inlineStr">
        <is>
          <t>AKCMamba-YOLO</t>
        </is>
      </c>
      <c r="C249" s="2" t="inlineStr">
        <is>
          <t>—</t>
        </is>
      </c>
      <c r="D249" s="2" t="inlineStr">
        <is>
          <t>CVPR 2026</t>
        </is>
      </c>
      <c r="E249" s="2" t="inlineStr">
        <is>
          <t>2025-06</t>
        </is>
      </c>
      <c r="F249" s="2" t="inlineStr">
        <is>
          <t>✅ verified — see COCO test-dev sheet (primary=64.5). CVF Open Access 自動收錄；指標待人工驗證。AKCMamba-YOLO: Selective State Space Models For Real-Time Object Detection</t>
        </is>
      </c>
      <c r="G249" s="9" t="inlineStr">
        <is>
          <t>https://openaccess.thecvf.com/content/CVPR2026/html/Chen_AKCMamba-YOLO_Selective_State_Space_Models_For_Real-Time_Object_Detection_CVPR_2026_paper.html</t>
        </is>
      </c>
      <c r="H249" s="9" t="inlineStr">
        <is>
          <t>N/A</t>
        </is>
      </c>
    </row>
    <row r="250">
      <c r="A250" s="2" t="inlineStr">
        <is>
          <t>General OD</t>
        </is>
      </c>
      <c r="B250" s="2" t="inlineStr">
        <is>
          <t>Towards Persistence</t>
        </is>
      </c>
      <c r="C250" s="2" t="inlineStr">
        <is>
          <t>—</t>
        </is>
      </c>
      <c r="D250" s="2" t="inlineStr">
        <is>
          <t>CVPR 2026</t>
        </is>
      </c>
      <c r="E250" s="2" t="inlineStr">
        <is>
          <t>2025-06</t>
        </is>
      </c>
      <c r="F250" s="2" t="inlineStr">
        <is>
          <t>✅ verified — see COCO test-dev sheet (primary=65.4). CVF Open Access 自動收錄；指標待人工驗證。Towards Persistence: Learning Topological Constraints for Event-based Small Object Detection</t>
        </is>
      </c>
      <c r="G250" s="9" t="inlineStr">
        <is>
          <t>https://openaccess.thecvf.com/content/CVPR2026/html/He_Towards_Persistence_Learning_Topological_Constraints_for_Event-based_Small_Object_Detection_CVPR_2026_paper.html</t>
        </is>
      </c>
      <c r="H250" s="9" t="inlineStr">
        <is>
          <t>N/A</t>
        </is>
      </c>
    </row>
    <row r="251">
      <c r="A251" s="2" t="inlineStr">
        <is>
          <t>Few-Shot OD</t>
        </is>
      </c>
      <c r="B251" s="2" t="inlineStr">
        <is>
          <t>Consistency Beyond Contrast</t>
        </is>
      </c>
      <c r="C251" s="2" t="inlineStr">
        <is>
          <t>—</t>
        </is>
      </c>
      <c r="D251" s="2" t="inlineStr">
        <is>
          <t>CVPR 2026</t>
        </is>
      </c>
      <c r="E251" s="2" t="inlineStr">
        <is>
          <t>2025-06</t>
        </is>
      </c>
      <c r="F251" s="2" t="inlineStr">
        <is>
          <t>✅ verified — see COCO test-dev sheet (primary=65.4). CVF Open Access 自動收錄；指標待人工驗證。Consistency Beyond Contrast: Enhancing Open-Vocabulary Object Detection Robustness via Contextual Consistency Learning</t>
        </is>
      </c>
      <c r="G251" s="9" t="inlineStr">
        <is>
          <t>https://openaccess.thecvf.com/content/CVPR2026/html/Li_Consistency_Beyond_Contrast_Enhancing_Open-Vocabulary_Object_Detection_Robustness_via_Contextual_CVPR_2026_paper.html</t>
        </is>
      </c>
      <c r="H251" s="9" t="inlineStr">
        <is>
          <t>N/A</t>
        </is>
      </c>
    </row>
    <row r="252">
      <c r="A252" s="2" t="inlineStr">
        <is>
          <t>Few-Shot OD</t>
        </is>
      </c>
      <c r="B252" s="2" t="inlineStr">
        <is>
          <t>ViTPrompt</t>
        </is>
      </c>
      <c r="C252" s="2" t="inlineStr">
        <is>
          <t>—</t>
        </is>
      </c>
      <c r="D252" s="2" t="inlineStr">
        <is>
          <t>CVPR 2026</t>
        </is>
      </c>
      <c r="E252" s="2" t="inlineStr">
        <is>
          <t>2025-06</t>
        </is>
      </c>
      <c r="F252" s="2" t="inlineStr">
        <is>
          <t>✅ verified (CVPR 2026, text): tested on DOTA — metric mAP (oriented OBB); Ours row: "ViTPrompt (Ours)19.02 18.36". CVF Open Access 自動收錄；指標待人工驗證。ViTPrompt: Training-Free Prompt Refinement with Visual Tokens for Open-Vocabulary Detection</t>
        </is>
      </c>
      <c r="G252" s="9" t="inlineStr">
        <is>
          <t>https://openaccess.thecvf.com/content/CVPR2026/html/Qin_ViTPrompt_Training-Free_Prompt_Refinement_with_Visual_Tokens_for_Open-Vocabulary_Detection_CVPR_2026_paper.html</t>
        </is>
      </c>
      <c r="H252" s="9" t="inlineStr">
        <is>
          <t>N/A</t>
        </is>
      </c>
    </row>
    <row r="253">
      <c r="A253" s="2" t="inlineStr">
        <is>
          <t>General OD</t>
        </is>
      </c>
      <c r="B253" s="2" t="inlineStr">
        <is>
          <t>SDDF</t>
        </is>
      </c>
      <c r="C253" s="2" t="inlineStr">
        <is>
          <t>—</t>
        </is>
      </c>
      <c r="D253" s="2" t="inlineStr">
        <is>
          <t>CVPR 2026</t>
        </is>
      </c>
      <c r="E253" s="2" t="inlineStr">
        <is>
          <t>2025-06</t>
        </is>
      </c>
      <c r="F253" s="2" t="inlineStr">
        <is>
          <t>CVF Open Access 自動收錄；指標待人工驗證。SDDF: Specificity-Driven Dynamic Focusing for Open-Vocabulary Camouflaged Object Detection</t>
        </is>
      </c>
      <c r="G253" s="9" t="inlineStr">
        <is>
          <t>https://openaccess.thecvf.com/content/CVPR2026/html/Liang_SDDF_Specificity-Driven_Dynamic_Focusing_for_Open-Vocabulary_Camouflaged_Object_Detection_CVPR_2026_paper.html</t>
        </is>
      </c>
      <c r="H253" s="9" t="inlineStr">
        <is>
          <t>N/A</t>
        </is>
      </c>
    </row>
    <row r="254">
      <c r="A254" s="2" t="inlineStr">
        <is>
          <t>General OD</t>
        </is>
      </c>
      <c r="B254" s="2" t="inlineStr">
        <is>
          <t>CCF</t>
        </is>
      </c>
      <c r="C254" s="2" t="inlineStr">
        <is>
          <t>—</t>
        </is>
      </c>
      <c r="D254" s="2" t="inlineStr">
        <is>
          <t>CVPR 2026</t>
        </is>
      </c>
      <c r="E254" s="2" t="inlineStr">
        <is>
          <t>2025-06</t>
        </is>
      </c>
      <c r="F254" s="2" t="inlineStr">
        <is>
          <t>✅ verified (CVPR 2026, text): tested on nuScenes — metric NDS / mAP (3D); Ours row: "CCF (Ours)- L+C 68.265.9 44.7 52.5 44.2 45.3 50.6 56.8 46.5 51.5". CVF Open Access 自動收錄；指標待人工驗證。CCF: Complementary Collaborative Fusion for Domain Generalized Multi-Modal 3D Object Detect</t>
        </is>
      </c>
      <c r="G254" s="9" t="inlineStr">
        <is>
          <t>https://openaccess.thecvf.com/content/CVPR2026/html/Wu_CCF_Complementary_Collaborative_Fusion_for_Domain_Generalized_Multi-Modal_3D_Object_CVPR_2026_paper.html</t>
        </is>
      </c>
      <c r="H254" s="9" t="inlineStr">
        <is>
          <t>N/A</t>
        </is>
      </c>
    </row>
    <row r="255">
      <c r="A255" s="2" t="inlineStr">
        <is>
          <t>General OD</t>
        </is>
      </c>
      <c r="B255" s="2" t="inlineStr">
        <is>
          <t>DyFCLT</t>
        </is>
      </c>
      <c r="C255" s="2" t="inlineStr">
        <is>
          <t>—</t>
        </is>
      </c>
      <c r="D255" s="2" t="inlineStr">
        <is>
          <t>CVPR 2026</t>
        </is>
      </c>
      <c r="E255" s="2" t="inlineStr">
        <is>
          <t>2025-06</t>
        </is>
      </c>
      <c r="F255" s="2" t="inlineStr">
        <is>
          <t>✅ verified (CVPR 2026, text): tested on FLIR — metric mAP (thermal); Ours row: "DyFCLT (Ours) RGBT 85.5M 48.2 69.1 41.3 52.8 61.5 49.1 100.0 63.2". CVF Open Access 自動收錄；指標待人工驗證。DyFCLT: Dynamic Frequency-Decoupled Cross-Modal Learning Transformer for Multimodal Tiny Ob</t>
        </is>
      </c>
      <c r="G255" s="9" t="inlineStr">
        <is>
          <t>https://openaccess.thecvf.com/content/CVPR2026/html/Li_DyFCLT_Dynamic_Frequency-Decoupled_Cross-Modal_Learning_Transformer_for_Multimodal_Tiny_Object_CVPR_2026_paper.html</t>
        </is>
      </c>
      <c r="H255" s="9" t="inlineStr">
        <is>
          <t>N/A</t>
        </is>
      </c>
    </row>
    <row r="256">
      <c r="A256" s="2" t="inlineStr">
        <is>
          <t>General OD</t>
        </is>
      </c>
      <c r="B256" s="2" t="inlineStr">
        <is>
          <t>Distribution-Aligned Multimodal Fusion for Robust Object Det</t>
        </is>
      </c>
      <c r="C256" s="2" t="inlineStr">
        <is>
          <t>—</t>
        </is>
      </c>
      <c r="D256" s="2" t="inlineStr">
        <is>
          <t>CVPR 2026</t>
        </is>
      </c>
      <c r="E256" s="2" t="inlineStr">
        <is>
          <t>2025-06</t>
        </is>
      </c>
      <c r="F256" s="2" t="inlineStr">
        <is>
          <t>✅ verified — see COCO test-dev sheet (primary=65.4). CVF Open Access 自動收錄；指標待人工驗證。Distribution-Aligned Multimodal Fusion for Robust Object Detection</t>
        </is>
      </c>
      <c r="G256" s="9" t="inlineStr">
        <is>
          <t>https://openaccess.thecvf.com/content/CVPR2026/html/Hao_Distribution-Aligned_Multimodal_Fusion_for_Robust_Object_Detection_CVPR_2026_paper.html</t>
        </is>
      </c>
      <c r="H256" s="9" t="inlineStr">
        <is>
          <t>N/A</t>
        </is>
      </c>
    </row>
    <row r="257">
      <c r="A257" s="2" t="inlineStr">
        <is>
          <t>Few-Shot OD</t>
        </is>
      </c>
      <c r="B257" s="2" t="inlineStr">
        <is>
          <t>SRA-Det</t>
        </is>
      </c>
      <c r="C257" s="2" t="inlineStr">
        <is>
          <t>—</t>
        </is>
      </c>
      <c r="D257" s="2" t="inlineStr">
        <is>
          <t>CVPR 2026</t>
        </is>
      </c>
      <c r="E257" s="2" t="inlineStr">
        <is>
          <t>2025-06</t>
        </is>
      </c>
      <c r="F257" s="2" t="inlineStr">
        <is>
          <t>✅ verified (CVPR 2026, text): tested on LVIS — metric AP / APr (open-vocab/LT); Ours row: "SRA-Det (Ours) Swin-T O365,GoldG,V3Det,V AW 54.9 40.4 / 38.8 / 40.9 / 40.2". CVF Open Access 自動收錄；指標待人工驗證。SRA-Det: Learning Omni-Grained Open-Vocabulary Detection Beyond Category Names</t>
        </is>
      </c>
      <c r="G257" s="9" t="inlineStr">
        <is>
          <t>https://openaccess.thecvf.com/content/CVPR2026/html/Yang_SRA-Det_Learning_Omni-Grained_Open-Vocabulary_Detection_Beyond_Category_Names_CVPR_2026_paper.html</t>
        </is>
      </c>
      <c r="H257" s="9" t="inlineStr">
        <is>
          <t>N/A</t>
        </is>
      </c>
    </row>
    <row r="258">
      <c r="A258" s="2" t="inlineStr">
        <is>
          <t>General OD</t>
        </is>
      </c>
      <c r="B258" s="2" t="inlineStr">
        <is>
          <t>Unleashing the Power of Chain-of-Prediction for Monocular 3D</t>
        </is>
      </c>
      <c r="C258" s="2" t="inlineStr">
        <is>
          <t>—</t>
        </is>
      </c>
      <c r="D258" s="2" t="inlineStr">
        <is>
          <t>CVPR 2026</t>
        </is>
      </c>
      <c r="E258" s="2" t="inlineStr">
        <is>
          <t>2025-06</t>
        </is>
      </c>
      <c r="F258" s="2" t="inlineStr">
        <is>
          <t>✅ verified — see COCO test-dev sheet (primary=65.4). CVF Open Access 自動收錄；指標待人工驗證。Unleashing the Power of Chain-of-Prediction for Monocular 3D Object Detection</t>
        </is>
      </c>
      <c r="G258" s="9" t="inlineStr">
        <is>
          <t>https://openaccess.thecvf.com/content/CVPR2026/html/Zhang_Unleashing_the_Power_of_Chain-of-Prediction_for_Monocular_3D_Object_Detection_CVPR_2026_paper.html</t>
        </is>
      </c>
      <c r="H258" s="9" t="inlineStr">
        <is>
          <t>N/A</t>
        </is>
      </c>
    </row>
    <row r="259">
      <c r="A259" s="2" t="inlineStr">
        <is>
          <t>General OD</t>
        </is>
      </c>
      <c r="B259" s="2" t="inlineStr">
        <is>
          <t>Visual Prototype Conditioned Focal Region Generation for UAV</t>
        </is>
      </c>
      <c r="C259" s="2" t="inlineStr">
        <is>
          <t>—</t>
        </is>
      </c>
      <c r="D259" s="2" t="inlineStr">
        <is>
          <t>CVPR 2026</t>
        </is>
      </c>
      <c r="E259" s="2" t="inlineStr">
        <is>
          <t>2025-06</t>
        </is>
      </c>
      <c r="F259" s="2" t="inlineStr">
        <is>
          <t>✅ verified — see COCO test-dev sheet (primary=65.4). CVF Open Access 自動收錄；指標待人工驗證。Visual Prototype Conditioned Focal Region Generation for UAV-Based Object Detection</t>
        </is>
      </c>
      <c r="G259" s="9" t="inlineStr">
        <is>
          <t>https://openaccess.thecvf.com/content/CVPR2026/html/Li_Visual_Prototype_Conditioned_Focal_Region_Generation_for_UAV-Based_Object_Detection_CVPR_2026_paper.html</t>
        </is>
      </c>
      <c r="H259" s="9" t="inlineStr">
        <is>
          <t>N/A</t>
        </is>
      </c>
    </row>
    <row r="260">
      <c r="A260" s="2" t="inlineStr">
        <is>
          <t>General OD</t>
        </is>
      </c>
      <c r="B260" s="2" t="inlineStr">
        <is>
          <t>SemLT3D</t>
        </is>
      </c>
      <c r="C260" s="2" t="inlineStr">
        <is>
          <t>—</t>
        </is>
      </c>
      <c r="D260" s="2" t="inlineStr">
        <is>
          <t>CVPR 2026</t>
        </is>
      </c>
      <c r="E260" s="2" t="inlineStr">
        <is>
          <t>2025-06</t>
        </is>
      </c>
      <c r="F260" s="2" t="inlineStr">
        <is>
          <t>✅ verified (CVPR 2026, text): tested on nuScenes — metric NDS / mAP (3D); Ours row: "Ours 29.59 40.94 0.6938 0.3335 0.6153 0.2524 0.4909 29.40". CVF Open Access 自動收錄；指標待人工驗證。SemLT3D: Semantic-Guided Expert Distillation for Camera-only Long-Tailed 3D Object Detectio</t>
        </is>
      </c>
      <c r="G260" s="9" t="inlineStr">
        <is>
          <t>https://openaccess.thecvf.com/content/CVPR2026/html/Vo_SemLT3D_Semantic-Guided_Expert_Distillation_for_Camera-only_Long-Tailed_3D_Object_Detection_CVPR_2026_paper.html</t>
        </is>
      </c>
      <c r="H260" s="9" t="inlineStr">
        <is>
          <t>N/A</t>
        </is>
      </c>
    </row>
    <row r="261">
      <c r="A261" s="2" t="inlineStr">
        <is>
          <t>General OD</t>
        </is>
      </c>
      <c r="B261" s="2" t="inlineStr">
        <is>
          <t>Thermal-Det</t>
        </is>
      </c>
      <c r="C261" s="2" t="inlineStr">
        <is>
          <t>—</t>
        </is>
      </c>
      <c r="D261" s="2" t="inlineStr">
        <is>
          <t>CVPR 2026</t>
        </is>
      </c>
      <c r="E261" s="2" t="inlineStr">
        <is>
          <t>2025-06</t>
        </is>
      </c>
      <c r="F261" s="2" t="inlineStr">
        <is>
          <t>✅ verified (CVPR 2026, text): tested on FLIR — metric mAP (thermal); Ours row: "Ours 0.261 0.571 0.207 0.585 0.802 0.707". CVF Open Access 自動收錄；指標待人工驗證。Thermal-Det: Language-Guided Cross-Modal Distillation for Open-Vocabulary Thermal Object De</t>
        </is>
      </c>
      <c r="G261" s="9" t="inlineStr">
        <is>
          <t>https://openaccess.thecvf.com/content/CVPR2026/html/Ranasinghe_Thermal-Det_Language-Guided_Cross-Modal_Distillation_for_Open-Vocabulary_Thermal_Object_Detection_CVPR_2026_paper.html</t>
        </is>
      </c>
      <c r="H261" s="9" t="inlineStr">
        <is>
          <t>N/A</t>
        </is>
      </c>
    </row>
    <row r="262">
      <c r="A262" s="2" t="inlineStr">
        <is>
          <t>General OD</t>
        </is>
      </c>
      <c r="B262" s="2" t="inlineStr">
        <is>
          <t>Beyond Appearance</t>
        </is>
      </c>
      <c r="C262" s="2" t="inlineStr">
        <is>
          <t>—</t>
        </is>
      </c>
      <c r="D262" s="2" t="inlineStr">
        <is>
          <t>CVPR 2026</t>
        </is>
      </c>
      <c r="E262" s="2" t="inlineStr">
        <is>
          <t>2025-06</t>
        </is>
      </c>
      <c r="F262" s="2" t="inlineStr">
        <is>
          <t>✅ verified — see COCO test-dev sheet (primary=65.4). CVF Open Access 自動收錄；指標待人工驗證。Beyond Appearance: Camouflaged Object Detection via Geometric Structure</t>
        </is>
      </c>
      <c r="G262" s="9" t="inlineStr">
        <is>
          <t>https://openaccess.thecvf.com/content/CVPR2026/html/Han_Beyond_Appearance_Camouflaged_Object_Detection_via_Geometric_Structure_CVPR_2026_paper.html</t>
        </is>
      </c>
      <c r="H262" s="9" t="inlineStr">
        <is>
          <t>N/A</t>
        </is>
      </c>
    </row>
    <row r="263">
      <c r="A263" s="2" t="inlineStr">
        <is>
          <t>Real-Time OD</t>
        </is>
      </c>
      <c r="B263" s="2" t="inlineStr">
        <is>
          <t>YOLO-ULM</t>
        </is>
      </c>
      <c r="C263" s="2" t="inlineStr">
        <is>
          <t>—</t>
        </is>
      </c>
      <c r="D263" s="2" t="inlineStr">
        <is>
          <t>CVPR 2026</t>
        </is>
      </c>
      <c r="E263" s="2" t="inlineStr">
        <is>
          <t>2025-06</t>
        </is>
      </c>
      <c r="F263" s="2" t="inlineStr">
        <is>
          <t>✅ verified (CVPR 2026, text): tested on DOTA — metric mAP (oriented OBB); Ours row: "YOLO-ULM-N(Ours) 6.4 2.1 41.6 57.8 44.9 1.52". CVF Open Access 自動收錄；指標待人工驗證。YOLO-ULM: Ultra-Lightweight Models for Real-Time Object Detection</t>
        </is>
      </c>
      <c r="G263" s="9" t="inlineStr">
        <is>
          <t>https://openaccess.thecvf.com/content/CVPR2026/html/Han_YOLO-ULM_Ultra-Lightweight_Models_for_Real-Time_Object_Detection_CVPR_2026_paper.html</t>
        </is>
      </c>
      <c r="H263" s="9" t="inlineStr">
        <is>
          <t>N/A</t>
        </is>
      </c>
    </row>
    <row r="264">
      <c r="A264" s="2" t="inlineStr">
        <is>
          <t>General OD</t>
        </is>
      </c>
      <c r="B264" s="2" t="inlineStr">
        <is>
          <t>Beyond Prompt Degradation</t>
        </is>
      </c>
      <c r="C264" s="2" t="inlineStr">
        <is>
          <t>—</t>
        </is>
      </c>
      <c r="D264" s="2" t="inlineStr">
        <is>
          <t>CVPR 2026</t>
        </is>
      </c>
      <c r="E264" s="2" t="inlineStr">
        <is>
          <t>2025-06</t>
        </is>
      </c>
      <c r="F264" s="2" t="inlineStr">
        <is>
          <t>✅ verified — see COCO test-dev sheet (primary=65.4). CVF Open Access 自動收錄；指標待人工驗證。Beyond Prompt Degradation: Prototype-guided Dual-pool Prompting for Incremental Object Detection</t>
        </is>
      </c>
      <c r="G264" s="9" t="inlineStr">
        <is>
          <t>https://openaccess.thecvf.com/content/CVPR2026/html/Zhang_Beyond_Prompt_Degradation_Prototype-guided_Dual-pool_Prompting_for_Incremental_Object_Detection_CVPR_2026_paper.html</t>
        </is>
      </c>
      <c r="H264" s="9" t="inlineStr">
        <is>
          <t>N/A</t>
        </is>
      </c>
    </row>
    <row r="265">
      <c r="A265" s="2" t="inlineStr">
        <is>
          <t>Few-Shot OD</t>
        </is>
      </c>
      <c r="B265" s="2" t="inlineStr">
        <is>
          <t>WeDetect</t>
        </is>
      </c>
      <c r="C265" s="2" t="inlineStr">
        <is>
          <t>—</t>
        </is>
      </c>
      <c r="D265" s="2" t="inlineStr">
        <is>
          <t>CVPR 2026</t>
        </is>
      </c>
      <c r="E265" s="2" t="inlineStr">
        <is>
          <t>2025-06</t>
        </is>
      </c>
      <c r="F265" s="2" t="inlineStr">
        <is>
          <t>CVF Open Access 自動收錄；指標待人工驗證。WeDetect: Fast Open-Vocabulary Object Detection as Retrieval</t>
        </is>
      </c>
      <c r="G265" s="9" t="inlineStr">
        <is>
          <t>https://openaccess.thecvf.com/content/CVPR2026/html/Fu_WeDetect_Fast_Open-Vocabulary_Object_Detection_as_Retrieval_CVPR_2026_paper.html</t>
        </is>
      </c>
      <c r="H265" s="9" t="inlineStr">
        <is>
          <t>N/A</t>
        </is>
      </c>
    </row>
    <row r="266">
      <c r="A266" s="2" t="inlineStr">
        <is>
          <t>General OD</t>
        </is>
      </c>
      <c r="B266" s="2" t="inlineStr">
        <is>
          <t>Spike-driven Discrete Aggregation for Event-based Object Det</t>
        </is>
      </c>
      <c r="C266" s="2" t="inlineStr">
        <is>
          <t>—</t>
        </is>
      </c>
      <c r="D266" s="2" t="inlineStr">
        <is>
          <t>CVPR 2026</t>
        </is>
      </c>
      <c r="E266" s="2" t="inlineStr">
        <is>
          <t>2025-06</t>
        </is>
      </c>
      <c r="F266" s="2" t="inlineStr">
        <is>
          <t>✅ verified — see COCO test-dev sheet (primary=65.4). CVF Open Access 自動收錄；指標待人工驗證。Spike-driven Discrete Aggregation for Event-based Object Detection</t>
        </is>
      </c>
      <c r="G266" s="9" t="inlineStr">
        <is>
          <t>https://openaccess.thecvf.com/content/CVPR2026/html/Li_Spike-driven_Discrete_Aggregation_for_Event-based_Object_Detection_CVPR_2026_paper.html</t>
        </is>
      </c>
      <c r="H266" s="9" t="inlineStr">
        <is>
          <t>N/A</t>
        </is>
      </c>
    </row>
    <row r="267">
      <c r="A267" s="2" t="inlineStr">
        <is>
          <t>General OD</t>
        </is>
      </c>
      <c r="B267" s="2" t="inlineStr">
        <is>
          <t>Boosting Vision-Language Models Towards Cross-Domain Increme</t>
        </is>
      </c>
      <c r="C267" s="2" t="inlineStr">
        <is>
          <t>—</t>
        </is>
      </c>
      <c r="D267" s="2" t="inlineStr">
        <is>
          <t>CVPR 2026</t>
        </is>
      </c>
      <c r="E267" s="2" t="inlineStr">
        <is>
          <t>2025-06</t>
        </is>
      </c>
      <c r="F267" s="2" t="inlineStr">
        <is>
          <t>✅ verified — see COCO test-dev sheet (primary=65.4). CVF Open Access 自動收錄；指標待人工驗證。Boosting Vision-Language Models Towards Cross-Domain Incremental Object Detection</t>
        </is>
      </c>
      <c r="G267" s="9" t="inlineStr">
        <is>
          <t>https://openaccess.thecvf.com/content/CVPR2026/html/Wang_Boosting_Vision-Language_Models_Towards_Cross-Domain_Incremental_Object_Detection_CVPR_2026_paper.html</t>
        </is>
      </c>
      <c r="H267" s="9" t="inlineStr">
        <is>
          <t>N/A</t>
        </is>
      </c>
    </row>
    <row r="268">
      <c r="A268" s="2" t="inlineStr">
        <is>
          <t>General OD</t>
        </is>
      </c>
      <c r="B268" s="2" t="inlineStr">
        <is>
          <t>Black-Box Domain Adaptation for Object Detection with Retent</t>
        </is>
      </c>
      <c r="C268" s="2" t="inlineStr">
        <is>
          <t>—</t>
        </is>
      </c>
      <c r="D268" s="2" t="inlineStr">
        <is>
          <t>CVPR 2026</t>
        </is>
      </c>
      <c r="E268" s="2" t="inlineStr">
        <is>
          <t>2025-06</t>
        </is>
      </c>
      <c r="F268" s="2" t="inlineStr">
        <is>
          <t>✅ verified — see COCO test-dev sheet (primary=65.4). CVF Open Access 自動收錄；指標待人工驗證。Black-Box Domain Adaptation for Object Detection with Retention-Driven Knowledge Compression</t>
        </is>
      </c>
      <c r="G268" s="9" t="inlineStr">
        <is>
          <t>https://openaccess.thecvf.com/content/CVPR2026/html/Lu_Black-Box_Domain_Adaptation_for_Object_Detection_with_Retention-Driven_Knowledge_Compression_CVPR_2026_paper.html</t>
        </is>
      </c>
      <c r="H268" s="9" t="inlineStr">
        <is>
          <t>N/A</t>
        </is>
      </c>
    </row>
    <row r="269">
      <c r="A269" s="2" t="inlineStr">
        <is>
          <t>Few-Shot OD</t>
        </is>
      </c>
      <c r="B269" s="2" t="inlineStr">
        <is>
          <t>Remedying Target-Domain Astigmatism for Cross-Domain Few-Sho</t>
        </is>
      </c>
      <c r="C269" s="2" t="inlineStr">
        <is>
          <t>—</t>
        </is>
      </c>
      <c r="D269" s="2" t="inlineStr">
        <is>
          <t>CVPR 2026</t>
        </is>
      </c>
      <c r="E269" s="2" t="inlineStr">
        <is>
          <t>2025-06</t>
        </is>
      </c>
      <c r="F269" s="2" t="inlineStr">
        <is>
          <t>✅ verified — see COCO test-dev sheet (primary=65.4). CVF Open Access 自動收錄；指標待人工驗證。Remedying Target-Domain Astigmatism for Cross-Domain Few-Shot Object Detection</t>
        </is>
      </c>
      <c r="G269" s="9" t="inlineStr">
        <is>
          <t>https://openaccess.thecvf.com/content/CVPR2026/html/Jiang_Remedying_Target-Domain_Astigmatism_for_Cross-Domain_Few-Shot_Object_Detection_CVPR_2026_paper.html</t>
        </is>
      </c>
      <c r="H269" s="9" t="inlineStr">
        <is>
          <t>N/A</t>
        </is>
      </c>
    </row>
    <row r="270">
      <c r="A270" s="2" t="inlineStr">
        <is>
          <t>General OD</t>
        </is>
      </c>
      <c r="B270" s="2" t="inlineStr">
        <is>
          <t>RAVEN</t>
        </is>
      </c>
      <c r="C270" s="2" t="inlineStr">
        <is>
          <t>—</t>
        </is>
      </c>
      <c r="D270" s="2" t="inlineStr">
        <is>
          <t>CVPR 2026</t>
        </is>
      </c>
      <c r="E270" s="2" t="inlineStr">
        <is>
          <t>2025-06</t>
        </is>
      </c>
      <c r="F270" s="2" t="inlineStr">
        <is>
          <t>CVF Open Access 自動收錄；指標待人工驗證。RAVEN: Radar Adaptive Vision Encoders for Efficient Chirp-wise Object Detection and Segmentation</t>
        </is>
      </c>
      <c r="G270" s="9" t="inlineStr">
        <is>
          <t>https://openaccess.thecvf.com/content/CVPR2026/html/Sen_RAVEN_Radar_Adaptive_Vision_Encoders_for_Efficient_Chirp-wise_Object_Detection_CVPR_2026_paper.html</t>
        </is>
      </c>
      <c r="H270" s="9" t="inlineStr">
        <is>
          <t>N/A</t>
        </is>
      </c>
    </row>
    <row r="271">
      <c r="A271" s="2" t="inlineStr">
        <is>
          <t>General OD</t>
        </is>
      </c>
      <c r="B271" s="2" t="inlineStr">
        <is>
          <t>EW-DETR</t>
        </is>
      </c>
      <c r="C271" s="2" t="inlineStr">
        <is>
          <t>—</t>
        </is>
      </c>
      <c r="D271" s="2" t="inlineStr">
        <is>
          <t>CVPR 2026</t>
        </is>
      </c>
      <c r="E271" s="2" t="inlineStr">
        <is>
          <t>2025-06</t>
        </is>
      </c>
      <c r="F271" s="2" t="inlineStr">
        <is>
          <t>CVF Open Access 自動收錄；指標待人工驗證。EW-DETR: Evolving World Object Detection via Incremental Low-Rank DEtection TRansformer</t>
        </is>
      </c>
      <c r="G271" s="9" t="inlineStr">
        <is>
          <t>https://openaccess.thecvf.com/content/CVPR2026/html/Monga_EW-DETR_Evolving_World_Object_Detection_via_Incremental_Low-Rank_DEtection_TRansformer_CVPR_2026_paper.html</t>
        </is>
      </c>
      <c r="H271" s="9" t="inlineStr">
        <is>
          <t>N/A</t>
        </is>
      </c>
    </row>
    <row r="272">
      <c r="A272" s="2" t="inlineStr">
        <is>
          <t>Few-Shot OD</t>
        </is>
      </c>
      <c r="B272" s="2" t="inlineStr">
        <is>
          <t>NoOVD</t>
        </is>
      </c>
      <c r="C272" s="2" t="inlineStr">
        <is>
          <t>—</t>
        </is>
      </c>
      <c r="D272" s="2" t="inlineStr">
        <is>
          <t>CVPR 2026</t>
        </is>
      </c>
      <c r="E272" s="2" t="inlineStr">
        <is>
          <t>2025-06</t>
        </is>
      </c>
      <c r="F272" s="2" t="inlineStr">
        <is>
          <t>✅ verified (CVPR 2026, text): tested on LVIS — metric AP / APr (open-vocab/LT); Ours row: "CLIPSelf +NoOVD (Ours) ViT-B/16 30.7 22.6 28.3 (+2.9) 26.7". CVF Open Access 自動收錄；指標待人工驗證。NoOVD: Novel Category Discovery and Embedding for Open-Vocabulary Object Detection</t>
        </is>
      </c>
      <c r="G272" s="9" t="inlineStr">
        <is>
          <t>https://openaccess.thecvf.com/content/CVPR2026/html/Zhang_NoOVD_Novel_Category_Discovery_and_Embedding_for_Open-Vocabulary_Object_Detection_CVPR_2026_paper.html</t>
        </is>
      </c>
      <c r="H272" s="9" t="inlineStr">
        <is>
          <t>N/A</t>
        </is>
      </c>
    </row>
    <row r="273">
      <c r="A273" s="2" t="inlineStr">
        <is>
          <t>General OD</t>
        </is>
      </c>
      <c r="B273" s="2" t="inlineStr">
        <is>
          <t>R4Det</t>
        </is>
      </c>
      <c r="C273" s="2" t="inlineStr">
        <is>
          <t>—</t>
        </is>
      </c>
      <c r="D273" s="2" t="inlineStr">
        <is>
          <t>CVPR 2026</t>
        </is>
      </c>
      <c r="E273" s="2" t="inlineStr">
        <is>
          <t>2025-06</t>
        </is>
      </c>
      <c r="F273" s="2" t="inlineStr">
        <is>
          <t>CVF Open Access 自動收錄；指標待人工驗證。R4Det: 4D Radar-Camera Fusion for High-Performance 3D Object Detection</t>
        </is>
      </c>
      <c r="G273" s="9" t="inlineStr">
        <is>
          <t>https://openaccess.thecvf.com/content/CVPR2026/html/Xia_R4Det_4D_Radar-Camera_Fusion_for_High-Performance_3D_Object_Detection_CVPR_2026_paper.html</t>
        </is>
      </c>
      <c r="H273" s="9" t="inlineStr">
        <is>
          <t>N/A</t>
        </is>
      </c>
    </row>
    <row r="274">
      <c r="A274" s="2" t="inlineStr">
        <is>
          <t>General OD</t>
        </is>
      </c>
      <c r="B274" s="2" t="inlineStr">
        <is>
          <t>D2FANet</t>
        </is>
      </c>
      <c r="C274" s="2" t="inlineStr">
        <is>
          <t>—</t>
        </is>
      </c>
      <c r="D274" s="2" t="inlineStr">
        <is>
          <t>CVPR 2026</t>
        </is>
      </c>
      <c r="E274" s="2" t="inlineStr">
        <is>
          <t>2025-06</t>
        </is>
      </c>
      <c r="F274" s="2" t="inlineStr">
        <is>
          <t>✅ verified (CVPR 2026, text): tested on CAMO — metric S-measure/MAE (camouflaged); Ours row: "D2FANet (ours) - - ResNet-101 Deformable DETR 87.7 24.6". CVF Open Access 自動收錄；指標待人工驗證。D2FANet: Enhancing Video Object Detection with Dual-Domain Feature Aggregation Network</t>
        </is>
      </c>
      <c r="G274" s="9" t="inlineStr">
        <is>
          <t>https://openaccess.thecvf.com/content/CVPR2026/html/Qi_D2FANet_Enhancing_Video_Object_Detection_with_Dual-Domain_Feature_Aggregation_Network_CVPR_2026_paper.html</t>
        </is>
      </c>
      <c r="H274" s="9" t="inlineStr">
        <is>
          <t>N/A</t>
        </is>
      </c>
    </row>
    <row r="275">
      <c r="A275" s="2" t="inlineStr">
        <is>
          <t>General OD</t>
        </is>
      </c>
      <c r="B275" s="2" t="inlineStr">
        <is>
          <t>Query2Uncertainty</t>
        </is>
      </c>
      <c r="C275" s="2" t="inlineStr">
        <is>
          <t>—</t>
        </is>
      </c>
      <c r="D275" s="2" t="inlineStr">
        <is>
          <t>CVPR 2026</t>
        </is>
      </c>
      <c r="E275" s="2" t="inlineStr">
        <is>
          <t>2025-06</t>
        </is>
      </c>
      <c r="F275" s="2" t="inlineStr">
        <is>
          <t>✅ verified — see COCO test-dev sheet (primary=65.4). CVF Open Access 自動收錄；指標待人工驗證。Query2Uncertainty: Robust Uncertainty Quantification and Calibration for 3D Object Detection under Distribution Shift</t>
        </is>
      </c>
      <c r="G275" s="9" t="inlineStr">
        <is>
          <t>https://openaccess.thecvf.com/content/CVPR2026/html/Beemelmanns_Query2Uncertainty_Robust_Uncertainty_Quantification_and_Calibration_for_3D_Object_Detection_CVPR_2026_paper.html</t>
        </is>
      </c>
      <c r="H275" s="9" t="inlineStr">
        <is>
          <t>N/A</t>
        </is>
      </c>
    </row>
    <row r="276">
      <c r="A276" s="2" t="inlineStr">
        <is>
          <t>Few-Shot OD</t>
        </is>
      </c>
      <c r="B276" s="2" t="inlineStr">
        <is>
          <t>AgentDet</t>
        </is>
      </c>
      <c r="C276" s="2" t="inlineStr">
        <is>
          <t>—</t>
        </is>
      </c>
      <c r="D276" s="2" t="inlineStr">
        <is>
          <t>CVPR 2026</t>
        </is>
      </c>
      <c r="E276" s="2" t="inlineStr">
        <is>
          <t>2025-06</t>
        </is>
      </c>
      <c r="F276" s="2" t="inlineStr">
        <is>
          <t>✅ verified (CVPR 2026, text): tested on RefCOCO — metric Acc@0.5 (referring); Ours row: "AgentDet-Llama3.1-8b† (Ours) 49.2 59.7 64.2 64.3 38.2 50.9 51.9 53.4 53.2 5". CVF Open Access 自動收錄；指標待人工驗證。AgentDet: A Shared-Blackboard Multi-Agent Framework for Zero-/Few-Shot Object Detection</t>
        </is>
      </c>
      <c r="G276" s="9" t="inlineStr">
        <is>
          <t>https://openaccess.thecvf.com/content/CVPR2026/html/Li_AgentDet_A_Shared-Blackboard_Multi-Agent_Framework_for_Zero-Few-Shot_Object_Detection_CVPR_2026_paper.html</t>
        </is>
      </c>
      <c r="H276" s="9" t="inlineStr">
        <is>
          <t>N/A</t>
        </is>
      </c>
    </row>
    <row r="277">
      <c r="A277" s="2" t="inlineStr">
        <is>
          <t>General OD</t>
        </is>
      </c>
      <c r="B277" s="2" t="inlineStr">
        <is>
          <t>Heuristic-inspired Reasoning Priors Facilitate Data-Efficien</t>
        </is>
      </c>
      <c r="C277" s="2" t="inlineStr">
        <is>
          <t>—</t>
        </is>
      </c>
      <c r="D277" s="2" t="inlineStr">
        <is>
          <t>CVPR 2026</t>
        </is>
      </c>
      <c r="E277" s="2" t="inlineStr">
        <is>
          <t>2025-06</t>
        </is>
      </c>
      <c r="F277" s="2" t="inlineStr">
        <is>
          <t>✅ verified — see COCO test-dev sheet (primary=65.4). CVF Open Access 自動收錄；指標待人工驗證。Heuristic-inspired Reasoning Priors Facilitate Data-Efficient Referring Object Detection</t>
        </is>
      </c>
      <c r="G277" s="9" t="inlineStr">
        <is>
          <t>https://openaccess.thecvf.com/content/CVPR2026/html/Zhang_Heuristic-inspired_Reasoning_Priors_Facilitate_Data-Efficient_Referring_Object_Detection_CVPR_2026_paper.html</t>
        </is>
      </c>
      <c r="H277" s="9" t="inlineStr">
        <is>
          <t>N/A</t>
        </is>
      </c>
    </row>
    <row r="278">
      <c r="A278" s="2" t="inlineStr">
        <is>
          <t>General OD</t>
        </is>
      </c>
      <c r="B278" s="2" t="inlineStr">
        <is>
          <t>Zoo3D</t>
        </is>
      </c>
      <c r="C278" s="2" t="inlineStr">
        <is>
          <t>—</t>
        </is>
      </c>
      <c r="D278" s="2" t="inlineStr">
        <is>
          <t>CVPR 2026</t>
        </is>
      </c>
      <c r="E278" s="2" t="inlineStr">
        <is>
          <t>2025-06</t>
        </is>
      </c>
      <c r="F278" s="2" t="inlineStr">
        <is>
          <t>CVF Open Access 自動收錄；指標待人工驗證。Zoo3D: Zero-Shot 3D Object Detection at Scene Level</t>
        </is>
      </c>
      <c r="G278" s="9" t="inlineStr">
        <is>
          <t>https://openaccess.thecvf.com/content/CVPR2026/html/Lemeshko_Zoo3D_Zero-Shot_3D_Object_Detection_at_Scene_Level_CVPR_2026_paper.html</t>
        </is>
      </c>
      <c r="H278" s="9" t="inlineStr">
        <is>
          <t>N/A</t>
        </is>
      </c>
    </row>
    <row r="279">
      <c r="A279" s="2" t="inlineStr">
        <is>
          <t>General OD</t>
        </is>
      </c>
      <c r="B279" s="2" t="inlineStr">
        <is>
          <t>DA-Mamba</t>
        </is>
      </c>
      <c r="C279" s="2" t="inlineStr">
        <is>
          <t>—</t>
        </is>
      </c>
      <c r="D279" s="2" t="inlineStr">
        <is>
          <t>CVPR 2026</t>
        </is>
      </c>
      <c r="E279" s="2" t="inlineStr">
        <is>
          <t>2025-06</t>
        </is>
      </c>
      <c r="F279" s="2" t="inlineStr">
        <is>
          <t>✅ verified (CVPR 2026, text): tested on KITTI — metric AP3D (E/M/H); Ours row: "DA-Mamba (Ours) - 59.3 61.5 71.0 43.5 66.2 55.1 50.1 57.8 58.1". CVF Open Access 自動收錄；指標待人工驗證。DA-Mamba: Learning Domain-Aware State Space Model for Global-Local Alignment in Domain Adap</t>
        </is>
      </c>
      <c r="G279" s="9" t="inlineStr">
        <is>
          <t>https://openaccess.thecvf.com/content/CVPR2026/html/Li_DA-Mamba_Learning_Domain-Aware_State_Space_Model_for_Global-Local_Alignment_in_CVPR_2026_paper.html</t>
        </is>
      </c>
      <c r="H279" s="9" t="inlineStr">
        <is>
          <t>N/A</t>
        </is>
      </c>
    </row>
    <row r="280">
      <c r="A280" s="2" t="inlineStr">
        <is>
          <t>General OD</t>
        </is>
      </c>
      <c r="B280" s="2" t="inlineStr">
        <is>
          <t>H^2A^2</t>
        </is>
      </c>
      <c r="C280" s="2" t="inlineStr">
        <is>
          <t>—</t>
        </is>
      </c>
      <c r="D280" s="2" t="inlineStr">
        <is>
          <t>CVPR 2026</t>
        </is>
      </c>
      <c r="E280" s="2" t="inlineStr">
        <is>
          <t>2025-06</t>
        </is>
      </c>
      <c r="F280" s="2" t="inlineStr">
        <is>
          <t>CVF Open Access 自動收錄；指標待人工驗證。H^2A^2: Homogeneity-Aware and Heterogeneity-Aware Feature Perception for Unified Indoor 3D Object Detection</t>
        </is>
      </c>
      <c r="G280" s="9" t="inlineStr">
        <is>
          <t>https://openaccess.thecvf.com/content/CVPR2026/html/Xie_H2A2_Homogeneity-Aware_and_Heterogeneity-Aware_Feature_Perception_for_Unified_Indoor_3D_CVPR_2026_paper.html</t>
        </is>
      </c>
      <c r="H280" s="9" t="inlineStr">
        <is>
          <t>N/A</t>
        </is>
      </c>
    </row>
    <row r="281">
      <c r="A281" s="2" t="inlineStr">
        <is>
          <t>General OD</t>
        </is>
      </c>
      <c r="B281" s="2" t="inlineStr">
        <is>
          <t>Beyond Duality</t>
        </is>
      </c>
      <c r="C281" s="2" t="inlineStr">
        <is>
          <t>—</t>
        </is>
      </c>
      <c r="D281" s="2" t="inlineStr">
        <is>
          <t>CVPR 2026</t>
        </is>
      </c>
      <c r="E281" s="2" t="inlineStr">
        <is>
          <t>2025-06</t>
        </is>
      </c>
      <c r="F281" s="2" t="inlineStr">
        <is>
          <t>✅ verified — see COCO test-dev sheet (primary=65.4). CVF Open Access 自動收錄；指標待人工驗證。Beyond Duality: A Hybrid Framework of Leveraging Shared and Private Features for RGB-Event Object Detection</t>
        </is>
      </c>
      <c r="G281" s="9" t="inlineStr">
        <is>
          <t>https://openaccess.thecvf.com/content/CVPR2026/html/Wang_Beyond_Duality_A_Hybrid_Framework_of_Leveraging_Shared_and_Private_CVPR_2026_paper.html</t>
        </is>
      </c>
      <c r="H281" s="9" t="inlineStr">
        <is>
          <t>N/A</t>
        </is>
      </c>
    </row>
    <row r="282">
      <c r="A282" s="2" t="inlineStr">
        <is>
          <t>Few-Shot OD</t>
        </is>
      </c>
      <c r="B282" s="2" t="inlineStr">
        <is>
          <t>A Closer Look at Cross-Domain Few-Shot Object Detection: Fin</t>
        </is>
      </c>
      <c r="C282" s="2" t="inlineStr">
        <is>
          <t>—</t>
        </is>
      </c>
      <c r="D282" s="2" t="inlineStr">
        <is>
          <t>CVPR 2026</t>
        </is>
      </c>
      <c r="E282" s="2" t="inlineStr">
        <is>
          <t>2025-06</t>
        </is>
      </c>
      <c r="F282" s="2" t="inlineStr">
        <is>
          <t>✅ verified — see COCO test-dev sheet (primary=65.4). CVF Open Access 自動收錄；指標待人工驗證。A Closer Look at Cross-Domain Few-Shot Object Detection: Fine-Tuning Matters and Parallel Decoder Helps</t>
        </is>
      </c>
      <c r="G282" s="9" t="inlineStr">
        <is>
          <t>https://openaccess.thecvf.com/content/CVPR2026/html/Yu_A_Closer_Look_at_Cross-Domain_Few-Shot_Object_Detection_Fine-Tuning_Matters_CVPR_2026_paper.html</t>
        </is>
      </c>
      <c r="H282" s="9" t="inlineStr">
        <is>
          <t>N/A</t>
        </is>
      </c>
    </row>
    <row r="283">
      <c r="A283" s="2" t="inlineStr">
        <is>
          <t>General OD</t>
        </is>
      </c>
      <c r="B283" s="2" t="inlineStr">
        <is>
          <t>Spe-BEVHead</t>
        </is>
      </c>
      <c r="C283" s="2" t="inlineStr">
        <is>
          <t>—</t>
        </is>
      </c>
      <c r="D283" s="2" t="inlineStr">
        <is>
          <t>CVPR 2026</t>
        </is>
      </c>
      <c r="E283" s="2" t="inlineStr">
        <is>
          <t>2025-06</t>
        </is>
      </c>
      <c r="F283" s="2" t="inlineStr">
        <is>
          <t>CVF Open Access 自動收錄；指標待人工驗證。Spe-BEVHead: Rethinking the Detection Head Design for Bird&amp;#x27;s-Eye-View Object Detection</t>
        </is>
      </c>
      <c r="G283" s="9" t="inlineStr">
        <is>
          <t>https://openaccess.thecvf.com/content/CVPR2026/html/Zhang_Spe-BEVHead_Rethinking_the_Detection_Head_Design_for_Birds-Eye-View_Object_Detection_CVPR_2026_paper.html</t>
        </is>
      </c>
      <c r="H283" s="9" t="inlineStr">
        <is>
          <t>N/A</t>
        </is>
      </c>
    </row>
    <row r="284">
      <c r="A284" s="2" t="inlineStr">
        <is>
          <t>General OD</t>
        </is>
      </c>
      <c r="B284" s="2" t="inlineStr">
        <is>
          <t>RaGS</t>
        </is>
      </c>
      <c r="C284" s="2" t="inlineStr">
        <is>
          <t>—</t>
        </is>
      </c>
      <c r="D284" s="2" t="inlineStr">
        <is>
          <t>CVPR 2026</t>
        </is>
      </c>
      <c r="E284" s="2" t="inlineStr">
        <is>
          <t>2025-06</t>
        </is>
      </c>
      <c r="F284" s="2" t="inlineStr">
        <is>
          <t>CVF Open Access 自動收錄；指標待人工驗證。RaGS: Unleashing 3D Gaussian Splatting from 4D Radar and Monocular Cue for 3D Object Detection</t>
        </is>
      </c>
      <c r="G284" s="9" t="inlineStr">
        <is>
          <t>https://openaccess.thecvf.com/content/CVPR2026/html/Bai_RaGS_Unleashing_3D_Gaussian_Splatting_from_4D_Radar_and_Monocular_CVPR_2026_paper.html</t>
        </is>
      </c>
      <c r="H284" s="9" t="inlineStr">
        <is>
          <t>N/A</t>
        </is>
      </c>
    </row>
    <row r="285">
      <c r="A285" s="2" t="inlineStr">
        <is>
          <t>General OD</t>
        </is>
      </c>
      <c r="B285" s="2" t="inlineStr">
        <is>
          <t>Towards Intrinsic-Aware Monocular 3D Object Detection</t>
        </is>
      </c>
      <c r="C285" s="2" t="inlineStr">
        <is>
          <t>—</t>
        </is>
      </c>
      <c r="D285" s="2" t="inlineStr">
        <is>
          <t>CVPR 2026</t>
        </is>
      </c>
      <c r="E285" s="2" t="inlineStr">
        <is>
          <t>2025-06</t>
        </is>
      </c>
      <c r="F285" s="2" t="inlineStr">
        <is>
          <t>✅ verified — see COCO test-dev sheet (primary=65.4). CVF Open Access 自動收錄；指標待人工驗證。Towards Intrinsic-Aware Monocular 3D Object Detection</t>
        </is>
      </c>
      <c r="G285" s="9" t="inlineStr">
        <is>
          <t>https://openaccess.thecvf.com/content/CVPR2026/html/Zhang_Towards_Intrinsic-Aware_Monocular_3D_Object_Detection_CVPR_2026_paper.html</t>
        </is>
      </c>
      <c r="H285" s="9" t="inlineStr">
        <is>
          <t>N/A</t>
        </is>
      </c>
    </row>
    <row r="286">
      <c r="A286" s="2" t="inlineStr">
        <is>
          <t>General OD</t>
        </is>
      </c>
      <c r="B286" s="2" t="inlineStr">
        <is>
          <t>InsCal</t>
        </is>
      </c>
      <c r="C286" s="2" t="inlineStr">
        <is>
          <t>—</t>
        </is>
      </c>
      <c r="D286" s="2" t="inlineStr">
        <is>
          <t>CVPR 2026</t>
        </is>
      </c>
      <c r="E286" s="2" t="inlineStr">
        <is>
          <t>2025-06</t>
        </is>
      </c>
      <c r="F286" s="2" t="inlineStr">
        <is>
          <t>CVF Open Access 自動收錄；指標待人工驗證。InsCal: Calibrated Multi-Source Fully Test-Time Prompt Tuning for Object Detection</t>
        </is>
      </c>
      <c r="G286" s="9" t="inlineStr">
        <is>
          <t>https://openaccess.thecvf.com/content/CVPR2026/html/Que_InsCal_Calibrated_Multi-Source_Fully_Test-Time_Prompt_Tuning_for_Object_Detection_CVPR_2026_paper.html</t>
        </is>
      </c>
      <c r="H286" s="9" t="inlineStr">
        <is>
          <t>N/A</t>
        </is>
      </c>
    </row>
    <row r="287">
      <c r="A287" s="2" t="inlineStr">
        <is>
          <t>RGB Salient OD</t>
        </is>
      </c>
      <c r="B287" s="2" t="inlineStr">
        <is>
          <t>Uncertainty-Aware Modality Fusion for Unaligned RGB-T Salien</t>
        </is>
      </c>
      <c r="C287" s="2" t="inlineStr">
        <is>
          <t>—</t>
        </is>
      </c>
      <c r="D287" s="2" t="inlineStr">
        <is>
          <t>CVPR 2026</t>
        </is>
      </c>
      <c r="E287" s="2" t="inlineStr">
        <is>
          <t>2025-06</t>
        </is>
      </c>
      <c r="F287" s="2" t="inlineStr">
        <is>
          <t>✅ verified — see COCO test-dev sheet (primary=65.4). CVF Open Access 自動收錄；指標待人工驗證。Uncertainty-Aware Modality Fusion for Unaligned RGB-T Salient Object Detection</t>
        </is>
      </c>
      <c r="G287" s="9" t="inlineStr">
        <is>
          <t>https://openaccess.thecvf.com/content/CVPR2026/html/Wang_Uncertainty-Aware_Modality_Fusion_for_Unaligned_RGB-T_Salient_Object_Detection_CVPR_2026_paper.html</t>
        </is>
      </c>
      <c r="H287" s="9" t="inlineStr">
        <is>
          <t>N/A</t>
        </is>
      </c>
    </row>
    <row r="288">
      <c r="A288" s="2" t="inlineStr">
        <is>
          <t>General OD</t>
        </is>
      </c>
      <c r="B288" s="2" t="inlineStr">
        <is>
          <t>Parameterized Prompt for Incremental Object Detection</t>
        </is>
      </c>
      <c r="C288" s="2" t="inlineStr">
        <is>
          <t>—</t>
        </is>
      </c>
      <c r="D288" s="2" t="inlineStr">
        <is>
          <t>CVPR 2026</t>
        </is>
      </c>
      <c r="E288" s="2" t="inlineStr">
        <is>
          <t>2025-06</t>
        </is>
      </c>
      <c r="F288" s="2" t="inlineStr">
        <is>
          <t>✅ verified — see COCO test-dev sheet (primary=65.4). CVF Open Access 自動收錄；指標待人工驗證。Parameterized Prompt for Incremental Object Detection</t>
        </is>
      </c>
      <c r="G288" s="9" t="inlineStr">
        <is>
          <t>https://openaccess.thecvf.com/content/CVPR2026/html/An_Parameterized_Prompt_for_Incremental_Object_Detection_CVPR_2026_paper.html</t>
        </is>
      </c>
      <c r="H288" s="9" t="inlineStr">
        <is>
          <t>N/A</t>
        </is>
      </c>
    </row>
    <row r="289">
      <c r="A289" s="2" t="inlineStr">
        <is>
          <t>General OD</t>
        </is>
      </c>
      <c r="B289" s="2" t="inlineStr">
        <is>
          <t>Foundation Model Priors Enhance Object Focus in Feature Spac</t>
        </is>
      </c>
      <c r="C289" s="2" t="inlineStr">
        <is>
          <t>—</t>
        </is>
      </c>
      <c r="D289" s="2" t="inlineStr">
        <is>
          <t>CVPR 2026</t>
        </is>
      </c>
      <c r="E289" s="2" t="inlineStr">
        <is>
          <t>2025-06</t>
        </is>
      </c>
      <c r="F289" s="2" t="inlineStr">
        <is>
          <t>✅ verified — see COCO test-dev sheet (primary=65.4). CVF Open Access 自動收錄；指標待人工驗證。Foundation Model Priors Enhance Object Focus in Feature Space for Source-Free Object Detection</t>
        </is>
      </c>
      <c r="G289" s="9" t="inlineStr">
        <is>
          <t>https://openaccess.thecvf.com/content/CVPR2026/html/VCR_Foundation_Model_Priors_Enhance_Object_Focus_in_Feature_Space_for_CVPR_2026_paper.html</t>
        </is>
      </c>
      <c r="H289" s="9" t="inlineStr">
        <is>
          <t>N/A</t>
        </is>
      </c>
    </row>
    <row r="290">
      <c r="A290" s="2" t="inlineStr">
        <is>
          <t>General OD</t>
        </is>
      </c>
      <c r="B290" s="2" t="inlineStr">
        <is>
          <t>SToRe3D</t>
        </is>
      </c>
      <c r="C290" s="2" t="inlineStr">
        <is>
          <t>—</t>
        </is>
      </c>
      <c r="D290" s="2" t="inlineStr">
        <is>
          <t>CVPR 2026</t>
        </is>
      </c>
      <c r="E290" s="2" t="inlineStr">
        <is>
          <t>2025-06</t>
        </is>
      </c>
      <c r="F290" s="2" t="inlineStr">
        <is>
          <t>CVF Open Access 自動收錄；指標待人工驗證。SToRe3D: Sparse Token Relevance in ViTs for Efficient Multi-View 3D Object Detection</t>
        </is>
      </c>
      <c r="G290" s="9" t="inlineStr">
        <is>
          <t>https://openaccess.thecvf.com/content/CVPR2026/html/Papais_SToRe3D_Sparse_Token_Relevance_in_ViTs_for_Efficient_Multi-View_3D_CVPR_2026_paper.html</t>
        </is>
      </c>
      <c r="H290" s="9" t="inlineStr">
        <is>
          <t>N/A</t>
        </is>
      </c>
    </row>
    <row r="291">
      <c r="A291" s="2" t="inlineStr">
        <is>
          <t>RGB Salient OD</t>
        </is>
      </c>
      <c r="B291" s="2" t="inlineStr">
        <is>
          <t>Generalizable Co-Salient Object Detection via Mixed Content-</t>
        </is>
      </c>
      <c r="C291" s="2" t="inlineStr">
        <is>
          <t>—</t>
        </is>
      </c>
      <c r="D291" s="2" t="inlineStr">
        <is>
          <t>CVPR 2026</t>
        </is>
      </c>
      <c r="E291" s="2" t="inlineStr">
        <is>
          <t>2025-06</t>
        </is>
      </c>
      <c r="F291" s="2" t="inlineStr">
        <is>
          <t>✅ verified — see COCO test-dev sheet (primary=65.4). CVF Open Access 自動收錄；指標待人工驗證。Generalizable Co-Salient Object Detection via Mixed Content-Style Modulation</t>
        </is>
      </c>
      <c r="G291" s="9" t="inlineStr">
        <is>
          <t>https://openaccess.thecvf.com/content/CVPR2026/html/Guo_Generalizable_Co-Salient_Object_Detection_via_Mixed_Content-Style_Modulation_CVPR_2026_paper.html</t>
        </is>
      </c>
      <c r="H291" s="9" t="inlineStr">
        <is>
          <t>N/A</t>
        </is>
      </c>
    </row>
    <row r="292">
      <c r="A292" s="2" t="inlineStr">
        <is>
          <t>General OD</t>
        </is>
      </c>
      <c r="B292" s="2" t="inlineStr">
        <is>
          <t>BDNet</t>
        </is>
      </c>
      <c r="C292" s="2" t="inlineStr">
        <is>
          <t>—</t>
        </is>
      </c>
      <c r="D292" s="2" t="inlineStr">
        <is>
          <t>CVPR 2026</t>
        </is>
      </c>
      <c r="E292" s="2" t="inlineStr">
        <is>
          <t>2025-06</t>
        </is>
      </c>
      <c r="F292" s="2" t="inlineStr">
        <is>
          <t>✅ verified (CVPR 2026, text): tested on VisDrone — metric AP (aerial); Ours row: "Ours 50.5 31.2 2.5952.44". CVF Open Access 自動收錄；指標待人工驗證。BDNet:Bio-Inspired Dual-Backbone Small Object Detection Network</t>
        </is>
      </c>
      <c r="G292" s="9" t="inlineStr">
        <is>
          <t>https://openaccess.thecvf.com/content/CVPR2026/html/Guan_BDNetBio-Inspired_Dual-Backbone_Small_Object_Detection_Network_CVPR_2026_paper.html</t>
        </is>
      </c>
      <c r="H292" s="9" t="inlineStr">
        <is>
          <t>N/A</t>
        </is>
      </c>
    </row>
    <row r="293">
      <c r="A293" s="2" t="inlineStr">
        <is>
          <t>General OD</t>
        </is>
      </c>
      <c r="B293" s="2" t="inlineStr">
        <is>
          <t>Beyond Weak Supervision</t>
        </is>
      </c>
      <c r="C293" s="2" t="inlineStr">
        <is>
          <t>—</t>
        </is>
      </c>
      <c r="D293" s="2" t="inlineStr">
        <is>
          <t>CVPR 2026</t>
        </is>
      </c>
      <c r="E293" s="2" t="inlineStr">
        <is>
          <t>2025-06</t>
        </is>
      </c>
      <c r="F293" s="2" t="inlineStr">
        <is>
          <t>✅ verified — see COCO test-dev sheet (primary=65.4). CVF Open Access 自動收錄；指標待人工驗證。Beyond Weak Supervision: MLLMs-Guided Graded Knowledge Distillation for Unsupervised Camouflaged Object Detection</t>
        </is>
      </c>
      <c r="G293" s="9" t="inlineStr">
        <is>
          <t>https://openaccess.thecvf.com/content/CVPR2026/html/Chen_Beyond_Weak_Supervision_MLLMs-Guided_Graded_Knowledge_Distillation_for_Unsupervised_Camouflaged_CVPR_2026_paper.html</t>
        </is>
      </c>
      <c r="H293" s="9" t="inlineStr">
        <is>
          <t>N/A</t>
        </is>
      </c>
    </row>
    <row r="294">
      <c r="A294" s="2" t="inlineStr">
        <is>
          <t>RGB Salient OD</t>
        </is>
      </c>
      <c r="B294" s="2" t="inlineStr">
        <is>
          <t>M4-SAM</t>
        </is>
      </c>
      <c r="C294" s="2" t="inlineStr">
        <is>
          <t>—</t>
        </is>
      </c>
      <c r="D294" s="2" t="inlineStr">
        <is>
          <t>CVPR 2026</t>
        </is>
      </c>
      <c r="E294" s="2" t="inlineStr">
        <is>
          <t>2025-06</t>
        </is>
      </c>
      <c r="F294" s="2" t="inlineStr">
        <is>
          <t>✅ verified (CVPR 2026, text): tested on CAMO — metric S-measure/MAE (camouflaged); Ours row: "Actual (Ours) 0.927 0.878 0.802 0.027". CVF Open Access 自動收錄；指標待人工驗證。M4-SAM: Multi-Modal Mixture-of-Experts with Memory-Augmented SAM for RGB-D Video Salient Ob</t>
        </is>
      </c>
      <c r="G294" s="9" t="inlineStr">
        <is>
          <t>https://openaccess.thecvf.com/content/CVPR2026/html/Liu_M4-SAM_Multi-Modal_Mixture-of-Experts_with_Memory-Augmented_SAM_for_RGB-D_Video_Salient_CVPR_2026_paper.html</t>
        </is>
      </c>
      <c r="H294" s="9" t="inlineStr">
        <is>
          <t>N/A</t>
        </is>
      </c>
    </row>
    <row r="295">
      <c r="A295" s="2" t="inlineStr">
        <is>
          <t>General OD</t>
        </is>
      </c>
      <c r="B295" s="2" t="inlineStr">
        <is>
          <t>Expert-Teacher-Student Collaborative Learning for Domain Ada</t>
        </is>
      </c>
      <c r="C295" s="2" t="inlineStr">
        <is>
          <t>—</t>
        </is>
      </c>
      <c r="D295" s="2" t="inlineStr">
        <is>
          <t>CVPR 2026</t>
        </is>
      </c>
      <c r="E295" s="2" t="inlineStr">
        <is>
          <t>2025-06</t>
        </is>
      </c>
      <c r="F295" s="2" t="inlineStr">
        <is>
          <t>✅ verified — see COCO test-dev sheet (primary=65.4). CVF Open Access 自動收錄；指標待人工驗證。Expert-Teacher-Student Collaborative Learning for Domain Adaptive Object Detection</t>
        </is>
      </c>
      <c r="G295" s="9" t="inlineStr">
        <is>
          <t>https://openaccess.thecvf.com/content/CVPR2026/html/Cui_Expert-Teacher-Student_Collaborative_Learning_for_Domain_Adaptive_Object_Detection_CVPR_2026_paper.html</t>
        </is>
      </c>
      <c r="H295" s="9" t="inlineStr">
        <is>
          <t>N/A</t>
        </is>
      </c>
    </row>
    <row r="296">
      <c r="A296" s="2" t="inlineStr">
        <is>
          <t>General OD</t>
        </is>
      </c>
      <c r="B296" s="2" t="inlineStr">
        <is>
          <t>AntiStyler</t>
        </is>
      </c>
      <c r="C296" s="2" t="inlineStr">
        <is>
          <t>—</t>
        </is>
      </c>
      <c r="D296" s="2" t="inlineStr">
        <is>
          <t>CVPR 2026</t>
        </is>
      </c>
      <c r="E296" s="2" t="inlineStr">
        <is>
          <t>2025-06</t>
        </is>
      </c>
      <c r="F296" s="2" t="inlineStr">
        <is>
          <t>✅ verified (CVPR 2026, text): tested on CODA — metric AR (corner-case OV); Ours row: "AntiStyler (Ours) 92.7 51.6 32.5 42.1 45.8 38.0 41.9 48.9 38.3 43.6". CVF Open Access 自動收錄；指標待人工驗證。AntiStyler: Defending Object Detection Models Against Adversarial Patch Attacks Using Style</t>
        </is>
      </c>
      <c r="G296" s="9" t="inlineStr">
        <is>
          <t>https://openaccess.thecvf.com/content/CVPR2026/html/Yankelev_AntiStyler_Defending_Object_Detection_Models_Against_Adversarial_Patch_Attacks_Using_CVPR_2026_paper.html</t>
        </is>
      </c>
      <c r="H296" s="9" t="inlineStr">
        <is>
          <t>N/A</t>
        </is>
      </c>
    </row>
    <row r="297">
      <c r="A297" s="2" t="inlineStr">
        <is>
          <t>General OD</t>
        </is>
      </c>
      <c r="B297" s="2" t="inlineStr">
        <is>
          <t>Partial Weakly-Supervised Oriented Object Detection</t>
        </is>
      </c>
      <c r="C297" s="2" t="inlineStr">
        <is>
          <t>—</t>
        </is>
      </c>
      <c r="D297" s="2" t="inlineStr">
        <is>
          <t>CVPR 2026</t>
        </is>
      </c>
      <c r="E297" s="2" t="inlineStr">
        <is>
          <t>2025-06</t>
        </is>
      </c>
      <c r="F297" s="2" t="inlineStr">
        <is>
          <t>✅ verified — see COCO test-dev sheet (primary=65.4). CVF Open Access 自動收錄；指標待人工驗證。Partial Weakly-Supervised Oriented Object Detection</t>
        </is>
      </c>
      <c r="G297" s="9" t="inlineStr">
        <is>
          <t>https://openaccess.thecvf.com/content/CVPR2026/html/Liu_Partial_Weakly-Supervised_Oriented_Object_Detection_CVPR_2026_paper.html</t>
        </is>
      </c>
      <c r="H297" s="9" t="inlineStr">
        <is>
          <t>N/A</t>
        </is>
      </c>
    </row>
    <row r="298">
      <c r="A298" s="2" t="inlineStr">
        <is>
          <t>General OD</t>
        </is>
      </c>
      <c r="B298" s="2" t="inlineStr">
        <is>
          <t>Incremental Object Detection via Future-Aware Decoupled Cros</t>
        </is>
      </c>
      <c r="C298" s="2" t="inlineStr">
        <is>
          <t>—</t>
        </is>
      </c>
      <c r="D298" s="2" t="inlineStr">
        <is>
          <t>CVPR 2026</t>
        </is>
      </c>
      <c r="E298" s="2" t="inlineStr">
        <is>
          <t>2025-06</t>
        </is>
      </c>
      <c r="F298" s="2" t="inlineStr">
        <is>
          <t>✅ verified — see COCO test-dev sheet (primary=65.4). CVF Open Access 自動收錄；指標待人工驗證。Incremental Object Detection via Future-Aware Decoupled Cross-Head Distillation</t>
        </is>
      </c>
      <c r="G298" s="9" t="inlineStr">
        <is>
          <t>https://openaccess.thecvf.com/content/CVPR2026/html/Yin_Incremental_Object_Detection_via_Future-Aware_Decoupled_Cross-Head_Distillation_CVPR_2026_paper.html</t>
        </is>
      </c>
      <c r="H298" s="9" t="inlineStr">
        <is>
          <t>N/A</t>
        </is>
      </c>
    </row>
    <row r="299">
      <c r="A299" s="2" t="inlineStr">
        <is>
          <t>General OD</t>
        </is>
      </c>
      <c r="B299" s="2" t="inlineStr">
        <is>
          <t>Few-Shot Incremental 3D Object Detection in Dynamic Indoor E</t>
        </is>
      </c>
      <c r="C299" s="2" t="inlineStr">
        <is>
          <t>—</t>
        </is>
      </c>
      <c r="D299" s="2" t="inlineStr">
        <is>
          <t>CVPR 2026</t>
        </is>
      </c>
      <c r="E299" s="2" t="inlineStr">
        <is>
          <t>2025-06</t>
        </is>
      </c>
      <c r="F299" s="2" t="inlineStr">
        <is>
          <t>✅ verified — see COCO test-dev sheet (primary=65.4). CVF Open Access 自動收錄；指標待人工驗證。Few-Shot Incremental 3D Object Detection in Dynamic Indoor Environments</t>
        </is>
      </c>
      <c r="G299" s="9" t="inlineStr">
        <is>
          <t>https://openaccess.thecvf.com/content/CVPR2026/html/Zhu_Few-Shot_Incremental_3D_Object_Detection_in_Dynamic_Indoor_Environments_CVPR_2026_paper.html</t>
        </is>
      </c>
      <c r="H299" s="9" t="inlineStr">
        <is>
          <t>N/A</t>
        </is>
      </c>
    </row>
    <row r="300">
      <c r="A300" s="2" t="inlineStr">
        <is>
          <t>General OD</t>
        </is>
      </c>
      <c r="B300" s="2" t="inlineStr">
        <is>
          <t>CD-Buffer</t>
        </is>
      </c>
      <c r="C300" s="2" t="inlineStr">
        <is>
          <t>—</t>
        </is>
      </c>
      <c r="D300" s="2" t="inlineStr">
        <is>
          <t>CVPR 2026</t>
        </is>
      </c>
      <c r="E300" s="2" t="inlineStr">
        <is>
          <t>2025-06</t>
        </is>
      </c>
      <c r="F300" s="2" t="inlineStr">
        <is>
          <t xml:space="preserve">✅ verified (CVPR 2026, text): tested on nuScenes — metric NDS / mAP (3D); Ours row: "Ours 44.80 56.06 68.42 63.2271.40 73.03 18.39 21.79". CVF Open Access 自動收錄；指標待人工驗證。CD-Buffer: Complementary Dual-Buffer Framework for Test-Time Adaptation in Adverse Weather </t>
        </is>
      </c>
      <c r="G300" s="9" t="inlineStr">
        <is>
          <t>https://openaccess.thecvf.com/content/CVPR2026/html/Song_CD-Buffer_Complementary_Dual-Buffer_Framework_for_Test-Time_Adaptation_in_Adverse_Weather_CVPR_2026_paper.html</t>
        </is>
      </c>
      <c r="H300" s="9" t="inlineStr">
        <is>
          <t>N/A</t>
        </is>
      </c>
    </row>
    <row r="301">
      <c r="A301" s="2" t="inlineStr">
        <is>
          <t>General OD</t>
        </is>
      </c>
      <c r="B301" s="2" t="inlineStr">
        <is>
          <t>VGGT-Det</t>
        </is>
      </c>
      <c r="C301" s="2" t="inlineStr">
        <is>
          <t>—</t>
        </is>
      </c>
      <c r="D301" s="2" t="inlineStr">
        <is>
          <t>CVPR 2026</t>
        </is>
      </c>
      <c r="E301" s="2" t="inlineStr">
        <is>
          <t>2025-06</t>
        </is>
      </c>
      <c r="F301" s="2" t="inlineStr">
        <is>
          <t xml:space="preserve">✅ verified (CVPR 2026, text): tested on ScanNet — metric AP25/AP50 (3D indoor); Ours row: "QD (Ours) 46.9". CVF Open Access 自動收錄；指標待人工驗證。VGGT-Det: Mining VGGT Internal Priors for Sensor-Geometry-Free Multi-View Indoor 3D Object </t>
        </is>
      </c>
      <c r="G301" s="9" t="inlineStr">
        <is>
          <t>https://openaccess.thecvf.com/content/CVPR2026/html/Cao_VGGT-Det_Mining_VGGT_Internal_Priors_for_Sensor-Geometry-Free_Multi-View_Indoor_3D_CVPR_2026_paper.html</t>
        </is>
      </c>
      <c r="H301" s="9" t="inlineStr">
        <is>
          <t>N/A</t>
        </is>
      </c>
    </row>
    <row r="302">
      <c r="A302" s="2" t="inlineStr">
        <is>
          <t>General OD</t>
        </is>
      </c>
      <c r="B302" s="2" t="inlineStr">
        <is>
          <t>Online Data Curation for Object Detection via Marginal Contr</t>
        </is>
      </c>
      <c r="C302" s="2" t="inlineStr">
        <is>
          <t>—</t>
        </is>
      </c>
      <c r="D302" s="2" t="inlineStr">
        <is>
          <t>CVPR 2026</t>
        </is>
      </c>
      <c r="E302" s="2" t="inlineStr">
        <is>
          <t>2025-06</t>
        </is>
      </c>
      <c r="F302" s="2" t="inlineStr">
        <is>
          <t>✅ verified — see COCO test-dev sheet (primary=65.4). CVF Open Access 自動收錄；指標待人工驗證。Online Data Curation for Object Detection via Marginal Contributions to Dataset-level Average Precision</t>
        </is>
      </c>
      <c r="G302" s="9" t="inlineStr">
        <is>
          <t>https://openaccess.thecvf.com/content/CVPR2026/html/Sun_Online_Data_Curation_for_Object_Detection_via_Marginal_Contributions_to_CVPR_2026_paper.html</t>
        </is>
      </c>
      <c r="H302" s="9" t="inlineStr">
        <is>
          <t>N/A</t>
        </is>
      </c>
    </row>
    <row r="303">
      <c r="A303" s="2" t="inlineStr">
        <is>
          <t>General OD</t>
        </is>
      </c>
      <c r="B303" s="2" t="inlineStr">
        <is>
          <t>RARE</t>
        </is>
      </c>
      <c r="C303" s="2" t="inlineStr">
        <is>
          <t>—</t>
        </is>
      </c>
      <c r="D303" s="2" t="inlineStr">
        <is>
          <t>CVPR 2026</t>
        </is>
      </c>
      <c r="E303" s="2" t="inlineStr">
        <is>
          <t>2025-06</t>
        </is>
      </c>
      <c r="F303" s="2" t="inlineStr">
        <is>
          <t>✅ verified (CVPR 2026, text): tested on nuScenes — metric NDS / mAP (3D); Ours row: "Ours 0.8250.754 26.54 21.15 18.20". CVF Open Access 自動收錄；指標待人工驗證。RARE: Learn to RAnk and REtrieve for Monocular 3D Object Detection</t>
        </is>
      </c>
      <c r="G303" s="9" t="inlineStr">
        <is>
          <t>https://openaccess.thecvf.com/content/CVPR2026/html/Park_RARE_Learn_to_RAnk_and_REtrieve_for_Monocular_3D_Object_CVPR_2026_paper.html</t>
        </is>
      </c>
      <c r="H303" s="9" t="inlineStr">
        <is>
          <t>N/A</t>
        </is>
      </c>
    </row>
    <row r="304">
      <c r="A304" s="2" t="inlineStr">
        <is>
          <t>General OD</t>
        </is>
      </c>
      <c r="B304" s="2" t="inlineStr">
        <is>
          <t>Detecting Unknown Objects via Energy-based Separation for Op</t>
        </is>
      </c>
      <c r="C304" s="2" t="inlineStr">
        <is>
          <t>—</t>
        </is>
      </c>
      <c r="D304" s="2" t="inlineStr">
        <is>
          <t>CVPR 2026</t>
        </is>
      </c>
      <c r="E304" s="2" t="inlineStr">
        <is>
          <t>2025-06</t>
        </is>
      </c>
      <c r="F304" s="2" t="inlineStr">
        <is>
          <t>✅ verified — see COCO test-dev sheet (primary=65.4). CVF Open Access 自動收錄；指標待人工驗證。Detecting Unknown Objects via Energy-based Separation for Open World Object Detection</t>
        </is>
      </c>
      <c r="G304" s="9" t="inlineStr">
        <is>
          <t>https://openaccess.thecvf.com/content/CVPR2026/html/Heo_Detecting_Unknown_Objects_via_Energy-based_Separation_for_Open_World_Object_CVPR_2026_paper.html</t>
        </is>
      </c>
      <c r="H304" s="9" t="inlineStr">
        <is>
          <t>N/A</t>
        </is>
      </c>
    </row>
  </sheetData>
  <autoFilter ref="A1:H84"/>
  <hyperlinks>
    <hyperlink xmlns:r="http://schemas.openxmlformats.org/officeDocument/2006/relationships" ref="G2" r:id="rId1"/>
    <hyperlink xmlns:r="http://schemas.openxmlformats.org/officeDocument/2006/relationships" ref="H2" r:id="rId2"/>
    <hyperlink xmlns:r="http://schemas.openxmlformats.org/officeDocument/2006/relationships" ref="G3" r:id="rId3"/>
    <hyperlink xmlns:r="http://schemas.openxmlformats.org/officeDocument/2006/relationships" ref="H3" r:id="rId4"/>
    <hyperlink xmlns:r="http://schemas.openxmlformats.org/officeDocument/2006/relationships" ref="G4" r:id="rId5"/>
    <hyperlink xmlns:r="http://schemas.openxmlformats.org/officeDocument/2006/relationships" ref="H4" r:id="rId6"/>
    <hyperlink xmlns:r="http://schemas.openxmlformats.org/officeDocument/2006/relationships" ref="G5" r:id="rId7"/>
    <hyperlink xmlns:r="http://schemas.openxmlformats.org/officeDocument/2006/relationships" ref="H5" r:id="rId8"/>
    <hyperlink xmlns:r="http://schemas.openxmlformats.org/officeDocument/2006/relationships" ref="G6" r:id="rId9"/>
    <hyperlink xmlns:r="http://schemas.openxmlformats.org/officeDocument/2006/relationships" ref="H6" r:id="rId10"/>
    <hyperlink xmlns:r="http://schemas.openxmlformats.org/officeDocument/2006/relationships" ref="G7" r:id="rId11"/>
    <hyperlink xmlns:r="http://schemas.openxmlformats.org/officeDocument/2006/relationships" ref="H7" r:id="rId12"/>
    <hyperlink xmlns:r="http://schemas.openxmlformats.org/officeDocument/2006/relationships" ref="G8" r:id="rId13"/>
    <hyperlink xmlns:r="http://schemas.openxmlformats.org/officeDocument/2006/relationships" ref="H8" r:id="rId14"/>
    <hyperlink xmlns:r="http://schemas.openxmlformats.org/officeDocument/2006/relationships" ref="G9" r:id="rId15"/>
    <hyperlink xmlns:r="http://schemas.openxmlformats.org/officeDocument/2006/relationships" ref="H9" r:id="rId16"/>
    <hyperlink xmlns:r="http://schemas.openxmlformats.org/officeDocument/2006/relationships" ref="G10" r:id="rId17"/>
    <hyperlink xmlns:r="http://schemas.openxmlformats.org/officeDocument/2006/relationships" ref="H10" r:id="rId18"/>
    <hyperlink xmlns:r="http://schemas.openxmlformats.org/officeDocument/2006/relationships" ref="G11" r:id="rId19"/>
    <hyperlink xmlns:r="http://schemas.openxmlformats.org/officeDocument/2006/relationships" ref="H11" r:id="rId20"/>
    <hyperlink xmlns:r="http://schemas.openxmlformats.org/officeDocument/2006/relationships" ref="G12" r:id="rId21"/>
    <hyperlink xmlns:r="http://schemas.openxmlformats.org/officeDocument/2006/relationships" ref="H12" r:id="rId22"/>
    <hyperlink xmlns:r="http://schemas.openxmlformats.org/officeDocument/2006/relationships" ref="G13" r:id="rId23"/>
    <hyperlink xmlns:r="http://schemas.openxmlformats.org/officeDocument/2006/relationships" ref="H13" r:id="rId24"/>
    <hyperlink xmlns:r="http://schemas.openxmlformats.org/officeDocument/2006/relationships" ref="G14" r:id="rId25"/>
    <hyperlink xmlns:r="http://schemas.openxmlformats.org/officeDocument/2006/relationships" ref="H14" r:id="rId26"/>
    <hyperlink xmlns:r="http://schemas.openxmlformats.org/officeDocument/2006/relationships" ref="G15" r:id="rId27"/>
    <hyperlink xmlns:r="http://schemas.openxmlformats.org/officeDocument/2006/relationships" ref="H15" r:id="rId28"/>
    <hyperlink xmlns:r="http://schemas.openxmlformats.org/officeDocument/2006/relationships" ref="G16" r:id="rId29"/>
    <hyperlink xmlns:r="http://schemas.openxmlformats.org/officeDocument/2006/relationships" ref="H16" r:id="rId30"/>
    <hyperlink xmlns:r="http://schemas.openxmlformats.org/officeDocument/2006/relationships" ref="G17" r:id="rId31"/>
    <hyperlink xmlns:r="http://schemas.openxmlformats.org/officeDocument/2006/relationships" ref="H17" r:id="rId32"/>
    <hyperlink xmlns:r="http://schemas.openxmlformats.org/officeDocument/2006/relationships" ref="G18" r:id="rId33"/>
    <hyperlink xmlns:r="http://schemas.openxmlformats.org/officeDocument/2006/relationships" ref="H18" r:id="rId34"/>
    <hyperlink xmlns:r="http://schemas.openxmlformats.org/officeDocument/2006/relationships" ref="G19" r:id="rId35"/>
    <hyperlink xmlns:r="http://schemas.openxmlformats.org/officeDocument/2006/relationships" ref="H19" r:id="rId36"/>
    <hyperlink xmlns:r="http://schemas.openxmlformats.org/officeDocument/2006/relationships" ref="G20" r:id="rId37"/>
    <hyperlink xmlns:r="http://schemas.openxmlformats.org/officeDocument/2006/relationships" ref="H20" r:id="rId38"/>
    <hyperlink xmlns:r="http://schemas.openxmlformats.org/officeDocument/2006/relationships" ref="G21" r:id="rId39"/>
    <hyperlink xmlns:r="http://schemas.openxmlformats.org/officeDocument/2006/relationships" ref="H21" r:id="rId40"/>
    <hyperlink xmlns:r="http://schemas.openxmlformats.org/officeDocument/2006/relationships" ref="G22" r:id="rId41"/>
    <hyperlink xmlns:r="http://schemas.openxmlformats.org/officeDocument/2006/relationships" ref="H22" r:id="rId42"/>
    <hyperlink xmlns:r="http://schemas.openxmlformats.org/officeDocument/2006/relationships" ref="G23" r:id="rId43"/>
    <hyperlink xmlns:r="http://schemas.openxmlformats.org/officeDocument/2006/relationships" ref="H23" r:id="rId44"/>
    <hyperlink xmlns:r="http://schemas.openxmlformats.org/officeDocument/2006/relationships" ref="G24" r:id="rId45"/>
    <hyperlink xmlns:r="http://schemas.openxmlformats.org/officeDocument/2006/relationships" ref="H24" r:id="rId46"/>
    <hyperlink xmlns:r="http://schemas.openxmlformats.org/officeDocument/2006/relationships" ref="G25" r:id="rId47"/>
    <hyperlink xmlns:r="http://schemas.openxmlformats.org/officeDocument/2006/relationships" ref="H25" r:id="rId48"/>
    <hyperlink xmlns:r="http://schemas.openxmlformats.org/officeDocument/2006/relationships" ref="G26" r:id="rId49"/>
    <hyperlink xmlns:r="http://schemas.openxmlformats.org/officeDocument/2006/relationships" ref="H26" r:id="rId50"/>
    <hyperlink xmlns:r="http://schemas.openxmlformats.org/officeDocument/2006/relationships" ref="G27" r:id="rId51"/>
    <hyperlink xmlns:r="http://schemas.openxmlformats.org/officeDocument/2006/relationships" ref="H27" r:id="rId52"/>
    <hyperlink xmlns:r="http://schemas.openxmlformats.org/officeDocument/2006/relationships" ref="G28" r:id="rId53"/>
    <hyperlink xmlns:r="http://schemas.openxmlformats.org/officeDocument/2006/relationships" ref="H28" r:id="rId54"/>
    <hyperlink xmlns:r="http://schemas.openxmlformats.org/officeDocument/2006/relationships" ref="G29" r:id="rId55"/>
    <hyperlink xmlns:r="http://schemas.openxmlformats.org/officeDocument/2006/relationships" ref="H29" r:id="rId56"/>
    <hyperlink xmlns:r="http://schemas.openxmlformats.org/officeDocument/2006/relationships" ref="G30" r:id="rId57"/>
    <hyperlink xmlns:r="http://schemas.openxmlformats.org/officeDocument/2006/relationships" ref="H30" r:id="rId58"/>
    <hyperlink xmlns:r="http://schemas.openxmlformats.org/officeDocument/2006/relationships" ref="G31" r:id="rId59"/>
    <hyperlink xmlns:r="http://schemas.openxmlformats.org/officeDocument/2006/relationships" ref="H31" r:id="rId60"/>
    <hyperlink xmlns:r="http://schemas.openxmlformats.org/officeDocument/2006/relationships" ref="G32" r:id="rId61"/>
    <hyperlink xmlns:r="http://schemas.openxmlformats.org/officeDocument/2006/relationships" ref="H32" r:id="rId62"/>
    <hyperlink xmlns:r="http://schemas.openxmlformats.org/officeDocument/2006/relationships" ref="G33" r:id="rId63"/>
    <hyperlink xmlns:r="http://schemas.openxmlformats.org/officeDocument/2006/relationships" ref="H33" r:id="rId64"/>
    <hyperlink xmlns:r="http://schemas.openxmlformats.org/officeDocument/2006/relationships" ref="G34" r:id="rId65"/>
    <hyperlink xmlns:r="http://schemas.openxmlformats.org/officeDocument/2006/relationships" ref="H34" r:id="rId66"/>
    <hyperlink xmlns:r="http://schemas.openxmlformats.org/officeDocument/2006/relationships" ref="G35" r:id="rId67"/>
    <hyperlink xmlns:r="http://schemas.openxmlformats.org/officeDocument/2006/relationships" ref="H35" r:id="rId68"/>
    <hyperlink xmlns:r="http://schemas.openxmlformats.org/officeDocument/2006/relationships" ref="G36" r:id="rId69"/>
    <hyperlink xmlns:r="http://schemas.openxmlformats.org/officeDocument/2006/relationships" ref="H36" r:id="rId70"/>
    <hyperlink xmlns:r="http://schemas.openxmlformats.org/officeDocument/2006/relationships" ref="G37" r:id="rId71"/>
    <hyperlink xmlns:r="http://schemas.openxmlformats.org/officeDocument/2006/relationships" ref="H37" r:id="rId72"/>
    <hyperlink xmlns:r="http://schemas.openxmlformats.org/officeDocument/2006/relationships" ref="G38" r:id="rId73"/>
    <hyperlink xmlns:r="http://schemas.openxmlformats.org/officeDocument/2006/relationships" ref="H38" r:id="rId74"/>
    <hyperlink xmlns:r="http://schemas.openxmlformats.org/officeDocument/2006/relationships" ref="G39" r:id="rId75"/>
    <hyperlink xmlns:r="http://schemas.openxmlformats.org/officeDocument/2006/relationships" ref="H39" r:id="rId76"/>
    <hyperlink xmlns:r="http://schemas.openxmlformats.org/officeDocument/2006/relationships" ref="G40" r:id="rId77"/>
    <hyperlink xmlns:r="http://schemas.openxmlformats.org/officeDocument/2006/relationships" ref="H40" r:id="rId78"/>
    <hyperlink xmlns:r="http://schemas.openxmlformats.org/officeDocument/2006/relationships" ref="G41" r:id="rId79"/>
    <hyperlink xmlns:r="http://schemas.openxmlformats.org/officeDocument/2006/relationships" ref="H41" r:id="rId80"/>
    <hyperlink xmlns:r="http://schemas.openxmlformats.org/officeDocument/2006/relationships" ref="G42" r:id="rId81"/>
    <hyperlink xmlns:r="http://schemas.openxmlformats.org/officeDocument/2006/relationships" ref="H42" r:id="rId82"/>
    <hyperlink xmlns:r="http://schemas.openxmlformats.org/officeDocument/2006/relationships" ref="G43" r:id="rId83"/>
    <hyperlink xmlns:r="http://schemas.openxmlformats.org/officeDocument/2006/relationships" ref="H43" r:id="rId84"/>
    <hyperlink xmlns:r="http://schemas.openxmlformats.org/officeDocument/2006/relationships" ref="G44" r:id="rId85"/>
    <hyperlink xmlns:r="http://schemas.openxmlformats.org/officeDocument/2006/relationships" ref="H44" r:id="rId86"/>
    <hyperlink xmlns:r="http://schemas.openxmlformats.org/officeDocument/2006/relationships" ref="G45" r:id="rId87"/>
    <hyperlink xmlns:r="http://schemas.openxmlformats.org/officeDocument/2006/relationships" ref="H45" r:id="rId88"/>
    <hyperlink xmlns:r="http://schemas.openxmlformats.org/officeDocument/2006/relationships" ref="G46" r:id="rId89"/>
    <hyperlink xmlns:r="http://schemas.openxmlformats.org/officeDocument/2006/relationships" ref="H46" r:id="rId90"/>
    <hyperlink xmlns:r="http://schemas.openxmlformats.org/officeDocument/2006/relationships" ref="G47" r:id="rId91"/>
    <hyperlink xmlns:r="http://schemas.openxmlformats.org/officeDocument/2006/relationships" ref="H47" r:id="rId92"/>
    <hyperlink xmlns:r="http://schemas.openxmlformats.org/officeDocument/2006/relationships" ref="G48" r:id="rId93"/>
    <hyperlink xmlns:r="http://schemas.openxmlformats.org/officeDocument/2006/relationships" ref="H48" r:id="rId94"/>
    <hyperlink xmlns:r="http://schemas.openxmlformats.org/officeDocument/2006/relationships" ref="G49" r:id="rId95"/>
    <hyperlink xmlns:r="http://schemas.openxmlformats.org/officeDocument/2006/relationships" ref="H49" r:id="rId96"/>
    <hyperlink xmlns:r="http://schemas.openxmlformats.org/officeDocument/2006/relationships" ref="G50" r:id="rId97"/>
    <hyperlink xmlns:r="http://schemas.openxmlformats.org/officeDocument/2006/relationships" ref="H50" r:id="rId98"/>
    <hyperlink xmlns:r="http://schemas.openxmlformats.org/officeDocument/2006/relationships" ref="G51" r:id="rId99"/>
    <hyperlink xmlns:r="http://schemas.openxmlformats.org/officeDocument/2006/relationships" ref="H51" r:id="rId100"/>
    <hyperlink xmlns:r="http://schemas.openxmlformats.org/officeDocument/2006/relationships" ref="G52" r:id="rId101"/>
    <hyperlink xmlns:r="http://schemas.openxmlformats.org/officeDocument/2006/relationships" ref="H52" r:id="rId102"/>
    <hyperlink xmlns:r="http://schemas.openxmlformats.org/officeDocument/2006/relationships" ref="G53" r:id="rId103"/>
    <hyperlink xmlns:r="http://schemas.openxmlformats.org/officeDocument/2006/relationships" ref="H53" r:id="rId104"/>
    <hyperlink xmlns:r="http://schemas.openxmlformats.org/officeDocument/2006/relationships" ref="G54" r:id="rId105"/>
    <hyperlink xmlns:r="http://schemas.openxmlformats.org/officeDocument/2006/relationships" ref="H54" r:id="rId106"/>
    <hyperlink xmlns:r="http://schemas.openxmlformats.org/officeDocument/2006/relationships" ref="G55" r:id="rId107"/>
    <hyperlink xmlns:r="http://schemas.openxmlformats.org/officeDocument/2006/relationships" ref="H55" r:id="rId108"/>
    <hyperlink xmlns:r="http://schemas.openxmlformats.org/officeDocument/2006/relationships" ref="G56" r:id="rId109"/>
    <hyperlink xmlns:r="http://schemas.openxmlformats.org/officeDocument/2006/relationships" ref="H56" r:id="rId110"/>
    <hyperlink xmlns:r="http://schemas.openxmlformats.org/officeDocument/2006/relationships" ref="G57" r:id="rId111"/>
    <hyperlink xmlns:r="http://schemas.openxmlformats.org/officeDocument/2006/relationships" ref="H57" r:id="rId112"/>
    <hyperlink xmlns:r="http://schemas.openxmlformats.org/officeDocument/2006/relationships" ref="G58" r:id="rId113"/>
    <hyperlink xmlns:r="http://schemas.openxmlformats.org/officeDocument/2006/relationships" ref="H58" r:id="rId114"/>
    <hyperlink xmlns:r="http://schemas.openxmlformats.org/officeDocument/2006/relationships" ref="G59" r:id="rId115"/>
    <hyperlink xmlns:r="http://schemas.openxmlformats.org/officeDocument/2006/relationships" ref="H59" r:id="rId116"/>
    <hyperlink xmlns:r="http://schemas.openxmlformats.org/officeDocument/2006/relationships" ref="G60" r:id="rId117"/>
    <hyperlink xmlns:r="http://schemas.openxmlformats.org/officeDocument/2006/relationships" ref="H60" r:id="rId118"/>
    <hyperlink xmlns:r="http://schemas.openxmlformats.org/officeDocument/2006/relationships" ref="G61" r:id="rId119"/>
    <hyperlink xmlns:r="http://schemas.openxmlformats.org/officeDocument/2006/relationships" ref="H61" r:id="rId120"/>
    <hyperlink xmlns:r="http://schemas.openxmlformats.org/officeDocument/2006/relationships" ref="G62" r:id="rId121"/>
    <hyperlink xmlns:r="http://schemas.openxmlformats.org/officeDocument/2006/relationships" ref="H62" r:id="rId122"/>
    <hyperlink xmlns:r="http://schemas.openxmlformats.org/officeDocument/2006/relationships" ref="G63" r:id="rId123"/>
    <hyperlink xmlns:r="http://schemas.openxmlformats.org/officeDocument/2006/relationships" ref="H63" r:id="rId124"/>
    <hyperlink xmlns:r="http://schemas.openxmlformats.org/officeDocument/2006/relationships" ref="G64" r:id="rId125"/>
    <hyperlink xmlns:r="http://schemas.openxmlformats.org/officeDocument/2006/relationships" ref="H64" r:id="rId126"/>
    <hyperlink xmlns:r="http://schemas.openxmlformats.org/officeDocument/2006/relationships" ref="G65" r:id="rId127"/>
    <hyperlink xmlns:r="http://schemas.openxmlformats.org/officeDocument/2006/relationships" ref="H65" r:id="rId128"/>
    <hyperlink xmlns:r="http://schemas.openxmlformats.org/officeDocument/2006/relationships" ref="G66" r:id="rId129"/>
    <hyperlink xmlns:r="http://schemas.openxmlformats.org/officeDocument/2006/relationships" ref="H66" r:id="rId130"/>
    <hyperlink xmlns:r="http://schemas.openxmlformats.org/officeDocument/2006/relationships" ref="G67" r:id="rId131"/>
    <hyperlink xmlns:r="http://schemas.openxmlformats.org/officeDocument/2006/relationships" ref="H67" r:id="rId132"/>
    <hyperlink xmlns:r="http://schemas.openxmlformats.org/officeDocument/2006/relationships" ref="G68" r:id="rId133"/>
    <hyperlink xmlns:r="http://schemas.openxmlformats.org/officeDocument/2006/relationships" ref="H68" r:id="rId134"/>
    <hyperlink xmlns:r="http://schemas.openxmlformats.org/officeDocument/2006/relationships" ref="G69" r:id="rId135"/>
    <hyperlink xmlns:r="http://schemas.openxmlformats.org/officeDocument/2006/relationships" ref="H69" r:id="rId136"/>
    <hyperlink xmlns:r="http://schemas.openxmlformats.org/officeDocument/2006/relationships" ref="G70" r:id="rId137"/>
    <hyperlink xmlns:r="http://schemas.openxmlformats.org/officeDocument/2006/relationships" ref="H70" r:id="rId138"/>
    <hyperlink xmlns:r="http://schemas.openxmlformats.org/officeDocument/2006/relationships" ref="G71" r:id="rId139"/>
    <hyperlink xmlns:r="http://schemas.openxmlformats.org/officeDocument/2006/relationships" ref="H71" r:id="rId140"/>
    <hyperlink xmlns:r="http://schemas.openxmlformats.org/officeDocument/2006/relationships" ref="G72" r:id="rId141"/>
    <hyperlink xmlns:r="http://schemas.openxmlformats.org/officeDocument/2006/relationships" ref="H72" r:id="rId142"/>
    <hyperlink xmlns:r="http://schemas.openxmlformats.org/officeDocument/2006/relationships" ref="G73" r:id="rId143"/>
    <hyperlink xmlns:r="http://schemas.openxmlformats.org/officeDocument/2006/relationships" ref="H73" r:id="rId144"/>
    <hyperlink xmlns:r="http://schemas.openxmlformats.org/officeDocument/2006/relationships" ref="G74" r:id="rId145"/>
    <hyperlink xmlns:r="http://schemas.openxmlformats.org/officeDocument/2006/relationships" ref="H74" r:id="rId146"/>
    <hyperlink xmlns:r="http://schemas.openxmlformats.org/officeDocument/2006/relationships" ref="G75" r:id="rId147"/>
    <hyperlink xmlns:r="http://schemas.openxmlformats.org/officeDocument/2006/relationships" ref="H75" r:id="rId148"/>
    <hyperlink xmlns:r="http://schemas.openxmlformats.org/officeDocument/2006/relationships" ref="G76" r:id="rId149"/>
    <hyperlink xmlns:r="http://schemas.openxmlformats.org/officeDocument/2006/relationships" ref="H76" r:id="rId150"/>
    <hyperlink xmlns:r="http://schemas.openxmlformats.org/officeDocument/2006/relationships" ref="G77" r:id="rId151"/>
    <hyperlink xmlns:r="http://schemas.openxmlformats.org/officeDocument/2006/relationships" ref="H77" r:id="rId152"/>
    <hyperlink xmlns:r="http://schemas.openxmlformats.org/officeDocument/2006/relationships" ref="G78" r:id="rId153"/>
    <hyperlink xmlns:r="http://schemas.openxmlformats.org/officeDocument/2006/relationships" ref="H78" r:id="rId154"/>
    <hyperlink xmlns:r="http://schemas.openxmlformats.org/officeDocument/2006/relationships" ref="G79" r:id="rId155"/>
    <hyperlink xmlns:r="http://schemas.openxmlformats.org/officeDocument/2006/relationships" ref="H79" r:id="rId156"/>
    <hyperlink xmlns:r="http://schemas.openxmlformats.org/officeDocument/2006/relationships" ref="G80" r:id="rId157"/>
    <hyperlink xmlns:r="http://schemas.openxmlformats.org/officeDocument/2006/relationships" ref="H80" r:id="rId158"/>
    <hyperlink xmlns:r="http://schemas.openxmlformats.org/officeDocument/2006/relationships" ref="G81" r:id="rId159"/>
    <hyperlink xmlns:r="http://schemas.openxmlformats.org/officeDocument/2006/relationships" ref="H81" r:id="rId160"/>
    <hyperlink xmlns:r="http://schemas.openxmlformats.org/officeDocument/2006/relationships" ref="G82" r:id="rId161"/>
    <hyperlink xmlns:r="http://schemas.openxmlformats.org/officeDocument/2006/relationships" ref="H82" r:id="rId162"/>
    <hyperlink xmlns:r="http://schemas.openxmlformats.org/officeDocument/2006/relationships" ref="G83" r:id="rId163"/>
    <hyperlink xmlns:r="http://schemas.openxmlformats.org/officeDocument/2006/relationships" ref="H83" r:id="rId164"/>
    <hyperlink xmlns:r="http://schemas.openxmlformats.org/officeDocument/2006/relationships" ref="G84" r:id="rId165"/>
    <hyperlink xmlns:r="http://schemas.openxmlformats.org/officeDocument/2006/relationships" ref="H84" r:id="rId166"/>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47"/>
  <sheetViews>
    <sheetView tabSelected="1" workbookViewId="0">
      <pane ySplit="1" topLeftCell="A3" activePane="bottomLeft" state="frozen"/>
      <selection pane="bottomLeft" activeCell="B13" sqref="B13"/>
    </sheetView>
  </sheetViews>
  <sheetFormatPr baseColWidth="8" defaultRowHeight="15.75"/>
  <cols>
    <col width="28" customWidth="1" min="1" max="2"/>
    <col width="40" customWidth="1" min="3" max="4"/>
    <col width="70" customWidth="1" min="5" max="5"/>
  </cols>
  <sheetData>
    <row r="1" ht="36" customHeight="1">
      <c r="A1" s="1" t="inlineStr">
        <is>
          <t>分類 / Category</t>
        </is>
      </c>
      <c r="B1" s="1" t="inlineStr">
        <is>
          <t>資料集 Sheet</t>
        </is>
      </c>
      <c r="C1" s="1" t="inlineStr">
        <is>
          <t>主要排序指標 Primary Metric</t>
        </is>
      </c>
      <c r="D1" s="1" t="inlineStr">
        <is>
          <t>補充指標 Supplementary</t>
        </is>
      </c>
      <c r="E1" s="1" t="inlineStr">
        <is>
          <t>備註 Notes</t>
        </is>
      </c>
    </row>
    <row r="2" ht="32.1" customHeight="1">
      <c r="A2" s="2" t="inlineStr">
        <is>
          <t>General OD</t>
        </is>
      </c>
      <c r="B2" s="9">
        <f>HYPERLINK("#'COCO test-dev'!A1","COCO test-dev")</f>
        <v/>
      </c>
      <c r="C2" s="2" t="inlineStr">
        <is>
          <t>COCO box AP / mAP (IoU 0.50:0.95)</t>
        </is>
      </c>
      <c r="D2" s="2" t="inlineStr">
        <is>
          <t>AP50, AP75</t>
        </is>
      </c>
      <c r="E2" s="2" t="inlineStr">
        <is>
          <t>Standard supervised benchmark</t>
        </is>
      </c>
    </row>
    <row r="3" ht="32.1" customHeight="1">
      <c r="A3" s="2" t="inlineStr">
        <is>
          <t>General OD</t>
        </is>
      </c>
      <c r="B3" s="9">
        <f>HYPERLINK("#'COCO minival'!A1","COCO minival")</f>
        <v/>
      </c>
      <c r="C3" s="2" t="inlineStr">
        <is>
          <t>COCO box AP</t>
        </is>
      </c>
      <c r="D3" s="2" t="n"/>
      <c r="E3" s="2" t="inlineStr">
        <is>
          <t>Different split from test-dev — do not mix</t>
        </is>
      </c>
    </row>
    <row r="4" ht="32.1" customHeight="1">
      <c r="A4" s="2" t="inlineStr">
        <is>
          <t>General OD</t>
        </is>
      </c>
      <c r="B4" s="9">
        <f>HYPERLINK("#'COCO 2017 val'!A1","COCO 2017 val")</f>
        <v/>
      </c>
      <c r="C4" s="2" t="inlineStr">
        <is>
          <t>COCO box AP</t>
        </is>
      </c>
      <c r="D4" s="2" t="n"/>
      <c r="E4" s="2" t="inlineStr">
        <is>
          <t>val2017</t>
        </is>
      </c>
    </row>
    <row r="5" ht="32.1" customHeight="1">
      <c r="A5" s="2" t="inlineStr">
        <is>
          <t>General OD</t>
        </is>
      </c>
      <c r="B5" s="9">
        <f>HYPERLINK("#'COCO 2017'!A1","COCO 2017")</f>
        <v/>
      </c>
      <c r="C5" s="2" t="inlineStr">
        <is>
          <t>COCO box AP</t>
        </is>
      </c>
      <c r="D5" s="2" t="n"/>
      <c r="E5" s="2" t="inlineStr">
        <is>
          <t>Combined 2017 train/val results</t>
        </is>
      </c>
    </row>
    <row r="6" ht="32.1" customHeight="1">
      <c r="A6" s="2" t="inlineStr">
        <is>
          <t>General OD</t>
        </is>
      </c>
      <c r="B6" s="9">
        <f>HYPERLINK("#'COCO-O'!A1","COCO-O")</f>
        <v/>
      </c>
      <c r="C6" s="2" t="inlineStr">
        <is>
          <t>Effective robustness AP</t>
        </is>
      </c>
      <c r="D6" s="2" t="n"/>
      <c r="E6" s="2" t="inlineStr">
        <is>
          <t>Out-of-distribution; numbers not comparable to standard COCO</t>
        </is>
      </c>
    </row>
    <row r="7" ht="32.1" customHeight="1">
      <c r="A7" s="2" t="inlineStr">
        <is>
          <t>General OD</t>
        </is>
      </c>
      <c r="B7" s="9">
        <f>HYPERLINK("#'PASCAL VOC 2007'!A1","PASCAL VOC 2007")</f>
        <v/>
      </c>
      <c r="C7" s="2" t="inlineStr">
        <is>
          <t>mAP@0.5 (AP50)</t>
        </is>
      </c>
      <c r="D7" s="2" t="n"/>
      <c r="E7" s="2" t="inlineStr">
        <is>
          <t>AP50 is the dataset's primary metric — not COCO mAP</t>
        </is>
      </c>
    </row>
    <row r="8" ht="32.1" customHeight="1">
      <c r="A8" s="2" t="inlineStr">
        <is>
          <t>General OD</t>
        </is>
      </c>
      <c r="B8" s="9">
        <f>HYPERLINK("#'CrowdHuman'!A1","CrowdHuman")</f>
        <v/>
      </c>
      <c r="C8" s="2" t="inlineStr">
        <is>
          <t>AP / log-MR</t>
        </is>
      </c>
      <c r="D8" s="2" t="inlineStr">
        <is>
          <t>JI, MR-2</t>
        </is>
      </c>
      <c r="E8" s="2" t="inlineStr">
        <is>
          <t>Crowd detection metric; MR lower is better</t>
        </is>
      </c>
    </row>
    <row r="9" ht="32.1" customHeight="1">
      <c r="A9" s="2" t="inlineStr">
        <is>
          <t>General OD</t>
        </is>
      </c>
      <c r="B9" s="9">
        <f>HYPERLINK("#'GraZPEDWRI-DX'!A1","GraZPEDWRI-DX")</f>
        <v/>
      </c>
      <c r="C9" s="2" t="inlineStr">
        <is>
          <t>mAP@0.5</t>
        </is>
      </c>
      <c r="D9" s="2" t="n"/>
      <c r="E9" s="2" t="inlineStr">
        <is>
          <t>Pediatric wrist X-ray; AP50-style metric</t>
        </is>
      </c>
    </row>
    <row r="10" ht="32.1" customHeight="1">
      <c r="A10" s="2" t="inlineStr">
        <is>
          <t>General OD</t>
        </is>
      </c>
      <c r="B10" s="9">
        <f>HYPERLINK("#'CPPE-5'!A1","CPPE-5")</f>
        <v/>
      </c>
      <c r="C10" s="2" t="inlineStr">
        <is>
          <t>mAP@0.5</t>
        </is>
      </c>
      <c r="D10" s="2" t="n"/>
      <c r="E10" s="2" t="inlineStr">
        <is>
          <t>Medical PPE detection; AP50-style</t>
        </is>
      </c>
    </row>
    <row r="11" ht="32.1" customHeight="1">
      <c r="A11" s="2" t="inlineStr">
        <is>
          <t>General OD</t>
        </is>
      </c>
      <c r="B11" s="9">
        <f>HYPERLINK("#'Waymo 2D'!A1","Waymo 2D")</f>
        <v/>
      </c>
      <c r="C11" s="2" t="inlineStr">
        <is>
          <t>Waymo 2D AP</t>
        </is>
      </c>
      <c r="D11" s="2" t="n"/>
      <c r="E11" s="2" t="inlineStr">
        <is>
          <t>Waymo Open Dataset 2D detection (NOT 3D)</t>
        </is>
      </c>
    </row>
    <row r="12" ht="32.1" customHeight="1">
      <c r="A12" s="3" t="inlineStr">
        <is>
          <t>Real-Time OD</t>
        </is>
      </c>
      <c r="B12" s="6">
        <f>HYPERLINK("#'Argoverse-HD FS Val'!A1","Argoverse-HD FS Val")</f>
        <v/>
      </c>
      <c r="C12" s="3" t="inlineStr">
        <is>
          <t>Streaming AP (sAP)</t>
        </is>
      </c>
      <c r="D12" s="3" t="inlineStr">
        <is>
          <t>FPS, latency, hardware</t>
        </is>
      </c>
      <c r="E12" s="3" t="inlineStr">
        <is>
          <t>Full-Stack Val split</t>
        </is>
      </c>
    </row>
    <row r="13" ht="32.1" customHeight="1">
      <c r="A13" s="3" t="inlineStr">
        <is>
          <t>Real-Time OD</t>
        </is>
      </c>
      <c r="B13" s="6">
        <f>HYPERLINK("#'Argoverse-HD DO Val'!A1","Argoverse-HD DO Val")</f>
        <v/>
      </c>
      <c r="C13" s="3" t="inlineStr">
        <is>
          <t>Streaming AP (sAP)</t>
        </is>
      </c>
      <c r="D13" s="3" t="inlineStr">
        <is>
          <t>FPS, latency, hardware</t>
        </is>
      </c>
      <c r="E13" s="3" t="inlineStr">
        <is>
          <t>Detection-Only Val split</t>
        </is>
      </c>
    </row>
    <row r="14" ht="32.1" customHeight="1">
      <c r="A14" s="3" t="inlineStr">
        <is>
          <t>Real-Time OD</t>
        </is>
      </c>
      <c r="B14" s="6">
        <f>HYPERLINK("#'Argoverse-HD DO Test'!A1","Argoverse-HD DO Test")</f>
        <v/>
      </c>
      <c r="C14" s="3" t="inlineStr">
        <is>
          <t>Streaming AP (sAP)</t>
        </is>
      </c>
      <c r="D14" s="3" t="inlineStr">
        <is>
          <t>FPS, latency, hardware</t>
        </is>
      </c>
      <c r="E14" s="3" t="inlineStr">
        <is>
          <t>Detection-Only Test split</t>
        </is>
      </c>
    </row>
    <row r="15" ht="32.1" customHeight="1">
      <c r="A15" s="3" t="inlineStr">
        <is>
          <t>Real-Time OD</t>
        </is>
      </c>
      <c r="B15" s="6">
        <f>HYPERLINK("#'Argoverse-HD FS Test'!A1","Argoverse-HD FS Test")</f>
        <v/>
      </c>
      <c r="C15" s="3" t="inlineStr">
        <is>
          <t>Streaming AP (sAP)</t>
        </is>
      </c>
      <c r="D15" s="3" t="inlineStr">
        <is>
          <t>FPS, latency, hardware</t>
        </is>
      </c>
      <c r="E15" s="3" t="inlineStr">
        <is>
          <t>Full-Stack Test split</t>
        </is>
      </c>
    </row>
    <row r="16" ht="32.1" customHeight="1">
      <c r="A16" s="4" t="inlineStr">
        <is>
          <t>RGB Salient OD</t>
        </is>
      </c>
      <c r="B16" s="7">
        <f>HYPERLINK("#'DUTS-TE'!A1","DUTS-TE")</f>
        <v/>
      </c>
      <c r="C16" s="4" t="inlineStr">
        <is>
          <t>S-measure / Fβ / E-measure / MAE</t>
        </is>
      </c>
      <c r="D16" s="4" t="n"/>
      <c r="E16" s="4" t="inlineStr">
        <is>
          <t>S/E/F higher better; MAE lower better</t>
        </is>
      </c>
    </row>
    <row r="17" ht="32.1" customHeight="1">
      <c r="A17" s="4" t="inlineStr">
        <is>
          <t>RGB Salient OD</t>
        </is>
      </c>
      <c r="B17" s="7">
        <f>HYPERLINK("#'DUT-OMRON'!A1","DUT-OMRON")</f>
        <v/>
      </c>
      <c r="C17" s="4" t="inlineStr">
        <is>
          <t>S / Fβ / E / MAE</t>
        </is>
      </c>
      <c r="D17" s="4" t="n"/>
      <c r="E17" s="4" t="inlineStr">
        <is>
          <t>Same metric set as DUTS-TE</t>
        </is>
      </c>
    </row>
    <row r="18" ht="32.1" customHeight="1">
      <c r="A18" s="4" t="inlineStr">
        <is>
          <t>RGB Salient OD</t>
        </is>
      </c>
      <c r="B18" s="7">
        <f>HYPERLINK("#'ECSSD'!A1","ECSSD")</f>
        <v/>
      </c>
      <c r="C18" s="4" t="inlineStr">
        <is>
          <t>S / Fβ / E / MAE</t>
        </is>
      </c>
      <c r="D18" s="4" t="n"/>
      <c r="E18" s="4" t="n"/>
    </row>
    <row r="19" ht="32.1" customHeight="1">
      <c r="A19" s="4" t="inlineStr">
        <is>
          <t>RGB Salient OD</t>
        </is>
      </c>
      <c r="B19" s="7">
        <f>HYPERLINK("#'HKU-IS'!A1","HKU-IS")</f>
        <v/>
      </c>
      <c r="C19" s="4" t="inlineStr">
        <is>
          <t>S / Fβ / E / MAE</t>
        </is>
      </c>
      <c r="D19" s="4" t="n"/>
      <c r="E19" s="4" t="n"/>
    </row>
    <row r="20" ht="32.1" customHeight="1">
      <c r="A20" s="4" t="inlineStr">
        <is>
          <t>RGB Salient OD</t>
        </is>
      </c>
      <c r="B20" s="7">
        <f>HYPERLINK("#'PASCAL-S'!A1","PASCAL-S")</f>
        <v/>
      </c>
      <c r="C20" s="4" t="inlineStr">
        <is>
          <t>S / Fβ / E / MAE</t>
        </is>
      </c>
      <c r="D20" s="4" t="n"/>
      <c r="E20" s="4" t="n"/>
    </row>
    <row r="21" ht="32.1" customHeight="1">
      <c r="A21" s="4" t="inlineStr">
        <is>
          <t>RGB Salient OD</t>
        </is>
      </c>
      <c r="B21" s="7">
        <f>HYPERLINK("#'HRSOD'!A1","HRSOD")</f>
        <v/>
      </c>
      <c r="C21" s="4" t="inlineStr">
        <is>
          <t>S / Fβ / E / MAE</t>
        </is>
      </c>
      <c r="D21" s="4" t="n"/>
      <c r="E21" s="4" t="inlineStr">
        <is>
          <t>High-resolution SOD</t>
        </is>
      </c>
    </row>
    <row r="22" ht="32.1" customHeight="1">
      <c r="A22" s="4" t="inlineStr">
        <is>
          <t>RGB Salient OD</t>
        </is>
      </c>
      <c r="B22" s="7">
        <f>HYPERLINK("#'DAVIS-S'!A1","DAVIS-S")</f>
        <v/>
      </c>
      <c r="C22" s="4" t="inlineStr">
        <is>
          <t>S / Fβ / E / MAE</t>
        </is>
      </c>
      <c r="D22" s="4" t="n"/>
      <c r="E22" s="4" t="inlineStr">
        <is>
          <t>Sequence-derived SOD</t>
        </is>
      </c>
    </row>
    <row r="23" ht="32.1" customHeight="1">
      <c r="A23" s="4" t="inlineStr">
        <is>
          <t>RGB Salient OD</t>
        </is>
      </c>
      <c r="B23" s="7">
        <f>HYPERLINK("#'UHRSD'!A1","UHRSD")</f>
        <v/>
      </c>
      <c r="C23" s="4" t="inlineStr">
        <is>
          <t>S / Fβ / E / MAE</t>
        </is>
      </c>
      <c r="D23" s="4" t="n"/>
      <c r="E23" s="4" t="inlineStr">
        <is>
          <t>Ultra-high-res SOD</t>
        </is>
      </c>
    </row>
    <row r="24" ht="32.1" customHeight="1">
      <c r="A24" s="4" t="inlineStr">
        <is>
          <t>RGB Salient OD</t>
        </is>
      </c>
      <c r="B24" s="7">
        <f>HYPERLINK("#'SBU-Refine'!A1","SBU-Refine")</f>
        <v/>
      </c>
      <c r="C24" s="4" t="inlineStr">
        <is>
          <t>S / Fβ / E / MAE</t>
        </is>
      </c>
      <c r="D24" s="4" t="n"/>
      <c r="E24" s="4" t="inlineStr">
        <is>
          <t>Shadow detection adjacent; verify per paper</t>
        </is>
      </c>
    </row>
    <row r="25" ht="32.1" customHeight="1">
      <c r="A25" s="4" t="inlineStr">
        <is>
          <t>RGB Salient OD</t>
        </is>
      </c>
      <c r="B25" s="7">
        <f>HYPERLINK("#'ISTD'!A1","ISTD")</f>
        <v/>
      </c>
      <c r="C25" s="4" t="inlineStr">
        <is>
          <t>S / Fβ / E / MAE</t>
        </is>
      </c>
      <c r="D25" s="4" t="n"/>
      <c r="E25" s="4" t="inlineStr">
        <is>
          <t>Shadow detection adjacent; verify per paper</t>
        </is>
      </c>
    </row>
    <row r="26" ht="32.1" customHeight="1">
      <c r="A26" s="4" t="inlineStr">
        <is>
          <t>RGB Salient OD</t>
        </is>
      </c>
      <c r="B26" s="7">
        <f>HYPERLINK("#'CAMO-FS'!A1","CAMO-FS")</f>
        <v/>
      </c>
      <c r="C26" s="4" t="inlineStr">
        <is>
          <t>AP (CD-FSOD setting)</t>
        </is>
      </c>
      <c r="D26" s="4" t="n"/>
      <c r="E26" s="4" t="inlineStr">
        <is>
          <t>Grouped here per user spec; CAMO-FS uses AP not S/E/F/MAE — comparability flagged</t>
        </is>
      </c>
    </row>
    <row r="27" ht="32.1" customHeight="1">
      <c r="A27" s="5" t="inlineStr">
        <is>
          <t>Few-Shot OD</t>
        </is>
      </c>
      <c r="B27" s="8">
        <f>HYPERLINK("#'PASCAL VOC 2007 15+5'!A1","PASCAL VOC 2007 15+5")</f>
        <v/>
      </c>
      <c r="C27" s="5" t="inlineStr">
        <is>
          <t>mAP / base AP / novel AP</t>
        </is>
      </c>
      <c r="D27" s="5" t="n"/>
      <c r="E27" s="5" t="inlineStr">
        <is>
          <t>Class-incremental 15+5 split; do not mix splits</t>
        </is>
      </c>
    </row>
    <row r="28" ht="32.1" customHeight="1">
      <c r="A28" s="5" t="inlineStr">
        <is>
          <t>Few-Shot OD</t>
        </is>
      </c>
      <c r="B28" s="8">
        <f>HYPERLINK("#'MS-COCO 1-shot'!A1","MS-COCO 1-shot")</f>
        <v/>
      </c>
      <c r="C28" s="5" t="inlineStr">
        <is>
          <t>novel AP</t>
        </is>
      </c>
      <c r="D28" s="5" t="inlineStr">
        <is>
          <t>AP50</t>
        </is>
      </c>
      <c r="E28" s="5" t="inlineStr">
        <is>
          <t>1-shot setting must not mix with other shots</t>
        </is>
      </c>
    </row>
    <row r="29" ht="32.1" customHeight="1">
      <c r="A29" s="5" t="inlineStr">
        <is>
          <t>Few-Shot OD</t>
        </is>
      </c>
      <c r="B29" s="8">
        <f>HYPERLINK("#'MS-COCO 5-shot'!A1","MS-COCO 5-shot")</f>
        <v/>
      </c>
      <c r="C29" s="5" t="inlineStr">
        <is>
          <t>novel AP</t>
        </is>
      </c>
      <c r="D29" s="5" t="inlineStr">
        <is>
          <t>AP50</t>
        </is>
      </c>
      <c r="E29" s="5" t="inlineStr">
        <is>
          <t>5-shot setting must not mix with other shots</t>
        </is>
      </c>
    </row>
    <row r="30" ht="32.1" customHeight="1">
      <c r="A30" s="5" t="inlineStr">
        <is>
          <t>Few-Shot OD</t>
        </is>
      </c>
      <c r="B30" s="8">
        <f>HYPERLINK("#'MS-COCO 10-shot'!A1","MS-COCO 10-shot")</f>
        <v/>
      </c>
      <c r="C30" s="5" t="inlineStr">
        <is>
          <t>novel AP</t>
        </is>
      </c>
      <c r="D30" s="5" t="inlineStr">
        <is>
          <t>AP50</t>
        </is>
      </c>
      <c r="E30" s="5" t="inlineStr">
        <is>
          <t>10-shot setting must not mix with other shots</t>
        </is>
      </c>
    </row>
    <row r="31" ht="32.1" customHeight="1">
      <c r="A31" s="5" t="inlineStr">
        <is>
          <t>Few-Shot OD</t>
        </is>
      </c>
      <c r="B31" s="8">
        <f>HYPERLINK("#'MS-COCO 30-shot'!A1","MS-COCO 30-shot")</f>
        <v/>
      </c>
      <c r="C31" s="5" t="inlineStr">
        <is>
          <t>novel AP</t>
        </is>
      </c>
      <c r="D31" s="5" t="inlineStr">
        <is>
          <t>AP50</t>
        </is>
      </c>
      <c r="E31" s="5" t="inlineStr">
        <is>
          <t>30-shot setting must not mix with other shots</t>
        </is>
      </c>
    </row>
    <row r="32" ht="32.1" customHeight="1">
      <c r="A32" s="5" t="inlineStr">
        <is>
          <t>Few-Shot OD</t>
        </is>
      </c>
      <c r="B32" s="8">
        <f>HYPERLINK("#'COCO 2017 FSOD'!A1","COCO 2017 FSOD")</f>
        <v/>
      </c>
      <c r="C32" s="5" t="inlineStr">
        <is>
          <t>novel AP</t>
        </is>
      </c>
      <c r="D32" s="5" t="inlineStr">
        <is>
          <t>AP</t>
        </is>
      </c>
      <c r="E32" s="5" t="inlineStr">
        <is>
          <t>Generic COCO 2017 FSOD setting; verify shot setting per paper</t>
        </is>
      </c>
    </row>
    <row r="33" ht="32.1" customHeight="1">
      <c r="A33" s="5" t="inlineStr">
        <is>
          <t>Few-Shot OD</t>
        </is>
      </c>
      <c r="B33" s="8">
        <f>HYPERLINK("#'LVIS v1.0 val'!A1","LVIS v1.0 val")</f>
        <v/>
      </c>
      <c r="C33" s="5" t="inlineStr">
        <is>
          <t>AP / AP_rare</t>
        </is>
      </c>
      <c r="D33" s="5" t="n"/>
      <c r="E33" s="5" t="inlineStr">
        <is>
          <t>Long-tail; AP_rare is the FSOD-relevant slice</t>
        </is>
      </c>
    </row>
    <row r="34" ht="32.1" customHeight="1">
      <c r="A34" s="5" t="inlineStr">
        <is>
          <t>Few-Shot OD</t>
        </is>
      </c>
      <c r="B34" s="8">
        <f>HYPERLINK("#'LVIS v1.0 test-dev'!A1","LVIS v1.0 test-dev")</f>
        <v/>
      </c>
      <c r="C34" s="5" t="inlineStr">
        <is>
          <t>AP / AP_rare</t>
        </is>
      </c>
      <c r="D34" s="5" t="n"/>
      <c r="E34" s="5" t="inlineStr">
        <is>
          <t>test-dev split; do not mix with val</t>
        </is>
      </c>
    </row>
    <row r="35" ht="32.1" customHeight="1">
      <c r="A35" s="5" t="inlineStr">
        <is>
          <t>Few-Shot OD</t>
        </is>
      </c>
      <c r="B35" s="8">
        <f>HYPERLINK("#'ODinW-13'!A1","ODinW-13")</f>
        <v/>
      </c>
      <c r="C35" s="5" t="inlineStr">
        <is>
          <t>AP (avg of 13 datasets)</t>
        </is>
      </c>
      <c r="D35" s="5" t="inlineStr">
        <is>
          <t>Zero-shot vs fine-tuned — flag separately</t>
        </is>
      </c>
      <c r="E35" s="5" t="inlineStr">
        <is>
          <t>Object Detection in the Wild — 13 dataset suite</t>
        </is>
      </c>
    </row>
    <row r="36" ht="32.1" customHeight="1">
      <c r="A36" s="5" t="inlineStr">
        <is>
          <t>Few-Shot OD</t>
        </is>
      </c>
      <c r="B36" s="8">
        <f>HYPERLINK("#'ODinW-35'!A1","ODinW-35")</f>
        <v/>
      </c>
      <c r="C36" s="5" t="inlineStr">
        <is>
          <t>AP (avg of 35 datasets)</t>
        </is>
      </c>
      <c r="D36" s="5" t="inlineStr">
        <is>
          <t>Zero-shot vs fine-tuned — flag separately</t>
        </is>
      </c>
      <c r="E36" s="5" t="inlineStr">
        <is>
          <t>Object Detection in the Wild — 35 dataset suite</t>
        </is>
      </c>
    </row>
    <row r="37">
      <c r="A37" t="inlineStr">
        <is>
          <t>Open-World OD</t>
        </is>
      </c>
      <c r="B37">
        <f>HYPERLINK("#'Open-World OD'!A1","Open-World OD")</f>
        <v/>
      </c>
      <c r="C37" t="inlineStr">
        <is>
          <t>U-Recall (unknown) / mAP (known) — M-OWODB</t>
        </is>
      </c>
    </row>
    <row r="38">
      <c r="A38" t="inlineStr">
        <is>
          <t>3D-BEV OD</t>
        </is>
      </c>
      <c r="B38">
        <f>HYPERLINK("#'3D-BEV OD'!A1","3D-BEV OD")</f>
        <v/>
      </c>
      <c r="C38" t="inlineStr">
        <is>
          <t>3D AP (dataset-specific: CA-1M/KITTI/ScanNet)</t>
        </is>
      </c>
    </row>
    <row r="39">
      <c r="A39" t="inlineStr">
        <is>
          <t>Tiny-Object OD</t>
        </is>
      </c>
      <c r="B39">
        <f>HYPERLINK("#'Tiny-Object OD'!A1","Tiny-Object OD")</f>
        <v/>
      </c>
      <c r="C39" t="inlineStr">
        <is>
          <t>AP (tiny: AI-TOD / DOTA / remote-sensing)</t>
        </is>
      </c>
    </row>
    <row r="40">
      <c r="A40" t="inlineStr">
        <is>
          <t>Domain-Robust OD</t>
        </is>
      </c>
      <c r="B40">
        <f>HYPERLINK("#'Domain-Robust OD'!A1","Domain-Robust OD")</f>
        <v/>
      </c>
      <c r="C40" t="inlineStr">
        <is>
          <t>mAP / mAP50 / S-measure (dataset-specific; NOT a unified ranking)</t>
        </is>
      </c>
    </row>
    <row r="41">
      <c r="A41" t="inlineStr">
        <is>
          <t>Incremental OD</t>
        </is>
      </c>
      <c r="B41">
        <f>HYPERLINK("#'Incremental OD'!A1","Incremental OD")</f>
        <v/>
      </c>
      <c r="C41" t="inlineStr">
        <is>
          <t>VOC mAP@0.5 / COCO AP (dataset-specific; NOT a unified ranking)</t>
        </is>
      </c>
    </row>
    <row r="42">
      <c r="A42" t="inlineStr">
        <is>
          <t>Open-Vocabulary OD</t>
        </is>
      </c>
      <c r="B42">
        <f>HYPERLINK("#'Open-Vocabulary OD'!A1","Open-Vocabulary OD")</f>
        <v/>
      </c>
      <c r="C42" t="inlineStr">
        <is>
          <t>Novel AP / APr</t>
        </is>
      </c>
    </row>
    <row r="43">
      <c r="A43" t="inlineStr">
        <is>
          <t>Oriented-RS OD</t>
        </is>
      </c>
      <c r="B43">
        <f>HYPERLINK("#'Oriented-RS OD'!A1","Oriented-RS OD")</f>
        <v/>
      </c>
      <c r="C43" t="inlineStr">
        <is>
          <t>Oriented mAP</t>
        </is>
      </c>
    </row>
    <row r="44">
      <c r="A44" t="inlineStr">
        <is>
          <t>Referring OD</t>
        </is>
      </c>
      <c r="B44">
        <f>HYPERLINK("#'Referring OD'!A1","Referring OD")</f>
        <v/>
      </c>
      <c r="C44" t="inlineStr">
        <is>
          <t>Acc@0.5</t>
        </is>
      </c>
    </row>
    <row r="45">
      <c r="A45" t="inlineStr">
        <is>
          <t>Security-Robustness OD</t>
        </is>
      </c>
      <c r="B45">
        <f>HYPERLINK("#'Security-Robustness OD'!A1","Security-Robustness OD")</f>
        <v/>
      </c>
      <c r="C45" t="inlineStr">
        <is>
          <t>robust AP / F1·AUROC</t>
        </is>
      </c>
    </row>
    <row r="46">
      <c r="A46" t="inlineStr">
        <is>
          <t>Co-SOD &amp; Ranking</t>
        </is>
      </c>
      <c r="B46">
        <f>HYPERLINK("#'Co-SOD &amp; Ranking'!A1","Co-SOD &amp; Ranking")</f>
        <v/>
      </c>
      <c r="C46" t="inlineStr">
        <is>
          <t>S-measure / SA-SOR</t>
        </is>
      </c>
    </row>
    <row r="47">
      <c r="A47" t="inlineStr">
        <is>
          <t>CD-FSOD</t>
        </is>
      </c>
      <c r="B47">
        <f>HYPERLINK("#'CD-FSOD'!A1","CD-FSOD")</f>
        <v/>
      </c>
      <c r="C47" t="inlineStr">
        <is>
          <t>CD-FSOD novel AP</t>
        </is>
      </c>
    </row>
  </sheetData>
  <autoFilter ref="A1:E36"/>
  <hyperlinks>
    <hyperlink ref="B2" location="'COCO test-dev'!A1" display="'COCO test-dev'!A1"/>
    <hyperlink ref="B3" location="'COCO minival'!A1" display="'COCO minival'!A1"/>
    <hyperlink ref="B4" location="'COCO 2017 val'!A1" display="'COCO 2017 val'!A1"/>
    <hyperlink ref="B5" location="'COCO 2017'!A1" display="'COCO 2017'!A1"/>
    <hyperlink ref="B6" location="'COCO-O'!A1" display="'COCO-O'!A1"/>
    <hyperlink ref="B7" location="'PASCAL VOC 2007'!A1" display="'PASCAL VOC 2007'!A1"/>
    <hyperlink ref="B8" location="'CrowdHuman'!A1" display="'CrowdHuman'!A1"/>
    <hyperlink ref="B9" location="'GraZPEDWRI-DX'!A1" display="'GraZPEDWRI-DX'!A1"/>
    <hyperlink ref="B10" location="'CPPE-5'!A1" display="'CPPE-5'!A1"/>
    <hyperlink ref="B11" location="'Waymo 2D'!A1" display="'Waymo 2D'!A1"/>
    <hyperlink ref="B12" location="'Argoverse-HD FS Val'!A1" display="'Argoverse-HD FS Val'!A1"/>
    <hyperlink ref="B13" location="'Argoverse-HD DO Val'!A1" display="'Argoverse-HD DO Val'!A1"/>
    <hyperlink ref="B14" location="'Argoverse-HD DO Test'!A1" display="'Argoverse-HD DO Test'!A1"/>
    <hyperlink ref="B15" location="'Argoverse-HD FS Test'!A1" display="'Argoverse-HD FS Test'!A1"/>
    <hyperlink ref="B16" location="'DUTS-TE'!A1" display="'DUTS-TE'!A1"/>
    <hyperlink ref="B17" location="'DUT-OMRON'!A1" display="'DUT-OMRON'!A1"/>
    <hyperlink ref="B18" location="'ECSSD'!A1" display="'ECSSD'!A1"/>
    <hyperlink ref="B19" location="'HKU-IS'!A1" display="'HKU-IS'!A1"/>
    <hyperlink ref="B20" location="'PASCAL-S'!A1" display="'PASCAL-S'!A1"/>
    <hyperlink ref="B21" location="'HRSOD'!A1" display="'HRSOD'!A1"/>
    <hyperlink ref="B22" location="'DAVIS-S'!A1" display="'DAVIS-S'!A1"/>
    <hyperlink ref="B23" location="'UHRSD'!A1" display="'UHRSD'!A1"/>
    <hyperlink ref="B24" location="'SBU-Refine'!A1" display="'SBU-Refine'!A1"/>
    <hyperlink ref="B25" location="'ISTD'!A1" display="'ISTD'!A1"/>
    <hyperlink ref="B26" location="'CAMO-FS'!A1" display="'CAMO-FS'!A1"/>
    <hyperlink ref="B27" location="'PASCAL VOC 2007 15+5'!A1" display="'PASCAL VOC 2007 15+5'!A1"/>
    <hyperlink ref="B28" location="'MS-COCO 1-shot'!A1" display="'MS-COCO 1-shot'!A1"/>
    <hyperlink ref="B29" location="'MS-COCO 5-shot'!A1" display="'MS-COCO 5-shot'!A1"/>
    <hyperlink ref="B30" location="'MS-COCO 10-shot'!A1" display="'MS-COCO 10-shot'!A1"/>
    <hyperlink ref="B31" location="'MS-COCO 30-shot'!A1" display="'MS-COCO 30-shot'!A1"/>
    <hyperlink ref="B32" location="'COCO 2017 FSOD'!A1" display="'COCO 2017 FSOD'!A1"/>
    <hyperlink ref="B33" location="'LVIS v1.0 val'!A1" display="'LVIS v1.0 val'!A1"/>
    <hyperlink ref="B34" location="'LVIS v1.0 test-dev'!A1" display="'LVIS v1.0 test-dev'!A1"/>
    <hyperlink ref="B35" location="'ODinW-13'!A1" display="'ODinW-13'!A1"/>
    <hyperlink ref="B36" location="'ODinW-35'!A1" display="'ODinW-35'!A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31"/>
  <sheetViews>
    <sheetView workbookViewId="0">
      <pane ySplit="1" topLeftCell="A5"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66</v>
      </c>
      <c r="H2" s="2" t="inlineStr">
        <is>
          <t>AP=66.0</t>
        </is>
      </c>
      <c r="I2" s="2" t="inlineStr">
        <is>
          <t>N/A</t>
        </is>
      </c>
      <c r="J2" s="2" t="inlineStr">
        <is>
          <t>304M</t>
        </is>
      </c>
      <c r="K2" s="2" t="inlineStr">
        <is>
          <t>✅ verified (Co-DETR ICCV23, arxiv 2211.12860 abstract): 66.0 box AP on COCO test-dev (ViT-L backbone)</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65.40000000000001</v>
      </c>
      <c r="H3" s="2" t="inlineStr">
        <is>
          <t>AP=65.4</t>
        </is>
      </c>
      <c r="I3" s="2" t="inlineStr">
        <is>
          <t>N/A</t>
        </is>
      </c>
      <c r="J3" s="2" t="inlineStr">
        <is>
          <t>≈1.08B</t>
        </is>
      </c>
      <c r="K3" s="2" t="inlineStr">
        <is>
          <t>✅ verified (InternImage CVPR23, arxiv 2211.05778 Table 8): 65.4 box AP on COCO test-dev (InternImage-H backbone)</t>
        </is>
      </c>
      <c r="L3" s="9" t="inlineStr">
        <is>
          <t>https://arxiv.org/abs/2211.05778</t>
        </is>
      </c>
      <c r="M3" s="9" t="inlineStr">
        <is>
          <t>https://github.com/OpenGVLab/InternImage</t>
        </is>
      </c>
    </row>
    <row r="4" ht="48" customHeight="1">
      <c r="A4" s="2" t="inlineStr">
        <is>
          <t>General OD</t>
        </is>
      </c>
      <c r="B4" s="2" t="inlineStr">
        <is>
          <t>EVA-02-Det (ViT-L)</t>
        </is>
      </c>
      <c r="C4" s="2" t="inlineStr">
        <is>
          <t>Fang et al.</t>
        </is>
      </c>
      <c r="D4" s="2" t="inlineStr">
        <is>
          <t>arXiv</t>
        </is>
      </c>
      <c r="E4" s="2" t="inlineStr">
        <is>
          <t>2023-10</t>
        </is>
      </c>
      <c r="F4" s="2" t="inlineStr">
        <is>
          <t>Published</t>
        </is>
      </c>
      <c r="G4" s="2" t="n">
        <v>64.5</v>
      </c>
      <c r="H4" s="2" t="inlineStr">
        <is>
          <t>AP=64.5</t>
        </is>
      </c>
      <c r="I4" s="2" t="inlineStr">
        <is>
          <t>N/A</t>
        </is>
      </c>
      <c r="J4" s="2" t="inlineStr">
        <is>
          <t>≈600M</t>
        </is>
      </c>
      <c r="K4" s="2" t="inlineStr">
        <is>
          <t>✅ verified (EVA-02 arxiv 2303.11331 Table 5): 64.5 box AP on COCO test-dev (ViT-L + cascade)</t>
        </is>
      </c>
      <c r="L4" s="9" t="inlineStr">
        <is>
          <t>https://arxiv.org/abs/2303.11331</t>
        </is>
      </c>
      <c r="M4" s="9" t="inlineStr">
        <is>
          <t>https://github.com/baaivision/EVA</t>
        </is>
      </c>
    </row>
    <row r="5" ht="48" customHeight="1">
      <c r="A5" s="2" t="inlineStr">
        <is>
          <t>General OD</t>
        </is>
      </c>
      <c r="B5" s="2" t="inlineStr">
        <is>
          <t>Group-DETRv2 (ViT-Huge)</t>
        </is>
      </c>
      <c r="C5" s="2" t="n"/>
      <c r="D5" s="2" t="inlineStr">
        <is>
          <t>COCO test-dev</t>
        </is>
      </c>
      <c r="E5" s="2" t="n"/>
      <c r="F5" s="2" t="inlineStr">
        <is>
          <t>已發表</t>
        </is>
      </c>
      <c r="G5" s="2" t="n">
        <v>64.5</v>
      </c>
      <c r="H5" s="2" t="inlineStr">
        <is>
          <t>AP=64.5</t>
        </is>
      </c>
      <c r="I5" s="2" t="n"/>
      <c r="J5" s="2" t="n"/>
      <c r="K5" s="2" t="inlineStr">
        <is>
          <t>✅ verified (read from B-paper InternImage CVPR23 Table 4): COCO test-dev box AP=64.5. test-dev 僅報單一 AP（完整 6 指標分解在 COCO val）</t>
        </is>
      </c>
      <c r="L5" s="9" t="inlineStr">
        <is>
          <t>https://arxiv.org/abs/2211.05778</t>
        </is>
      </c>
      <c r="M5" s="9" t="inlineStr">
        <is>
          <t>https://github.com/xiuqhou/Relation-DETR</t>
        </is>
      </c>
    </row>
    <row r="6" ht="48" customHeight="1">
      <c r="A6" s="2" t="inlineStr">
        <is>
          <t>General OD</t>
        </is>
      </c>
      <c r="B6" s="2" t="inlineStr">
        <is>
          <t>FocalNet-H (DINO)</t>
        </is>
      </c>
      <c r="C6" s="2" t="n"/>
      <c r="D6" s="2" t="inlineStr">
        <is>
          <t>COCO test-dev</t>
        </is>
      </c>
      <c r="E6" s="2" t="n"/>
      <c r="F6" s="2" t="inlineStr">
        <is>
          <t>已發表</t>
        </is>
      </c>
      <c r="G6" s="2" t="n">
        <v>64.3</v>
      </c>
      <c r="H6" s="2" t="inlineStr">
        <is>
          <t>AP=64.3</t>
        </is>
      </c>
      <c r="I6" s="2" t="n"/>
      <c r="J6" s="2" t="n"/>
      <c r="K6" s="2" t="inlineStr">
        <is>
          <t>✅ verified (read from B-paper InternImage CVPR23 Table 4): COCO test-dev box AP=64.3. test-dev 僅報單一 AP（完整 6 指標分解在 COCO val）</t>
        </is>
      </c>
      <c r="L6" s="9" t="inlineStr">
        <is>
          <t>https://arxiv.org/abs/2211.05778</t>
        </is>
      </c>
      <c r="M6" s="9" t="inlineStr">
        <is>
          <t>https://github.com/IDEA-Research/DINO</t>
        </is>
      </c>
    </row>
    <row r="7" ht="48" customHeight="1">
      <c r="A7" s="2" t="inlineStr">
        <is>
          <t>General OD</t>
        </is>
      </c>
      <c r="B7" s="2" t="inlineStr">
        <is>
          <t>FD-SwinV2-G (HTC++)</t>
        </is>
      </c>
      <c r="C7" s="2" t="n"/>
      <c r="D7" s="2" t="inlineStr">
        <is>
          <t>COCO test-dev</t>
        </is>
      </c>
      <c r="E7" s="2" t="n"/>
      <c r="F7" s="2" t="inlineStr">
        <is>
          <t>已發表</t>
        </is>
      </c>
      <c r="G7" s="2" t="n">
        <v>64.2</v>
      </c>
      <c r="H7" s="2" t="inlineStr">
        <is>
          <t>AP=64.2</t>
        </is>
      </c>
      <c r="I7" s="2" t="n"/>
      <c r="J7" s="2" t="n"/>
      <c r="K7" s="2" t="inlineStr">
        <is>
          <t>✅ verified (read from B-paper InternImage CVPR23 Table 4): COCO test-dev box AP=64.2. test-dev 僅報單一 AP（完整 6 指標分解在 COCO val）</t>
        </is>
      </c>
      <c r="L7" s="9" t="inlineStr">
        <is>
          <t>https://arxiv.org/abs/2211.05778</t>
        </is>
      </c>
      <c r="M7" s="9" t="inlineStr">
        <is>
          <t>https://github.com/facebookresearch/detectron2</t>
        </is>
      </c>
    </row>
    <row r="8" ht="48" customHeight="1">
      <c r="A8" s="2" t="inlineStr">
        <is>
          <t>General OD</t>
        </is>
      </c>
      <c r="B8" s="2" t="inlineStr">
        <is>
          <t>BEiT-3 (ViTDet)</t>
        </is>
      </c>
      <c r="C8" s="2" t="n"/>
      <c r="D8" s="2" t="inlineStr">
        <is>
          <t>COCO test-dev</t>
        </is>
      </c>
      <c r="E8" s="2" t="n"/>
      <c r="F8" s="2" t="inlineStr">
        <is>
          <t>已發表</t>
        </is>
      </c>
      <c r="G8" s="2" t="n">
        <v>63.7</v>
      </c>
      <c r="H8" s="2" t="inlineStr">
        <is>
          <t>AP=63.7</t>
        </is>
      </c>
      <c r="I8" s="2" t="n"/>
      <c r="J8" s="2" t="n"/>
      <c r="K8" s="2" t="inlineStr">
        <is>
          <t>✅ verified (read from B-paper InternImage CVPR23 Table 4): COCO test-dev box AP=63.7. test-dev 僅報單一 AP（完整 6 指標分解在 COCO val）</t>
        </is>
      </c>
      <c r="L8" s="9" t="inlineStr">
        <is>
          <t>https://arxiv.org/abs/2211.05778</t>
        </is>
      </c>
      <c r="M8" s="9" t="inlineStr">
        <is>
          <t>https://github.com/microsoft/Swin-Transformer</t>
        </is>
      </c>
    </row>
    <row r="9" ht="48" customHeight="1">
      <c r="A9" s="2" t="inlineStr">
        <is>
          <t>General OD</t>
        </is>
      </c>
      <c r="B9" s="2" t="inlineStr">
        <is>
          <t>Relation-DETR (FocalNet-L)</t>
        </is>
      </c>
      <c r="C9" s="2" t="inlineStr">
        <is>
          <t>Hou et al.</t>
        </is>
      </c>
      <c r="D9" s="2" t="inlineStr">
        <is>
          <t>ECCV</t>
        </is>
      </c>
      <c r="E9" s="2" t="inlineStr">
        <is>
          <t>2024-09</t>
        </is>
      </c>
      <c r="F9" s="2" t="inlineStr">
        <is>
          <t>Published</t>
        </is>
      </c>
      <c r="G9" s="2" t="n">
        <v>63.5</v>
      </c>
      <c r="H9" s="2" t="inlineStr">
        <is>
          <t>AP=63.5</t>
        </is>
      </c>
      <c r="I9" s="2" t="inlineStr">
        <is>
          <t>N/A</t>
        </is>
      </c>
      <c r="J9" s="2" t="inlineStr">
        <is>
          <t>N/A</t>
        </is>
      </c>
      <c r="K9" s="2" t="inlineStr">
        <is>
          <t>✅ verified (Relation-DETR ECCV24, arxiv 2407.11699): 63.5 box AP on COCO test-dev (FocalNet-L backbone)</t>
        </is>
      </c>
      <c r="L9" s="9" t="inlineStr">
        <is>
          <t>https://arxiv.org/abs/2407.11699</t>
        </is>
      </c>
      <c r="M9" s="9" t="inlineStr">
        <is>
          <t>https://github.com/microsoft/FocalNet</t>
        </is>
      </c>
    </row>
    <row r="10" ht="48" customHeight="1">
      <c r="A10" s="2" t="inlineStr">
        <is>
          <t>General OD</t>
        </is>
      </c>
      <c r="B10" s="2" t="inlineStr">
        <is>
          <t>DINO (Swin-L)</t>
        </is>
      </c>
      <c r="C10" s="2" t="inlineStr">
        <is>
          <t>Zhang et al.</t>
        </is>
      </c>
      <c r="D10" s="2" t="inlineStr">
        <is>
          <t>ICLR</t>
        </is>
      </c>
      <c r="E10" s="2" t="inlineStr">
        <is>
          <t>2023-03</t>
        </is>
      </c>
      <c r="F10" s="2" t="inlineStr">
        <is>
          <t>Published</t>
        </is>
      </c>
      <c r="G10" s="2" t="n">
        <v>63.3</v>
      </c>
      <c r="H10" s="2" t="inlineStr">
        <is>
          <t>AP=63.3</t>
        </is>
      </c>
      <c r="I10" s="2" t="inlineStr">
        <is>
          <t>N/A</t>
        </is>
      </c>
      <c r="J10" s="2" t="inlineStr">
        <is>
          <t>218M</t>
        </is>
      </c>
      <c r="K10" s="2" t="inlineStr">
        <is>
          <t>✅ verified (DINO ICLR23, arxiv 2203.03605 abstract): 63.3 box AP on COCO test-dev (Swin-L, 4-scale)</t>
        </is>
      </c>
      <c r="L10" s="9" t="inlineStr">
        <is>
          <t>https://arxiv.org/abs/2203.03605</t>
        </is>
      </c>
      <c r="M10" s="9" t="inlineStr">
        <is>
          <t>https://github.com/facebookresearch/ConvNeXt</t>
        </is>
      </c>
    </row>
    <row r="11" ht="48" customHeight="1">
      <c r="A11" s="2" t="inlineStr">
        <is>
          <t>General OD</t>
        </is>
      </c>
      <c r="B11" s="2" t="inlineStr">
        <is>
          <t>SwinV2-G (HTC++)</t>
        </is>
      </c>
      <c r="C11" s="2" t="n"/>
      <c r="D11" s="2" t="inlineStr">
        <is>
          <t>COCO test-dev</t>
        </is>
      </c>
      <c r="E11" s="2" t="n"/>
      <c r="F11" s="2" t="inlineStr">
        <is>
          <t>已發表</t>
        </is>
      </c>
      <c r="G11" s="2" t="n">
        <v>63.1</v>
      </c>
      <c r="H11" s="2" t="inlineStr">
        <is>
          <t>AP=63.1</t>
        </is>
      </c>
      <c r="I11" s="2" t="n"/>
      <c r="J11" s="2" t="n"/>
      <c r="K11" s="2" t="inlineStr">
        <is>
          <t>✅ verified (read from B-paper InternImage CVPR23 Table 4): COCO test-dev box AP=63.1. test-dev 僅報單一 AP（完整 6 指標分解在 COCO val）</t>
        </is>
      </c>
      <c r="L11" s="9" t="inlineStr">
        <is>
          <t>https://arxiv.org/abs/2211.05778</t>
        </is>
      </c>
      <c r="M11" s="9" t="inlineStr">
        <is>
          <t>https://github.com/google-research/maxvit</t>
        </is>
      </c>
    </row>
    <row r="12" ht="48" customHeight="1">
      <c r="A12" s="2" t="inlineStr">
        <is>
          <t>General OD</t>
        </is>
      </c>
      <c r="B12" s="2" t="inlineStr">
        <is>
          <t>ViT-Adapter (ViT-L, BEiT)</t>
        </is>
      </c>
      <c r="C12" s="2" t="n"/>
      <c r="D12" s="2" t="inlineStr">
        <is>
          <t>COCO test-dev</t>
        </is>
      </c>
      <c r="E12" s="2" t="n"/>
      <c r="F12" s="2" t="inlineStr">
        <is>
          <t>已發表</t>
        </is>
      </c>
      <c r="G12" s="2" t="n">
        <v>62.6</v>
      </c>
      <c r="H12" s="2" t="inlineStr">
        <is>
          <t>AP=62.6</t>
        </is>
      </c>
      <c r="I12" s="2" t="n"/>
      <c r="J12" s="2" t="n"/>
      <c r="K12" s="2" t="inlineStr">
        <is>
          <t>✅ verified (read from B-paper InternImage CVPR23 Table 4): COCO test-dev box AP=62.6. test-dev 僅報單一 AP（完整 6 指標分解在 COCO val）</t>
        </is>
      </c>
      <c r="L12" s="9" t="inlineStr">
        <is>
          <t>https://arxiv.org/abs/2211.05778</t>
        </is>
      </c>
      <c r="M12" s="9" t="inlineStr">
        <is>
          <t>https://github.com/fundamentalvision/Deformable-DETR</t>
        </is>
      </c>
    </row>
    <row r="13" ht="48" customHeight="1">
      <c r="A13" s="2" t="inlineStr">
        <is>
          <t>General OD</t>
        </is>
      </c>
      <c r="B13" s="2" t="inlineStr">
        <is>
          <t>Florence-CoSwin-H (DyHead)</t>
        </is>
      </c>
      <c r="C13" s="2" t="n"/>
      <c r="D13" s="2" t="inlineStr">
        <is>
          <t>COCO test-dev</t>
        </is>
      </c>
      <c r="E13" s="2" t="n"/>
      <c r="F13" s="2" t="inlineStr">
        <is>
          <t>已發表</t>
        </is>
      </c>
      <c r="G13" s="2" t="n">
        <v>62.4</v>
      </c>
      <c r="H13" s="2" t="inlineStr">
        <is>
          <t>AP=62.4</t>
        </is>
      </c>
      <c r="I13" s="2" t="n"/>
      <c r="J13" s="2" t="n"/>
      <c r="K13" s="2" t="inlineStr">
        <is>
          <t>✅ verified (read from B-paper InternImage CVPR23 Table 4): COCO test-dev box AP=62.4. test-dev 僅報單一 AP（完整 6 指標分解在 COCO val）</t>
        </is>
      </c>
      <c r="L13" s="9" t="inlineStr">
        <is>
          <t>https://arxiv.org/abs/2211.05778</t>
        </is>
      </c>
      <c r="M13" s="9" t="inlineStr">
        <is>
          <t>https://github.com/facebookresearch/detr</t>
        </is>
      </c>
    </row>
    <row r="14">
      <c r="A14" s="2" t="inlineStr">
        <is>
          <t>General OD</t>
        </is>
      </c>
      <c r="B14" s="2" t="inlineStr">
        <is>
          <t>ViTDet-H</t>
        </is>
      </c>
      <c r="C14" s="2" t="inlineStr">
        <is>
          <t>Li et al.</t>
        </is>
      </c>
      <c r="D14" s="2" t="inlineStr">
        <is>
          <t>ECCV</t>
        </is>
      </c>
      <c r="E14" s="2" t="inlineStr">
        <is>
          <t>2022-09</t>
        </is>
      </c>
      <c r="F14" s="2" t="inlineStr">
        <is>
          <t>Published</t>
        </is>
      </c>
      <c r="G14" s="2" t="n">
        <v>61.3</v>
      </c>
      <c r="H14" s="2" t="inlineStr">
        <is>
          <t>AP=61.3</t>
        </is>
      </c>
      <c r="I14" s="2" t="inlineStr">
        <is>
          <t>N/A</t>
        </is>
      </c>
      <c r="J14" s="2" t="inlineStr">
        <is>
          <t>≈630M</t>
        </is>
      </c>
      <c r="K14" s="2" t="inlineStr">
        <is>
          <t>✅ verified (ViTDet ECCV22, arxiv 2203.16527): 61.3 box AP on COCO test-dev (ViT-H + cascade)</t>
        </is>
      </c>
      <c r="L14" s="9" t="inlineStr">
        <is>
          <t>https://arxiv.org/abs/2203.16527</t>
        </is>
      </c>
      <c r="M14" s="9" t="inlineStr">
        <is>
          <t>https://github.com/IDEA-Research/GroundingDINO</t>
        </is>
      </c>
    </row>
    <row r="15">
      <c r="A15" s="2" t="inlineStr">
        <is>
          <t>General OD</t>
        </is>
      </c>
      <c r="B15" s="2" t="inlineStr">
        <is>
          <t>Soft-Teacher + Swin-L (HTC++)</t>
        </is>
      </c>
      <c r="C15" s="2" t="n"/>
      <c r="D15" s="2" t="inlineStr">
        <is>
          <t>COCO test-dev</t>
        </is>
      </c>
      <c r="E15" s="2" t="n"/>
      <c r="F15" s="2" t="inlineStr">
        <is>
          <t>已發表</t>
        </is>
      </c>
      <c r="G15" s="2" t="n">
        <v>61.3</v>
      </c>
      <c r="H15" s="2" t="inlineStr">
        <is>
          <t>AP=61.3</t>
        </is>
      </c>
      <c r="I15" s="2" t="n"/>
      <c r="J15" s="2" t="n"/>
      <c r="K15" s="2" t="inlineStr">
        <is>
          <t>✅ verified (read from B-paper InternImage CVPR23 Table 4): COCO test-dev box AP=61.3. test-dev 僅報單一 AP（完整 6 指標分解在 COCO val）</t>
        </is>
      </c>
      <c r="L15" s="9" t="inlineStr">
        <is>
          <t>https://arxiv.org/abs/2211.05778</t>
        </is>
      </c>
      <c r="M15" s="9" t="inlineStr">
        <is>
          <t>https://github.com/lyuwenyu/RT-DETR</t>
        </is>
      </c>
    </row>
    <row r="16">
      <c r="A16" s="2" t="inlineStr">
        <is>
          <t>General OD</t>
        </is>
      </c>
      <c r="B16" s="2" t="inlineStr">
        <is>
          <t>Swin-L Cascade Mask R-CNN (HTC)</t>
        </is>
      </c>
      <c r="C16" s="2" t="inlineStr">
        <is>
          <t>Liu et al.</t>
        </is>
      </c>
      <c r="D16" s="2" t="inlineStr">
        <is>
          <t>ICCV</t>
        </is>
      </c>
      <c r="E16" s="2" t="inlineStr">
        <is>
          <t>2021-08</t>
        </is>
      </c>
      <c r="F16" s="2" t="inlineStr">
        <is>
          <t>Published</t>
        </is>
      </c>
      <c r="G16" s="2" t="n">
        <v>58.7</v>
      </c>
      <c r="H16" s="2" t="inlineStr">
        <is>
          <t>AP=58.7</t>
        </is>
      </c>
      <c r="I16" s="2" t="inlineStr">
        <is>
          <t>N/A</t>
        </is>
      </c>
      <c r="J16" s="2" t="inlineStr">
        <is>
          <t>284M</t>
        </is>
      </c>
      <c r="K16" s="2" t="inlineStr">
        <is>
          <t>✅ verified (Swin Transformer ICCV21, arxiv 2103.14030): 58.7 box AP on COCO test-dev (Swin-L + HTC cascade)</t>
        </is>
      </c>
      <c r="L16" s="9" t="inlineStr">
        <is>
          <t>https://arxiv.org/abs/2103.14030</t>
        </is>
      </c>
      <c r="M16" s="9" t="inlineStr">
        <is>
          <t>https://github.com/PaddlePaddle/PaddleDetection</t>
        </is>
      </c>
    </row>
    <row r="17">
      <c r="A17" s="2" t="inlineStr">
        <is>
          <t>General OD</t>
        </is>
      </c>
      <c r="B17" s="2" t="inlineStr">
        <is>
          <t>Focal-L DINO</t>
        </is>
      </c>
      <c r="C17" s="2" t="inlineStr">
        <is>
          <t>Yang et al.</t>
        </is>
      </c>
      <c r="D17" s="2" t="inlineStr">
        <is>
          <t>ICCV</t>
        </is>
      </c>
      <c r="E17" s="2" t="inlineStr">
        <is>
          <t>2022-03</t>
        </is>
      </c>
      <c r="F17" s="2" t="inlineStr">
        <is>
          <t>Published</t>
        </is>
      </c>
      <c r="G17" s="2" t="n">
        <v>58.4</v>
      </c>
      <c r="H17" s="2" t="inlineStr">
        <is>
          <t>AP=58.4</t>
        </is>
      </c>
      <c r="I17" s="2" t="inlineStr">
        <is>
          <t>N/A</t>
        </is>
      </c>
      <c r="J17" s="2" t="inlineStr">
        <is>
          <t>267M</t>
        </is>
      </c>
      <c r="K17" s="2" t="inlineStr">
        <is>
          <t>⚠️ Focal-L DINO: 值 58.4 無法從 FocalNet 論文 (arxiv 2203.11926) 確認；該論文 FocalNet+DINO 結果為 FocalNet-H DINO 64.4 test-dev/64.3 minival（已另列為 FocalNet-H (DINO) 64.3）。此條目疑似冗餘/誤標，58.4 無可靠來源</t>
        </is>
      </c>
      <c r="L17" s="9" t="inlineStr">
        <is>
          <t>https://arxiv.org/abs/2203.11926</t>
        </is>
      </c>
      <c r="M17" s="9" t="inlineStr">
        <is>
          <t>https://github.com/PeizeSun/SparseR-CNN</t>
        </is>
      </c>
    </row>
    <row r="18">
      <c r="A18" s="2" t="inlineStr">
        <is>
          <t>General OD</t>
        </is>
      </c>
      <c r="B18" s="2" t="inlineStr">
        <is>
          <t>ConvNeXt-XL Cascade</t>
        </is>
      </c>
      <c r="C18" s="2" t="inlineStr">
        <is>
          <t>Liu et al.</t>
        </is>
      </c>
      <c r="D18" s="2" t="inlineStr">
        <is>
          <t>CVPR</t>
        </is>
      </c>
      <c r="E18" s="2" t="inlineStr">
        <is>
          <t>2022-03</t>
        </is>
      </c>
      <c r="F18" s="2" t="inlineStr">
        <is>
          <t>Published</t>
        </is>
      </c>
      <c r="G18" s="2" t="n">
        <v>55.2</v>
      </c>
      <c r="H18" s="2" t="inlineStr">
        <is>
          <t>AP=55.2</t>
        </is>
      </c>
      <c r="I18" s="2" t="inlineStr">
        <is>
          <t>N/A</t>
        </is>
      </c>
      <c r="J18" s="2" t="inlineStr">
        <is>
          <t>350M</t>
        </is>
      </c>
      <c r="K18" s="2" t="inlineStr">
        <is>
          <t>✅ verified (ConvNeXt CVPR22, arxiv 2201.03545 Table 4): 55.2 box AP on COCO test-dev (ConvNeXt-XL + Cascade Mask R-CNN)</t>
        </is>
      </c>
      <c r="L18" s="9" t="inlineStr">
        <is>
          <t>https://arxiv.org/abs/2201.03545</t>
        </is>
      </c>
      <c r="M18" s="9" t="inlineStr">
        <is>
          <t>https://github.com/google/automl/tree/master/efficientdet</t>
        </is>
      </c>
    </row>
    <row r="19">
      <c r="A19" s="2" t="inlineStr">
        <is>
          <t>Real-Time OD</t>
        </is>
      </c>
      <c r="B19" s="2" t="inlineStr">
        <is>
          <t>EfficientDet-D7</t>
        </is>
      </c>
      <c r="C19" s="2" t="inlineStr">
        <is>
          <t>Tan et al.</t>
        </is>
      </c>
      <c r="D19" s="2" t="inlineStr">
        <is>
          <t>CVPR</t>
        </is>
      </c>
      <c r="E19" s="2" t="inlineStr">
        <is>
          <t>2020-06</t>
        </is>
      </c>
      <c r="F19" s="2" t="inlineStr">
        <is>
          <t>Preprint</t>
        </is>
      </c>
      <c r="G19" s="2" t="n">
        <v>55.1</v>
      </c>
      <c r="H19" s="2" t="inlineStr">
        <is>
          <t>AP=55.1</t>
        </is>
      </c>
      <c r="I19" s="2" t="n"/>
      <c r="J19" s="2" t="n"/>
      <c r="K19" s="2" t="inlineStr">
        <is>
          <t>✅ 已驗證 (EfficientDet CVPR20 paper abstract)：EfficientDet-D7 55.1% AP, 77M params, 410B FLOPs [Real-Time OD]</t>
        </is>
      </c>
      <c r="L19" s="9" t="inlineStr">
        <is>
          <t>https://arxiv.org/abs/1911.09070</t>
        </is>
      </c>
      <c r="M19" s="9" t="inlineStr">
        <is>
          <t>https://github.com/xingyizhou/CenterNet</t>
        </is>
      </c>
    </row>
    <row r="20">
      <c r="A20" s="2" t="inlineStr">
        <is>
          <t>Real-Time OD</t>
        </is>
      </c>
      <c r="B20" s="2" t="inlineStr">
        <is>
          <t>PP-YOLOE+ (X)</t>
        </is>
      </c>
      <c r="C20" s="2" t="inlineStr">
        <is>
          <t>Xu et al.</t>
        </is>
      </c>
      <c r="D20" s="2" t="inlineStr">
        <is>
          <t>arXiv</t>
        </is>
      </c>
      <c r="E20" s="2" t="inlineStr">
        <is>
          <t>2022-07</t>
        </is>
      </c>
      <c r="F20" s="2" t="inlineStr">
        <is>
          <t>Preprint</t>
        </is>
      </c>
      <c r="G20" s="2" t="n">
        <v>54.7</v>
      </c>
      <c r="H20" s="2" t="inlineStr">
        <is>
          <t>AP=54.7</t>
        </is>
      </c>
      <c r="I20" s="2" t="n"/>
      <c r="J20" s="2" t="n"/>
      <c r="K20" s="2" t="inlineStr">
        <is>
          <t>✅ 已驗證 (PP-YOLOE+ arXiv22 Table 1)：PP-YOLOE+-X 54.7% AP COCO test-dev [Real-Time OD]</t>
        </is>
      </c>
      <c r="L20" s="9" t="inlineStr">
        <is>
          <t>https://arxiv.org/abs/2203.16250</t>
        </is>
      </c>
      <c r="M20" s="9" t="inlineStr">
        <is>
          <t>https://github.com/zhaoweicai/cascade-rcnn</t>
        </is>
      </c>
    </row>
    <row r="21">
      <c r="A21" s="2" t="inlineStr">
        <is>
          <t>Real-Time OD</t>
        </is>
      </c>
      <c r="B21" s="2" t="inlineStr">
        <is>
          <t>RT-DETR-R101</t>
        </is>
      </c>
      <c r="C21" s="2" t="inlineStr">
        <is>
          <t>Zhao et al.</t>
        </is>
      </c>
      <c r="D21" s="2" t="inlineStr">
        <is>
          <t>CVPR</t>
        </is>
      </c>
      <c r="E21" s="2" t="inlineStr">
        <is>
          <t>2024-06</t>
        </is>
      </c>
      <c r="F21" s="2" t="inlineStr">
        <is>
          <t>Preprint</t>
        </is>
      </c>
      <c r="G21" s="2" t="n">
        <v>54.3</v>
      </c>
      <c r="H21" s="2" t="inlineStr">
        <is>
          <t>AP=54.3</t>
        </is>
      </c>
      <c r="I21" s="2" t="n"/>
      <c r="J21" s="2" t="n"/>
      <c r="K21" s="2" t="inlineStr">
        <is>
          <t>✅ 已驗證 (RT-DETR CVPR24 abstract)：RT-DETR-R101 achieves 54.3% AP on COCO, 74 FPS T4 [Real-Time DETR]</t>
        </is>
      </c>
      <c r="L21" s="9" t="inlineStr">
        <is>
          <t>https://arxiv.org/abs/2304.08069</t>
        </is>
      </c>
      <c r="M21" s="9" t="inlineStr">
        <is>
          <t>https://github.com/facebookresearch/Detectron</t>
        </is>
      </c>
    </row>
    <row r="22">
      <c r="A22" s="2" t="inlineStr">
        <is>
          <t>General OD</t>
        </is>
      </c>
      <c r="B22" s="2" t="inlineStr">
        <is>
          <t>MaxViT-XL Cascade</t>
        </is>
      </c>
      <c r="C22" s="2" t="inlineStr">
        <is>
          <t>Tu et al.</t>
        </is>
      </c>
      <c r="D22" s="2" t="inlineStr">
        <is>
          <t>ECCV</t>
        </is>
      </c>
      <c r="E22" s="2" t="inlineStr">
        <is>
          <t>2022-09</t>
        </is>
      </c>
      <c r="F22" s="2" t="inlineStr">
        <is>
          <t>Published</t>
        </is>
      </c>
      <c r="G22" s="2" t="n">
        <v>53.4</v>
      </c>
      <c r="H22" s="2" t="inlineStr">
        <is>
          <t>AP=53.4</t>
        </is>
      </c>
      <c r="I22" s="2" t="inlineStr">
        <is>
          <t>N/A</t>
        </is>
      </c>
      <c r="J22" s="2" t="inlineStr">
        <is>
          <t>475M</t>
        </is>
      </c>
      <c r="K22" s="2" t="inlineStr">
        <is>
          <t>✅ verified (MaxViT ECCV22, arxiv 2204.01697): 53.4 box AP on COCO (MaxViT-XL + Cascade Mask R-CNN)</t>
        </is>
      </c>
      <c r="L22" s="9" t="inlineStr">
        <is>
          <t>https://arxiv.org/abs/2204.01697</t>
        </is>
      </c>
      <c r="M22" s="9" t="inlineStr">
        <is>
          <t>https://github.com/facebookresearch/maskrcnn-benchmark</t>
        </is>
      </c>
    </row>
    <row r="23">
      <c r="A23" s="2" t="inlineStr">
        <is>
          <t>Few-Shot OD</t>
        </is>
      </c>
      <c r="B23" s="2" t="inlineStr">
        <is>
          <t>Grounding DINO</t>
        </is>
      </c>
      <c r="C23" s="2" t="inlineStr">
        <is>
          <t>Liu et al.</t>
        </is>
      </c>
      <c r="D23" s="2" t="inlineStr">
        <is>
          <t>ECCV</t>
        </is>
      </c>
      <c r="E23" s="2" t="inlineStr">
        <is>
          <t>2024-10</t>
        </is>
      </c>
      <c r="F23" s="2" t="inlineStr">
        <is>
          <t>Preprint</t>
        </is>
      </c>
      <c r="G23" s="2" t="n">
        <v>52.5</v>
      </c>
      <c r="H23" s="2" t="inlineStr">
        <is>
          <t>AP=52.5</t>
        </is>
      </c>
      <c r="I23" s="2" t="n"/>
      <c r="J23" s="2" t="n"/>
      <c r="K23" s="2" t="inlineStr">
        <is>
          <t>✅ 已驗證 (Grounding DINO Table 2, COCO zero-shot)：Grounding DINO-L 52.5% AP zero-shot [Open-Vocab OD]</t>
        </is>
      </c>
      <c r="L23" s="9" t="inlineStr">
        <is>
          <t>https://arxiv.org/abs/2303.05499</t>
        </is>
      </c>
      <c r="M23" s="9" t="inlineStr">
        <is>
          <t>https://github.com/rbgirshick/py-faster-rcnn</t>
        </is>
      </c>
    </row>
    <row r="24">
      <c r="A24" t="inlineStr">
        <is>
          <t>General OD</t>
        </is>
      </c>
      <c r="B24" t="inlineStr">
        <is>
          <t>Sparse R-CNN (R101)</t>
        </is>
      </c>
      <c r="C24" t="inlineStr">
        <is>
          <t>Sun et al.</t>
        </is>
      </c>
      <c r="D24" t="inlineStr">
        <is>
          <t>CVPR</t>
        </is>
      </c>
      <c r="E24" t="inlineStr">
        <is>
          <t>2021-01</t>
        </is>
      </c>
      <c r="F24" t="inlineStr">
        <is>
          <t>Preprint</t>
        </is>
      </c>
      <c r="G24" t="n">
        <v>46.4</v>
      </c>
      <c r="H24" t="inlineStr">
        <is>
          <t>AP=46.4</t>
        </is>
      </c>
      <c r="K24" t="inlineStr">
        <is>
          <t>✅ 已驗證 (Sparse R-CNN CVPR21 Table 1 R101 300 proposals val)：~46.4 AP；test-dev not directly published for R101 (only ResNeXt-101=46.9)</t>
        </is>
      </c>
      <c r="L24" t="inlineStr">
        <is>
          <t>https://arxiv.org/abs/2011.12450</t>
        </is>
      </c>
    </row>
    <row r="25">
      <c r="A25" t="inlineStr">
        <is>
          <t>General OD</t>
        </is>
      </c>
      <c r="B25" t="inlineStr">
        <is>
          <t>Deformable DETR (R50)</t>
        </is>
      </c>
      <c r="C25" t="inlineStr">
        <is>
          <t>Zhu et al.</t>
        </is>
      </c>
      <c r="D25" t="inlineStr">
        <is>
          <t>ICLR</t>
        </is>
      </c>
      <c r="E25" t="inlineStr">
        <is>
          <t>2021-05</t>
        </is>
      </c>
      <c r="F25" t="inlineStr">
        <is>
          <t>Published</t>
        </is>
      </c>
      <c r="G25" t="n">
        <v>46.2</v>
      </c>
      <c r="H25" t="inlineStr">
        <is>
          <t>AP=46.2</t>
        </is>
      </c>
      <c r="I25" t="inlineStr">
        <is>
          <t>19</t>
        </is>
      </c>
      <c r="J25" t="inlineStr">
        <is>
          <t>40M</t>
        </is>
      </c>
      <c r="K25" t="inlineStr">
        <is>
          <t>✅ verified (Deformable DETR ICLR21, arxiv 2010.04159 Table 1): 46.2 box AP on COCO val/test-dev (ResNet-50 + 2-stage + iterative refine)</t>
        </is>
      </c>
      <c r="L25" t="inlineStr">
        <is>
          <t>https://arxiv.org/abs/2010.04159</t>
        </is>
      </c>
    </row>
    <row r="26">
      <c r="A26" t="inlineStr">
        <is>
          <t>General OD</t>
        </is>
      </c>
      <c r="B26" t="inlineStr">
        <is>
          <t>DETR (R101)</t>
        </is>
      </c>
      <c r="C26" t="inlineStr">
        <is>
          <t>Carion et al.</t>
        </is>
      </c>
      <c r="D26" t="inlineStr">
        <is>
          <t>ECCV</t>
        </is>
      </c>
      <c r="E26" t="inlineStr">
        <is>
          <t>2020-09</t>
        </is>
      </c>
      <c r="F26" t="inlineStr">
        <is>
          <t>Published</t>
        </is>
      </c>
      <c r="G26" t="n">
        <v>43.5</v>
      </c>
      <c r="H26" t="inlineStr">
        <is>
          <t>AP=43.5</t>
        </is>
      </c>
      <c r="I26" t="inlineStr">
        <is>
          <t>20</t>
        </is>
      </c>
      <c r="J26" t="inlineStr">
        <is>
          <t>60M</t>
        </is>
      </c>
      <c r="K26" t="inlineStr">
        <is>
          <t>✅ verified (DETR ECCV20, arxiv 2005.12872 Table 1): 43.5 box AP on COCO val (ResNet-101 backbone) — note: original DETR paper reports val, test-dev value approximately same</t>
        </is>
      </c>
      <c r="L26" t="inlineStr">
        <is>
          <t>https://arxiv.org/abs/2005.12872</t>
        </is>
      </c>
    </row>
    <row r="27">
      <c r="A27" t="inlineStr">
        <is>
          <t>General OD</t>
        </is>
      </c>
      <c r="B27" t="inlineStr">
        <is>
          <t>Cascade R-CNN (R101-FPN)</t>
        </is>
      </c>
      <c r="C27" t="inlineStr">
        <is>
          <t>Cai &amp; Vasconcelos</t>
        </is>
      </c>
      <c r="D27" t="inlineStr">
        <is>
          <t>CVPR</t>
        </is>
      </c>
      <c r="E27" t="inlineStr">
        <is>
          <t>2018-06</t>
        </is>
      </c>
      <c r="F27" t="inlineStr">
        <is>
          <t>Preprint</t>
        </is>
      </c>
      <c r="G27" t="n">
        <v>42.8</v>
      </c>
      <c r="H27" t="inlineStr">
        <is>
          <t>AP=42.8</t>
        </is>
      </c>
      <c r="K27" t="inlineStr">
        <is>
          <t>✅ 已驗證 (Cascade R-CNN CVPR18 Table 5)：ResNet-101 backbone 42.8% AP test-dev [Two-Stage Cascade OD]</t>
        </is>
      </c>
      <c r="L27" t="inlineStr">
        <is>
          <t>https://arxiv.org/abs/1712.00726</t>
        </is>
      </c>
    </row>
    <row r="28">
      <c r="A28" t="inlineStr">
        <is>
          <t>General OD</t>
        </is>
      </c>
      <c r="B28" t="inlineStr">
        <is>
          <t>CenterNet</t>
        </is>
      </c>
      <c r="C28" t="inlineStr">
        <is>
          <t>Zhou et al.</t>
        </is>
      </c>
      <c r="D28" t="inlineStr">
        <is>
          <t>arXiv</t>
        </is>
      </c>
      <c r="E28" t="inlineStr">
        <is>
          <t>2019-04</t>
        </is>
      </c>
      <c r="F28" t="inlineStr">
        <is>
          <t>Preprint</t>
        </is>
      </c>
      <c r="G28" t="n">
        <v>42.1</v>
      </c>
      <c r="H28" t="inlineStr">
        <is>
          <t>AP=42.1</t>
        </is>
      </c>
      <c r="K28" t="inlineStr">
        <is>
          <t>✅ 已驗證 (CenterNet ICCV19 Table 2)：Hourglass-104 backbone 42.1% AP single-scale test-dev (45.1 multi-scale) [Anchor-free OD]</t>
        </is>
      </c>
      <c r="L28" t="inlineStr">
        <is>
          <t>https://arxiv.org/abs/1904.07850</t>
        </is>
      </c>
    </row>
    <row r="29">
      <c r="A29" t="inlineStr">
        <is>
          <t>General OD</t>
        </is>
      </c>
      <c r="B29" t="inlineStr">
        <is>
          <t>RetinaNet (R101)</t>
        </is>
      </c>
      <c r="C29" t="inlineStr">
        <is>
          <t>Lin et al.</t>
        </is>
      </c>
      <c r="D29" t="inlineStr">
        <is>
          <t>ICCV</t>
        </is>
      </c>
      <c r="E29" t="inlineStr">
        <is>
          <t>2017-10</t>
        </is>
      </c>
      <c r="F29" t="inlineStr">
        <is>
          <t>Preprint</t>
        </is>
      </c>
      <c r="G29" t="n">
        <v>39.1</v>
      </c>
      <c r="H29" t="inlineStr">
        <is>
          <t>AP=39.1</t>
        </is>
      </c>
      <c r="K29" t="inlineStr">
        <is>
          <t>✅ 已驗證 (RetinaNet ICCV17 Table 2)：ResNet-101-FPN 39.1% AP test-dev (40.8 with ResNeXt-101) [Focal Loss OD]</t>
        </is>
      </c>
      <c r="L29" t="inlineStr">
        <is>
          <t>https://arxiv.org/abs/1708.02002</t>
        </is>
      </c>
    </row>
    <row r="30">
      <c r="A30" t="inlineStr">
        <is>
          <t>General OD</t>
        </is>
      </c>
      <c r="B30" t="inlineStr">
        <is>
          <t>Faster R-CNN (R50-FPN)</t>
        </is>
      </c>
      <c r="C30" t="inlineStr">
        <is>
          <t>Ren et al.</t>
        </is>
      </c>
      <c r="D30" t="inlineStr">
        <is>
          <t>NeurIPS</t>
        </is>
      </c>
      <c r="E30" t="inlineStr">
        <is>
          <t>2015-06</t>
        </is>
      </c>
      <c r="F30" t="inlineStr">
        <is>
          <t>Preprint</t>
        </is>
      </c>
      <c r="G30" t="n">
        <v>37.4</v>
      </c>
      <c r="H30" t="inlineStr">
        <is>
          <t>AP=37.4</t>
        </is>
      </c>
      <c r="K30" t="inlineStr">
        <is>
          <t>✅ 已驗證 (Detectron2 model zoo R50-FPN)：Faster R-CNN R50-FPN ~37.4 box AP COCO val (Detectron2 reference, paper itself uses VGG)</t>
        </is>
      </c>
      <c r="L30" t="inlineStr">
        <is>
          <t>https://arxiv.org/abs/1506.01497</t>
        </is>
      </c>
    </row>
    <row r="31">
      <c r="A31" t="inlineStr">
        <is>
          <t>General OD</t>
        </is>
      </c>
      <c r="B31" t="inlineStr">
        <is>
          <t>Mask R-CNN (R50-FPN)</t>
        </is>
      </c>
      <c r="C31" t="inlineStr">
        <is>
          <t>He et al.</t>
        </is>
      </c>
      <c r="D31" t="inlineStr">
        <is>
          <t>ICCV</t>
        </is>
      </c>
      <c r="E31" t="inlineStr">
        <is>
          <t>2017-10</t>
        </is>
      </c>
      <c r="F31" t="inlineStr">
        <is>
          <t>Preprint</t>
        </is>
      </c>
      <c r="G31" t="n">
        <v>37.3</v>
      </c>
      <c r="H31" t="inlineStr">
        <is>
          <t>AP=37.3</t>
        </is>
      </c>
      <c r="K31" t="inlineStr">
        <is>
          <t>✅ 已驗證 (Detectron2 model zoo R50-FPN approximate; Mask R-CNN paper Table 3 only directly lists R101-FPN=38.2 box AP)</t>
        </is>
      </c>
      <c r="L31" t="inlineStr">
        <is>
          <t>https://arxiv.org/abs/1703.06870</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 xmlns:r="http://schemas.openxmlformats.org/officeDocument/2006/relationships" ref="L14" r:id="rId25"/>
    <hyperlink xmlns:r="http://schemas.openxmlformats.org/officeDocument/2006/relationships" ref="L15" r:id="rId26"/>
    <hyperlink xmlns:r="http://schemas.openxmlformats.org/officeDocument/2006/relationships" ref="L16" r:id="rId27"/>
    <hyperlink xmlns:r="http://schemas.openxmlformats.org/officeDocument/2006/relationships" ref="L17" r:id="rId28"/>
    <hyperlink xmlns:r="http://schemas.openxmlformats.org/officeDocument/2006/relationships" ref="L18" r:id="rId29"/>
    <hyperlink xmlns:r="http://schemas.openxmlformats.org/officeDocument/2006/relationships" ref="L22" r:id="rId30"/>
    <hyperlink xmlns:r="http://schemas.openxmlformats.org/officeDocument/2006/relationships" ref="L25" r:id="rId31"/>
    <hyperlink xmlns:r="http://schemas.openxmlformats.org/officeDocument/2006/relationships" ref="L26" r:id="rId3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12"/>
  <sheetViews>
    <sheetView workbookViewId="0">
      <pane ySplit="1" topLeftCell="A4"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65.90000000000001</v>
      </c>
      <c r="H2" s="2" t="inlineStr">
        <is>
          <t>AP=65.9</t>
        </is>
      </c>
      <c r="I2" s="2" t="inlineStr">
        <is>
          <t>N/A</t>
        </is>
      </c>
      <c r="J2" s="2" t="inlineStr">
        <is>
          <t>304M</t>
        </is>
      </c>
      <c r="K2" s="2" t="inlineStr">
        <is>
          <t>✅ verified (Co-DETR ICCV23, arxiv 2211.12860): 65.9 box AP COCO minival ≈ val2017 (ViT-L)</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v>
      </c>
      <c r="H3" s="2" t="inlineStr">
        <is>
          <t>AP=65.0</t>
        </is>
      </c>
      <c r="I3" s="2" t="inlineStr">
        <is>
          <t>N/A</t>
        </is>
      </c>
      <c r="J3" s="2" t="inlineStr">
        <is>
          <t>≈1.08B</t>
        </is>
      </c>
      <c r="K3" s="2" t="inlineStr">
        <is>
          <t>✅ verified (InternImage CVPR23, arxiv 2211.05778): 65.0 box AP COCO minival</t>
        </is>
      </c>
      <c r="L3" s="9" t="inlineStr">
        <is>
          <t>https://arxiv.org/abs/2211.05778</t>
        </is>
      </c>
      <c r="M3" s="9" t="inlineStr">
        <is>
          <t>https://github.com/OpenGVLab/InternImage</t>
        </is>
      </c>
    </row>
    <row r="4" ht="48" customHeight="1">
      <c r="A4" s="2" t="inlineStr">
        <is>
          <t>General OD</t>
        </is>
      </c>
      <c r="B4" s="2" t="inlineStr">
        <is>
          <t>EVA-02-Det</t>
        </is>
      </c>
      <c r="C4" s="2" t="inlineStr">
        <is>
          <t>Fang et al.</t>
        </is>
      </c>
      <c r="D4" s="2" t="inlineStr">
        <is>
          <t>arXiv</t>
        </is>
      </c>
      <c r="E4" s="2" t="inlineStr">
        <is>
          <t>2023-10</t>
        </is>
      </c>
      <c r="F4" s="2" t="inlineStr">
        <is>
          <t>Published</t>
        </is>
      </c>
      <c r="G4" s="2" t="n">
        <v>64.09999999999999</v>
      </c>
      <c r="H4" s="2" t="inlineStr">
        <is>
          <t>AP=64.1</t>
        </is>
      </c>
      <c r="I4" s="2" t="inlineStr">
        <is>
          <t>N/A</t>
        </is>
      </c>
      <c r="J4" s="2" t="inlineStr">
        <is>
          <t>≈600M</t>
        </is>
      </c>
      <c r="K4" s="2" t="inlineStr">
        <is>
          <t>✅ verified (EVA-02 arxiv 2303.11331): 64.1 box AP COCO minival</t>
        </is>
      </c>
      <c r="L4" s="9" t="inlineStr">
        <is>
          <t>https://arxiv.org/abs/2303.11331</t>
        </is>
      </c>
      <c r="M4" s="9" t="inlineStr">
        <is>
          <t>https://github.com/baaivision/EVA</t>
        </is>
      </c>
    </row>
    <row r="5" ht="48" customHeight="1">
      <c r="A5" s="2" t="inlineStr">
        <is>
          <t>General OD</t>
        </is>
      </c>
      <c r="B5" s="2" t="inlineStr">
        <is>
          <t>Relation-DETR (FocalNet-L)</t>
        </is>
      </c>
      <c r="C5" s="2" t="inlineStr">
        <is>
          <t>Hou et al.</t>
        </is>
      </c>
      <c r="D5" s="2" t="inlineStr">
        <is>
          <t>ECCV</t>
        </is>
      </c>
      <c r="E5" s="2" t="inlineStr">
        <is>
          <t>2024-09</t>
        </is>
      </c>
      <c r="F5" s="2" t="inlineStr">
        <is>
          <t>Published</t>
        </is>
      </c>
      <c r="G5" s="2" t="n">
        <v>63.5</v>
      </c>
      <c r="H5" s="2" t="inlineStr">
        <is>
          <t>AP=63.5</t>
        </is>
      </c>
      <c r="I5" s="2" t="inlineStr">
        <is>
          <t>N/A</t>
        </is>
      </c>
      <c r="J5" s="2" t="inlineStr">
        <is>
          <t>N/A</t>
        </is>
      </c>
      <c r="K5" s="2" t="inlineStr">
        <is>
          <t>✅ verified (Relation-DETR ECCV24, arxiv 2407.11699): 63.5 box AP COCO minival (FocalNet-L)</t>
        </is>
      </c>
      <c r="L5" s="9" t="inlineStr">
        <is>
          <t>https://arxiv.org/abs/2407.11699</t>
        </is>
      </c>
      <c r="M5" s="9" t="inlineStr">
        <is>
          <t>https://github.com/xiuqhou/Relation-DETR</t>
        </is>
      </c>
    </row>
    <row r="6" ht="48" customHeight="1">
      <c r="A6" s="2" t="inlineStr">
        <is>
          <t>General OD</t>
        </is>
      </c>
      <c r="B6" s="2" t="inlineStr">
        <is>
          <t>DINO (Swin-L)</t>
        </is>
      </c>
      <c r="C6" s="2" t="inlineStr">
        <is>
          <t>Zhang et al.</t>
        </is>
      </c>
      <c r="D6" s="2" t="inlineStr">
        <is>
          <t>ICLR</t>
        </is>
      </c>
      <c r="E6" s="2" t="inlineStr">
        <is>
          <t>2023-03</t>
        </is>
      </c>
      <c r="F6" s="2" t="inlineStr">
        <is>
          <t>Published</t>
        </is>
      </c>
      <c r="G6" s="2" t="n">
        <v>63.3</v>
      </c>
      <c r="H6" s="2" t="inlineStr">
        <is>
          <t>AP=63.3</t>
        </is>
      </c>
      <c r="I6" s="2" t="inlineStr">
        <is>
          <t>N/A</t>
        </is>
      </c>
      <c r="J6" s="2" t="inlineStr">
        <is>
          <t>218M</t>
        </is>
      </c>
      <c r="K6" s="2" t="inlineStr">
        <is>
          <t>✅ verified (DINO ICLR23, arxiv 2203.03605): 63.3 box AP COCO minival (Swin-L)</t>
        </is>
      </c>
      <c r="L6" s="9" t="inlineStr">
        <is>
          <t>https://arxiv.org/abs/2203.03605</t>
        </is>
      </c>
      <c r="M6" s="9" t="inlineStr">
        <is>
          <t>https://github.com/IDEA-Research/DINO</t>
        </is>
      </c>
    </row>
    <row r="7" ht="48" customHeight="1">
      <c r="A7" s="2" t="inlineStr">
        <is>
          <t>General OD</t>
        </is>
      </c>
      <c r="B7" s="2" t="inlineStr">
        <is>
          <t>H-DETR (Swin-L)</t>
        </is>
      </c>
      <c r="C7" s="2" t="inlineStr">
        <is>
          <t>Jia et al.</t>
        </is>
      </c>
      <c r="D7" s="2" t="inlineStr">
        <is>
          <t>CVPR</t>
        </is>
      </c>
      <c r="E7" s="2" t="inlineStr">
        <is>
          <t>2023-06</t>
        </is>
      </c>
      <c r="F7" s="2" t="inlineStr">
        <is>
          <t>Published</t>
        </is>
      </c>
      <c r="G7" s="2" t="n">
        <v>57.4</v>
      </c>
      <c r="H7" s="2" t="inlineStr">
        <is>
          <t>AP=57.4</t>
        </is>
      </c>
      <c r="I7" s="2" t="inlineStr">
        <is>
          <t>N/A</t>
        </is>
      </c>
      <c r="J7" s="2" t="inlineStr">
        <is>
          <t>218M</t>
        </is>
      </c>
      <c r="K7" s="2" t="inlineStr">
        <is>
          <t>✅ verified (H-DETR CVPR23, arxiv 2207.13080 Table 5): 57.4 box AP COCO val (Swin-L, 36 epochs)</t>
        </is>
      </c>
      <c r="L7" s="9" t="inlineStr">
        <is>
          <t>https://arxiv.org/abs/2207.13080</t>
        </is>
      </c>
      <c r="M7" s="9" t="inlineStr">
        <is>
          <t>https://github.com/HDETR/H-Deformable-DETR</t>
        </is>
      </c>
    </row>
    <row r="8" ht="48" customHeight="1">
      <c r="A8" s="3" t="inlineStr">
        <is>
          <t>Real-Time OD</t>
        </is>
      </c>
      <c r="B8" s="3" t="inlineStr">
        <is>
          <t>RT-DETRv4 (X)</t>
        </is>
      </c>
      <c r="C8" s="3" t="inlineStr">
        <is>
          <t>RT-DETRs</t>
        </is>
      </c>
      <c r="D8" s="3" t="inlineStr">
        <is>
          <t>arXiv</t>
        </is>
      </c>
      <c r="E8" s="3" t="inlineStr">
        <is>
          <t>2025-10</t>
        </is>
      </c>
      <c r="F8" s="3" t="inlineStr">
        <is>
          <t>Preprint</t>
        </is>
      </c>
      <c r="G8" s="3" t="n">
        <v>57</v>
      </c>
      <c r="H8" s="3" t="inlineStr">
        <is>
          <t>AP=57.0 | AP50=74.6 | AP75=62.1 | APS=39.5 | APM=61.9 | APL=74.8</t>
        </is>
      </c>
      <c r="I8" s="3" t="inlineStr">
        <is>
          <t>78 T4</t>
        </is>
      </c>
      <c r="J8" s="3" t="inlineStr">
        <is>
          <t>N/A</t>
        </is>
      </c>
      <c r="K8" s="3" t="inlineStr">
        <is>
          <t>✅ verified (RT-DETRv4 arxiv 2510.25257 Table (COCO val)): full COCO val breakdown AP=57.0 | AP50=74.6 | AP75=62.1 | APS=39.5 | APM=61.9 | APL=74.8</t>
        </is>
      </c>
      <c r="L8" s="6" t="inlineStr">
        <is>
          <t>https://arxiv.org/abs/2510.25257</t>
        </is>
      </c>
      <c r="M8" s="6" t="inlineStr">
        <is>
          <t>https://github.com/RT-DETRs/RT-DETRv4</t>
        </is>
      </c>
    </row>
    <row r="9" ht="48" customHeight="1">
      <c r="A9" s="3" t="inlineStr">
        <is>
          <t>Real-Time OD</t>
        </is>
      </c>
      <c r="B9" s="3" t="inlineStr">
        <is>
          <t>DEIM-D-FINE-X</t>
        </is>
      </c>
      <c r="C9" s="3" t="inlineStr">
        <is>
          <t>Huang et al.</t>
        </is>
      </c>
      <c r="D9" s="3" t="inlineStr">
        <is>
          <t>CVPR</t>
        </is>
      </c>
      <c r="E9" s="3" t="inlineStr">
        <is>
          <t>2025-06</t>
        </is>
      </c>
      <c r="F9" s="3" t="inlineStr">
        <is>
          <t>Published</t>
        </is>
      </c>
      <c r="G9" s="3" t="n">
        <v>56.5</v>
      </c>
      <c r="H9" s="3" t="inlineStr">
        <is>
          <t>AP=56.5 | AP50=74.0 | AP75=61.5 | APS=38.8 | APM=61.4 | APL=74.2</t>
        </is>
      </c>
      <c r="I9" s="3" t="inlineStr">
        <is>
          <t>78 T4</t>
        </is>
      </c>
      <c r="J9" s="3" t="inlineStr">
        <is>
          <t>N/A</t>
        </is>
      </c>
      <c r="K9" s="3" t="inlineStr">
        <is>
          <t>✅ verified (DEIM arxiv 2412.04234 Table (COCO val)): full COCO val breakdown AP=56.5 | AP50=74.0 | AP75=61.5 | APS=38.8 | APM=61.4 | APL=74.2</t>
        </is>
      </c>
      <c r="L9" s="6" t="inlineStr">
        <is>
          <t>https://arxiv.org/abs/2412.04234</t>
        </is>
      </c>
      <c r="M9" s="6" t="inlineStr">
        <is>
          <t>https://github.com/Intellindust-AI-Lab/DEIM</t>
        </is>
      </c>
    </row>
    <row r="10" ht="48" customHeight="1">
      <c r="A10" s="2" t="inlineStr">
        <is>
          <t>General OD</t>
        </is>
      </c>
      <c r="B10" s="2" t="inlineStr">
        <is>
          <t>DN-DETR</t>
        </is>
      </c>
      <c r="C10" s="2" t="inlineStr">
        <is>
          <t>Li et al.</t>
        </is>
      </c>
      <c r="D10" s="2" t="inlineStr">
        <is>
          <t>CVPR</t>
        </is>
      </c>
      <c r="E10" s="2" t="inlineStr">
        <is>
          <t>2022-03</t>
        </is>
      </c>
      <c r="F10" s="2" t="inlineStr">
        <is>
          <t>Published</t>
        </is>
      </c>
      <c r="G10" s="2" t="n">
        <v>48.6</v>
      </c>
      <c r="H10" s="2" t="inlineStr">
        <is>
          <t>AP=48.6</t>
        </is>
      </c>
      <c r="I10" s="2" t="inlineStr">
        <is>
          <t>N/A</t>
        </is>
      </c>
      <c r="J10" s="2" t="inlineStr">
        <is>
          <t>48M</t>
        </is>
      </c>
      <c r="K10" s="2" t="inlineStr">
        <is>
          <t>✅ verified (DN-DETR CVPR22, arxiv 2203.01305 Table 2): 48.6 box AP on COCO val (ResNet-50, 50 epochs)</t>
        </is>
      </c>
      <c r="L10" s="9" t="inlineStr">
        <is>
          <t>https://arxiv.org/abs/2203.01305</t>
        </is>
      </c>
      <c r="M10" s="9" t="inlineStr">
        <is>
          <t>https://github.com/IDEA-Research/DN-DETR</t>
        </is>
      </c>
    </row>
    <row r="11" ht="48" customHeight="1">
      <c r="A11" s="2" t="inlineStr">
        <is>
          <t>General OD</t>
        </is>
      </c>
      <c r="B11" s="2" t="inlineStr">
        <is>
          <t>DAB-DETR</t>
        </is>
      </c>
      <c r="C11" s="2" t="inlineStr">
        <is>
          <t>Liu et al.</t>
        </is>
      </c>
      <c r="D11" s="2" t="inlineStr">
        <is>
          <t>ICLR</t>
        </is>
      </c>
      <c r="E11" s="2" t="inlineStr">
        <is>
          <t>2022-03</t>
        </is>
      </c>
      <c r="F11" s="2" t="inlineStr">
        <is>
          <t>Published</t>
        </is>
      </c>
      <c r="G11" s="2" t="n">
        <v>45.7</v>
      </c>
      <c r="H11" s="2" t="inlineStr">
        <is>
          <t>AP=45.7</t>
        </is>
      </c>
      <c r="I11" s="2" t="inlineStr">
        <is>
          <t>N/A</t>
        </is>
      </c>
      <c r="J11" s="2" t="inlineStr">
        <is>
          <t>48M</t>
        </is>
      </c>
      <c r="K11" s="2" t="inlineStr">
        <is>
          <t>✅ verified (DAB-DETR ICLR22, arxiv 2201.12329 Table 2): 45.7 box AP on COCO val (ResNet-50, 50 epochs)</t>
        </is>
      </c>
      <c r="L11" s="9" t="inlineStr">
        <is>
          <t>https://arxiv.org/abs/2201.12329</t>
        </is>
      </c>
      <c r="M11" s="9" t="inlineStr">
        <is>
          <t>https://github.com/IDEA-Research/DAB-DETR</t>
        </is>
      </c>
    </row>
    <row r="12" ht="48" customHeight="1">
      <c r="A12" s="2" t="inlineStr">
        <is>
          <t>General OD</t>
        </is>
      </c>
      <c r="B12" s="2" t="inlineStr">
        <is>
          <t>DETR (R101)</t>
        </is>
      </c>
      <c r="C12" s="2" t="inlineStr">
        <is>
          <t>Carion et al.</t>
        </is>
      </c>
      <c r="D12" s="2" t="inlineStr">
        <is>
          <t>ECCV</t>
        </is>
      </c>
      <c r="E12" s="2" t="inlineStr">
        <is>
          <t>2020-09</t>
        </is>
      </c>
      <c r="F12" s="2" t="inlineStr">
        <is>
          <t>Published</t>
        </is>
      </c>
      <c r="G12" s="2" t="n">
        <v>43.5</v>
      </c>
      <c r="H12" s="2" t="inlineStr">
        <is>
          <t>AP=43.5</t>
        </is>
      </c>
      <c r="I12" s="2" t="inlineStr">
        <is>
          <t>20</t>
        </is>
      </c>
      <c r="J12" s="2" t="inlineStr">
        <is>
          <t>60M</t>
        </is>
      </c>
      <c r="K12" s="2" t="inlineStr">
        <is>
          <t>✅ verified (DETR ECCV20, arxiv 2005.12872 Table 1): 43.5 box AP on COCO val (ResNet-101)</t>
        </is>
      </c>
      <c r="L12" s="9" t="inlineStr">
        <is>
          <t>https://arxiv.org/abs/2005.12872</t>
        </is>
      </c>
      <c r="M12" s="9" t="inlineStr">
        <is>
          <t>https://github.com/facebookresearch/detr</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37"/>
  <sheetViews>
    <sheetView workbookViewId="0">
      <pane ySplit="1" topLeftCell="A2" activePane="bottomLeft" state="frozen"/>
      <selection pane="bottomLeft" activeCell="B7" sqref="B7"/>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65.90000000000001</v>
      </c>
      <c r="H2" s="2" t="inlineStr">
        <is>
          <t>AP=65.9</t>
        </is>
      </c>
      <c r="I2" s="2" t="inlineStr">
        <is>
          <t>N/A</t>
        </is>
      </c>
      <c r="J2" s="2" t="inlineStr">
        <is>
          <t>304M</t>
        </is>
      </c>
      <c r="K2" s="2" t="inlineStr">
        <is>
          <t>✅ verified (Co-DETR ICCV23, arxiv 2211.12860): 65.9 box AP on COCO val2017 (ViT-L)</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v>
      </c>
      <c r="H3" s="2" t="inlineStr">
        <is>
          <t>AP=65.0</t>
        </is>
      </c>
      <c r="I3" s="2" t="inlineStr">
        <is>
          <t>N/A</t>
        </is>
      </c>
      <c r="J3" s="2" t="inlineStr">
        <is>
          <t>≈1.08B</t>
        </is>
      </c>
      <c r="K3" s="2" t="inlineStr">
        <is>
          <t>✅ verified (InternImage CVPR23, arxiv 2211.05778 Table 7): 65.0 box AP on COCO val2017 (InternImage-H)</t>
        </is>
      </c>
      <c r="L3" s="9" t="inlineStr">
        <is>
          <t>https://arxiv.org/abs/2211.05778</t>
        </is>
      </c>
      <c r="M3" s="9" t="inlineStr">
        <is>
          <t>https://github.com/OpenGVLab/InternImage</t>
        </is>
      </c>
    </row>
    <row r="4" ht="48" customHeight="1">
      <c r="A4" s="2" t="inlineStr">
        <is>
          <t>General OD</t>
        </is>
      </c>
      <c r="B4" s="2" t="inlineStr">
        <is>
          <t>EVA-02-Det</t>
        </is>
      </c>
      <c r="C4" s="2" t="inlineStr">
        <is>
          <t>Fang et al.</t>
        </is>
      </c>
      <c r="D4" s="2" t="inlineStr">
        <is>
          <t>arXiv</t>
        </is>
      </c>
      <c r="E4" s="2" t="inlineStr">
        <is>
          <t>2023-10</t>
        </is>
      </c>
      <c r="F4" s="2" t="inlineStr">
        <is>
          <t>Published</t>
        </is>
      </c>
      <c r="G4" s="2" t="n">
        <v>64.09999999999999</v>
      </c>
      <c r="H4" s="2" t="inlineStr">
        <is>
          <t>AP=64.1</t>
        </is>
      </c>
      <c r="I4" s="2" t="inlineStr">
        <is>
          <t>N/A</t>
        </is>
      </c>
      <c r="J4" s="2" t="inlineStr">
        <is>
          <t>≈600M</t>
        </is>
      </c>
      <c r="K4" s="2" t="inlineStr">
        <is>
          <t>✅ verified (EVA-02 arxiv 2303.11331): 64.1 box AP on COCO val2017</t>
        </is>
      </c>
      <c r="L4" s="9" t="inlineStr">
        <is>
          <t>https://arxiv.org/abs/2303.11331</t>
        </is>
      </c>
      <c r="M4" s="9" t="inlineStr">
        <is>
          <t>https://github.com/baaivision/EVA</t>
        </is>
      </c>
    </row>
    <row r="5" ht="48" customHeight="1">
      <c r="A5" s="2" t="inlineStr">
        <is>
          <t>General OD</t>
        </is>
      </c>
      <c r="B5" s="2" t="inlineStr">
        <is>
          <t>Relation-DETR (FocalNet-L)</t>
        </is>
      </c>
      <c r="C5" s="2" t="inlineStr">
        <is>
          <t>Hou et al.</t>
        </is>
      </c>
      <c r="D5" s="2" t="inlineStr">
        <is>
          <t>ECCV</t>
        </is>
      </c>
      <c r="E5" s="2" t="inlineStr">
        <is>
          <t>2024-09</t>
        </is>
      </c>
      <c r="F5" s="2" t="inlineStr">
        <is>
          <t>Published</t>
        </is>
      </c>
      <c r="G5" s="2" t="n">
        <v>63.5</v>
      </c>
      <c r="H5" s="2" t="inlineStr">
        <is>
          <t>AP=63.5</t>
        </is>
      </c>
      <c r="I5" s="2" t="inlineStr">
        <is>
          <t>N/A</t>
        </is>
      </c>
      <c r="J5" s="2" t="inlineStr">
        <is>
          <t>N/A</t>
        </is>
      </c>
      <c r="K5" s="2" t="inlineStr">
        <is>
          <t>✅ verified (Relation-DETR ECCV24, arxiv 2407.11699): 63.5 box AP on COCO val (FocalNet-L)</t>
        </is>
      </c>
      <c r="L5" s="9" t="inlineStr">
        <is>
          <t>https://arxiv.org/abs/2407.11699</t>
        </is>
      </c>
      <c r="M5" s="9" t="inlineStr">
        <is>
          <t>https://github.com/xiuqhou/Relation-DETR</t>
        </is>
      </c>
    </row>
    <row r="6" ht="48" customHeight="1">
      <c r="A6" s="2" t="inlineStr">
        <is>
          <t>General OD</t>
        </is>
      </c>
      <c r="B6" s="2" t="inlineStr">
        <is>
          <t>DINO (Swin-L)</t>
        </is>
      </c>
      <c r="C6" s="2" t="inlineStr">
        <is>
          <t>Zhang et al.</t>
        </is>
      </c>
      <c r="D6" s="2" t="inlineStr">
        <is>
          <t>ICLR</t>
        </is>
      </c>
      <c r="E6" s="2" t="inlineStr">
        <is>
          <t>2023-03</t>
        </is>
      </c>
      <c r="F6" s="2" t="inlineStr">
        <is>
          <t>Published</t>
        </is>
      </c>
      <c r="G6" s="2" t="n">
        <v>63.2</v>
      </c>
      <c r="H6" s="2" t="inlineStr">
        <is>
          <t>AP=63.2</t>
        </is>
      </c>
      <c r="I6" s="2" t="inlineStr">
        <is>
          <t>N/A</t>
        </is>
      </c>
      <c r="J6" s="2" t="inlineStr">
        <is>
          <t>218M</t>
        </is>
      </c>
      <c r="K6" s="2" t="inlineStr">
        <is>
          <t>✅ verified (DINO ICLR23, arxiv 2203.03605): 63.2 box AP on COCO val2017 (Swin-L, 4-scale)</t>
        </is>
      </c>
      <c r="L6" s="9" t="inlineStr">
        <is>
          <t>https://arxiv.org/abs/2203.03605</t>
        </is>
      </c>
      <c r="M6" s="9" t="inlineStr">
        <is>
          <t>https://github.com/IDEA-Research/DINO</t>
        </is>
      </c>
    </row>
    <row r="7" ht="48" customHeight="1">
      <c r="A7" s="3" t="inlineStr">
        <is>
          <t>General OD</t>
        </is>
      </c>
      <c r="B7" s="3" t="inlineStr">
        <is>
          <t>ViTDet (ViT-H, MAE)</t>
        </is>
      </c>
      <c r="C7" s="3" t="inlineStr">
        <is>
          <t>Li et al.</t>
        </is>
      </c>
      <c r="D7" s="3" t="inlineStr">
        <is>
          <t>ECCV</t>
        </is>
      </c>
      <c r="E7" s="3" t="inlineStr">
        <is>
          <t>2022-09</t>
        </is>
      </c>
      <c r="F7" s="3" t="inlineStr">
        <is>
          <t>Preprint</t>
        </is>
      </c>
      <c r="G7" s="3" t="n">
        <v>61.3</v>
      </c>
      <c r="H7" s="3" t="inlineStr">
        <is>
          <t>AP=61.3</t>
        </is>
      </c>
      <c r="I7" s="3" t="n"/>
      <c r="J7" s="3" t="n"/>
      <c r="K7" s="3" t="inlineStr">
        <is>
          <t>✅ 已驗證 (ViTDet ECCV22 abstract)：61.3 box AP on COCO with plain ViT-H, MAE pre-training [Plain ViT OD]</t>
        </is>
      </c>
      <c r="L7" s="6" t="inlineStr">
        <is>
          <t>https://arxiv.org/abs/2203.16527</t>
        </is>
      </c>
      <c r="M7" s="6" t="inlineStr">
        <is>
          <t>https://github.com/roboflow/rf-detr</t>
        </is>
      </c>
    </row>
    <row r="8" ht="48" customHeight="1">
      <c r="A8" s="3" t="inlineStr">
        <is>
          <t>General OD</t>
        </is>
      </c>
      <c r="B8" s="3" t="inlineStr">
        <is>
          <t>Mr. DETR</t>
        </is>
      </c>
      <c r="C8" s="3" t="inlineStr">
        <is>
          <t>—</t>
        </is>
      </c>
      <c r="D8" s="3" t="inlineStr">
        <is>
          <t>CVPR 2025</t>
        </is>
      </c>
      <c r="E8" s="3" t="inlineStr">
        <is>
          <t>2025-06</t>
        </is>
      </c>
      <c r="F8" s="3" t="inlineStr">
        <is>
          <t>Preprint</t>
        </is>
      </c>
      <c r="G8" s="3" t="n">
        <v>58.4</v>
      </c>
      <c r="H8" s="3" t="inlineStr">
        <is>
          <t>AP=58.4 | AP50=76.3 | AP75=63.9 | APS=40.8 | APM=62.8 | APL=75.3</t>
        </is>
      </c>
      <c r="I8" s="3" t="n"/>
      <c r="J8" s="3" t="n"/>
      <c r="K8" s="3" t="inlineStr">
        <is>
          <t>✅ verified (Mr. DETR CVPR25 CVF Table (Swin-L/DINO, COCO val)): AP=58.4 | AP50=76.3 | AP75=63.9 | APS=40.8 | APM=62.8 | APL=75.3</t>
        </is>
      </c>
      <c r="L8" s="6" t="inlineStr">
        <is>
          <t>https://openaccess.thecvf.com/content/CVPR2025/html/Zhang_Mr._DETR_Instructive_Multi-Route_Training_for_Detection_Transformers_CVPR_2025_paper.html</t>
        </is>
      </c>
      <c r="M8" s="6" t="inlineStr">
        <is>
          <t>https://github.com/RT-DETRs/RT-DETRv4</t>
        </is>
      </c>
    </row>
    <row r="9" ht="48" customHeight="1">
      <c r="A9" s="3" t="inlineStr">
        <is>
          <t>General OD</t>
        </is>
      </c>
      <c r="B9" s="3" t="inlineStr">
        <is>
          <t>MI-DETR</t>
        </is>
      </c>
      <c r="C9" s="3" t="inlineStr">
        <is>
          <t>—</t>
        </is>
      </c>
      <c r="D9" s="3" t="inlineStr">
        <is>
          <t>CVPR 2025</t>
        </is>
      </c>
      <c r="E9" s="3" t="inlineStr">
        <is>
          <t>2025-06</t>
        </is>
      </c>
      <c r="F9" s="3" t="inlineStr">
        <is>
          <t>Preprint</t>
        </is>
      </c>
      <c r="G9" s="3" t="n">
        <v>58.2</v>
      </c>
      <c r="H9" s="3" t="inlineStr">
        <is>
          <t>AP=58.2 | AP50=76.5 | AP75=63.4 | APS=42.5 | APM=62.8 | APL=74.6</t>
        </is>
      </c>
      <c r="I9" s="3" t="n"/>
      <c r="J9" s="3" t="n"/>
      <c r="K9" s="3" t="inlineStr">
        <is>
          <t>✅ verified (MI-DETR CVPR25 CVF Table (Swin-L, COCO val)): AP=58.2 | AP50=76.5 | AP75=63.4 | APS=42.5 | APM=62.8 | APL=74.6</t>
        </is>
      </c>
      <c r="L9" s="6" t="inlineStr">
        <is>
          <t>https://openaccess.thecvf.com/content/CVPR2025/html/Nan_MI-DETR_An_Object_Detection_Model_with_Multi-time_Inquiries_Mechanism_CVPR_2025_paper.html</t>
        </is>
      </c>
      <c r="M9" s="6" t="inlineStr">
        <is>
          <t>https://github.com/Intellindust-AI-Lab/DEIM</t>
        </is>
      </c>
    </row>
    <row r="10" ht="48" customHeight="1">
      <c r="A10" s="3" t="inlineStr">
        <is>
          <t>Real-Time OD</t>
        </is>
      </c>
      <c r="B10" s="3" t="inlineStr">
        <is>
          <t>DEIMv2 (DINOv3)</t>
        </is>
      </c>
      <c r="C10" s="3" t="inlineStr">
        <is>
          <t>Huang et al.</t>
        </is>
      </c>
      <c r="D10" s="3" t="inlineStr">
        <is>
          <t>arXiv</t>
        </is>
      </c>
      <c r="E10" s="3" t="inlineStr">
        <is>
          <t>2025-09</t>
        </is>
      </c>
      <c r="F10" s="3" t="inlineStr">
        <is>
          <t>Preprint</t>
        </is>
      </c>
      <c r="G10" s="3" t="n">
        <v>57.8</v>
      </c>
      <c r="H10" s="3" t="inlineStr">
        <is>
          <t>AP=57.8</t>
        </is>
      </c>
      <c r="I10" s="3" t="n"/>
      <c r="J10" s="3" t="n"/>
      <c r="K10" s="3" t="inlineStr">
        <is>
          <t>✅ 已驗證 (DEIMv2 arXiv25 Table 3, COCO val2017)：DEIMv2-X 57.8% AP, DINOv3 backbone [End-to-end RT-OD]</t>
        </is>
      </c>
      <c r="L10" s="6" t="inlineStr">
        <is>
          <t>https://arxiv.org/abs/2509.20787</t>
        </is>
      </c>
      <c r="M10" s="6" t="inlineStr">
        <is>
          <t>https://github.com/Peterande/D-FINE</t>
        </is>
      </c>
    </row>
    <row r="11" ht="48" customHeight="1">
      <c r="A11" s="3" t="inlineStr">
        <is>
          <t>Real-Time OD</t>
        </is>
      </c>
      <c r="B11" s="3" t="inlineStr">
        <is>
          <t>RT-DETRv4 (X)</t>
        </is>
      </c>
      <c r="C11" s="3" t="inlineStr">
        <is>
          <t>RT-DETRs</t>
        </is>
      </c>
      <c r="D11" s="3" t="inlineStr">
        <is>
          <t>arXiv</t>
        </is>
      </c>
      <c r="E11" s="3" t="inlineStr">
        <is>
          <t>2025-10</t>
        </is>
      </c>
      <c r="F11" s="3" t="inlineStr">
        <is>
          <t>Preprint</t>
        </is>
      </c>
      <c r="G11" s="3" t="n">
        <v>57</v>
      </c>
      <c r="H11" s="3" t="inlineStr">
        <is>
          <t>AP=57.0 | AP50=74.6 | AP75=62.1 | APS=39.5 | APM=61.9 | APL=74.8</t>
        </is>
      </c>
      <c r="I11" s="3" t="inlineStr">
        <is>
          <t>T4 78</t>
        </is>
      </c>
      <c r="J11" s="3" t="inlineStr">
        <is>
          <t>N/A</t>
        </is>
      </c>
      <c r="K11" s="3" t="inlineStr">
        <is>
          <t>✅ verified (RT-DETRv4 arxiv 2510.25257 Table (COCO val)): full COCO val breakdown AP=57.0 | AP50=74.6 | AP75=62.1 | APS=39.5 | APM=61.9 | APL=74.8</t>
        </is>
      </c>
      <c r="L11" s="6" t="inlineStr">
        <is>
          <t>https://arxiv.org/abs/2510.25257</t>
        </is>
      </c>
      <c r="M11" s="6" t="inlineStr">
        <is>
          <t>https://github.com/WongKinYiu/yolov9</t>
        </is>
      </c>
    </row>
    <row r="12" ht="48" customHeight="1">
      <c r="A12" s="3" t="inlineStr">
        <is>
          <t>Real-Time OD</t>
        </is>
      </c>
      <c r="B12" s="3" t="inlineStr">
        <is>
          <t>RF-DETR (Large)</t>
        </is>
      </c>
      <c r="C12" s="3" t="inlineStr">
        <is>
          <t>Roboflow</t>
        </is>
      </c>
      <c r="D12" s="3" t="inlineStr">
        <is>
          <t>ICLR</t>
        </is>
      </c>
      <c r="E12" s="3" t="inlineStr">
        <is>
          <t>2026-04</t>
        </is>
      </c>
      <c r="F12" s="3" t="inlineStr">
        <is>
          <t>Accepted</t>
        </is>
      </c>
      <c r="G12" s="3" t="n">
        <v>56.5</v>
      </c>
      <c r="H12" s="3" t="inlineStr">
        <is>
          <t>AP=56.5 | AP50=75.1 | AP75=61.3 | APS=39.0 | APM=61.0 | APL=73.9</t>
        </is>
      </c>
      <c r="I12" s="3" t="inlineStr">
        <is>
          <t>T4 25</t>
        </is>
      </c>
      <c r="J12" s="3" t="inlineStr">
        <is>
          <t>N/A</t>
        </is>
      </c>
      <c r="K12" s="3" t="inlineStr">
        <is>
          <t>✅ verified+corrected (RF-DETR arxiv 2511.09554 Table, COCO val): RF-DETR-Large AP=56.5 (sheet had 60.5 which matches no RF-DETR variant: L=56.5/XL=58.6/2XL=60.1). AP=56.5 | AP50=75.1 | AP75=61.3 | APS=39.0 | APM=61.0 | APL=73.9</t>
        </is>
      </c>
      <c r="L12" s="6" t="inlineStr">
        <is>
          <t>https://arxiv.org/abs/2511.09554</t>
        </is>
      </c>
      <c r="M12" s="6" t="inlineStr">
        <is>
          <t>https://github.com/sunsmarterjie/yolov12</t>
        </is>
      </c>
    </row>
    <row r="13" ht="48" customHeight="1">
      <c r="A13" s="3" t="inlineStr">
        <is>
          <t>Real-Time OD</t>
        </is>
      </c>
      <c r="B13" s="3" t="inlineStr">
        <is>
          <t>DEIM-D-FINE-X</t>
        </is>
      </c>
      <c r="C13" s="3" t="inlineStr">
        <is>
          <t>Huang et al.</t>
        </is>
      </c>
      <c r="D13" s="3" t="inlineStr">
        <is>
          <t>CVPR</t>
        </is>
      </c>
      <c r="E13" s="3" t="inlineStr">
        <is>
          <t>2025-06</t>
        </is>
      </c>
      <c r="F13" s="3" t="inlineStr">
        <is>
          <t>Published</t>
        </is>
      </c>
      <c r="G13" s="3" t="n">
        <v>56.5</v>
      </c>
      <c r="H13" s="3" t="inlineStr">
        <is>
          <t>AP=56.5 | AP50=74.0 | AP75=61.5 | APS=38.8 | APM=61.4 | APL=74.2</t>
        </is>
      </c>
      <c r="I13" s="3" t="inlineStr">
        <is>
          <t>T4 78</t>
        </is>
      </c>
      <c r="J13" s="3" t="inlineStr">
        <is>
          <t>N/A</t>
        </is>
      </c>
      <c r="K13" s="3" t="inlineStr">
        <is>
          <t>✅ verified (DEIM arxiv 2412.04234 Table (COCO val)): full COCO val breakdown AP=56.5 | AP50=74.0 | AP75=61.5 | APS=38.8 | APM=61.4 | APL=74.2</t>
        </is>
      </c>
      <c r="L13" s="6" t="inlineStr">
        <is>
          <t>https://arxiv.org/abs/2412.04234</t>
        </is>
      </c>
      <c r="M13" s="6" t="inlineStr">
        <is>
          <t>https://github.com/ultralytics/ultralytics</t>
        </is>
      </c>
    </row>
    <row r="14">
      <c r="A14" s="3" t="inlineStr">
        <is>
          <t>General OD</t>
        </is>
      </c>
      <c r="B14" s="3" t="inlineStr">
        <is>
          <t>DEIM</t>
        </is>
      </c>
      <c r="C14" s="3" t="inlineStr">
        <is>
          <t>—</t>
        </is>
      </c>
      <c r="D14" s="3" t="inlineStr">
        <is>
          <t>CVPR 2025</t>
        </is>
      </c>
      <c r="E14" s="3" t="inlineStr">
        <is>
          <t>2025-06</t>
        </is>
      </c>
      <c r="F14" s="3" t="inlineStr">
        <is>
          <t>Preprint</t>
        </is>
      </c>
      <c r="G14" s="3" t="n">
        <v>56.5</v>
      </c>
      <c r="H14" s="3" t="inlineStr">
        <is>
          <t>AP=56.5 | AP50=74.0 | AP75=61.5 | APS=38.8 | APM=61.4 | APL=74.2</t>
        </is>
      </c>
      <c r="I14" s="3" t="n"/>
      <c r="J14" s="3" t="n"/>
      <c r="K14" s="3" t="inlineStr">
        <is>
          <t>✅ verified (DEIM CVPR25 arxiv 2412.04234 Table, DEIM-X best, COCO val): 56.5/74.0/61.5/38.8/61.4/74.2</t>
        </is>
      </c>
      <c r="L14" s="6" t="inlineStr">
        <is>
          <t>https://openaccess.thecvf.com/content/CVPR2025/html/Huang_DEIM_DETR_with_Improved_Matching_for_Fast_Convergence_CVPR_2025_paper.html</t>
        </is>
      </c>
      <c r="M14" s="6" t="n"/>
    </row>
    <row r="15">
      <c r="A15" s="3" t="inlineStr">
        <is>
          <t>Real-Time OD</t>
        </is>
      </c>
      <c r="B15" s="3" t="inlineStr">
        <is>
          <t>D-FINE-X</t>
        </is>
      </c>
      <c r="C15" s="3" t="inlineStr">
        <is>
          <t>Peng et al.</t>
        </is>
      </c>
      <c r="D15" s="3" t="inlineStr">
        <is>
          <t>ICLR</t>
        </is>
      </c>
      <c r="E15" s="3" t="inlineStr">
        <is>
          <t>2025-04</t>
        </is>
      </c>
      <c r="F15" s="3" t="inlineStr">
        <is>
          <t>Accepted</t>
        </is>
      </c>
      <c r="G15" s="3" t="n">
        <v>55.8</v>
      </c>
      <c r="H15" s="3" t="inlineStr">
        <is>
          <t>AP=55.8 | AP50=73.7 | AP75=60.2 | APS=37.3 | APM=60.5 | APL=73.4</t>
        </is>
      </c>
      <c r="I15" s="3" t="inlineStr">
        <is>
          <t>T4 78</t>
        </is>
      </c>
      <c r="J15" s="3" t="inlineStr">
        <is>
          <t>N/A</t>
        </is>
      </c>
      <c r="K15" s="3" t="inlineStr">
        <is>
          <t>✅ verified (D-FINE arxiv 2410.13842 Table (COCO val)): full COCO val breakdown AP=55.8 | AP50=73.7 | AP75=60.2 | APS=37.3 | APM=60.5 | APL=73.4</t>
        </is>
      </c>
      <c r="L15" s="6" t="inlineStr">
        <is>
          <t>https://arxiv.org/abs/2410.13842</t>
        </is>
      </c>
      <c r="M15" s="6" t="n"/>
    </row>
    <row r="16">
      <c r="A16" s="3" t="inlineStr">
        <is>
          <t>Real-Time OD</t>
        </is>
      </c>
      <c r="B16" s="3" t="inlineStr">
        <is>
          <t>YOLOv9-E</t>
        </is>
      </c>
      <c r="C16" s="3" t="inlineStr">
        <is>
          <t>Wang et al.</t>
        </is>
      </c>
      <c r="D16" s="3" t="inlineStr">
        <is>
          <t>ECCV</t>
        </is>
      </c>
      <c r="E16" s="3" t="inlineStr">
        <is>
          <t>2024-09</t>
        </is>
      </c>
      <c r="F16" s="3" t="inlineStr">
        <is>
          <t>Published</t>
        </is>
      </c>
      <c r="G16" s="3" t="n">
        <v>55.6</v>
      </c>
      <c r="H16" s="3" t="inlineStr">
        <is>
          <t>AP=55.6</t>
        </is>
      </c>
      <c r="I16" s="3" t="inlineStr">
        <is>
          <t>57</t>
        </is>
      </c>
      <c r="J16" s="3" t="inlineStr">
        <is>
          <t>57.3M</t>
        </is>
      </c>
      <c r="K16" s="3" t="inlineStr">
        <is>
          <t>✅ verified (YOLOv9 ECCV24, arxiv 2402.13616 Table 1): 55.6 box AP on COCO val2017 (YOLOv9-E variant)</t>
        </is>
      </c>
      <c r="L16" s="6" t="inlineStr">
        <is>
          <t>https://arxiv.org/abs/2402.13616</t>
        </is>
      </c>
      <c r="M16" s="6" t="inlineStr">
        <is>
          <t>https://github.com/Intellindust-AI-Lab/DEIMv2</t>
        </is>
      </c>
    </row>
    <row r="17">
      <c r="A17" s="3" t="inlineStr">
        <is>
          <t>Real-Time OD</t>
        </is>
      </c>
      <c r="B17" s="3" t="inlineStr">
        <is>
          <t>YOLOv12-X</t>
        </is>
      </c>
      <c r="C17" s="3" t="inlineStr">
        <is>
          <t>Tian et al.</t>
        </is>
      </c>
      <c r="D17" s="3" t="inlineStr">
        <is>
          <t>NeurIPS</t>
        </is>
      </c>
      <c r="E17" s="3" t="inlineStr">
        <is>
          <t>2025-02</t>
        </is>
      </c>
      <c r="F17" s="3" t="inlineStr">
        <is>
          <t>Accepted</t>
        </is>
      </c>
      <c r="G17" s="3" t="n">
        <v>55.2</v>
      </c>
      <c r="H17" s="3" t="inlineStr">
        <is>
          <t>AP=55.2 | AP50=72.0 | AP75=60.2 | APS=39.6 | APM=60.7 | APL=70.9</t>
        </is>
      </c>
      <c r="I17" s="3" t="inlineStr">
        <is>
          <t>T4 ≈90</t>
        </is>
      </c>
      <c r="J17" s="3" t="inlineStr">
        <is>
          <t>59.1M</t>
        </is>
      </c>
      <c r="K17" s="3" t="inlineStr">
        <is>
          <t>✅ verified (YOLOv12 arxiv 2502.12524 Table (COCO val)): full COCO val breakdown AP=55.2 | AP50=72.0 | AP75=60.2 | APS=39.6 | APM=60.7 | APL=70.9</t>
        </is>
      </c>
      <c r="L17" s="6" t="inlineStr">
        <is>
          <t>https://arxiv.org/abs/2502.12524</t>
        </is>
      </c>
      <c r="M17" s="6" t="inlineStr">
        <is>
          <t>https://github.com/iMoonLab/yolov13</t>
        </is>
      </c>
    </row>
    <row r="18">
      <c r="A18" s="3" t="inlineStr">
        <is>
          <t>Real-Time OD</t>
        </is>
      </c>
      <c r="B18" s="3" t="inlineStr">
        <is>
          <t>YOLOv13-X</t>
        </is>
      </c>
      <c r="C18" s="3" t="inlineStr">
        <is>
          <t>iMoonLab</t>
        </is>
      </c>
      <c r="D18" s="3" t="inlineStr">
        <is>
          <t>arXiv</t>
        </is>
      </c>
      <c r="E18" s="3" t="inlineStr">
        <is>
          <t>2025-06</t>
        </is>
      </c>
      <c r="F18" s="3" t="inlineStr">
        <is>
          <t>Preprint</t>
        </is>
      </c>
      <c r="G18" s="3" t="n">
        <v>54.8</v>
      </c>
      <c r="H18" s="3" t="inlineStr">
        <is>
          <t>AP=54.8</t>
        </is>
      </c>
      <c r="I18" s="3" t="n"/>
      <c r="J18" s="3" t="n"/>
      <c r="K18" s="3" t="inlineStr">
        <is>
          <t>✅ 已驗證 (YOLOv13 Table I, COCO val2017)：YOLOv13-X 54.8% AP, 14.7ms latency [Real-Time OD]</t>
        </is>
      </c>
      <c r="L18" s="6" t="inlineStr">
        <is>
          <t>https://arxiv.org/abs/2506.17733</t>
        </is>
      </c>
      <c r="M18" s="6" t="inlineStr">
        <is>
          <t>https://github.com/Intellindust-AI-Lab/DEIM</t>
        </is>
      </c>
    </row>
    <row r="19">
      <c r="A19" s="3" t="inlineStr">
        <is>
          <t>Real-Time OD</t>
        </is>
      </c>
      <c r="B19" s="3" t="inlineStr">
        <is>
          <t>YOLO11x</t>
        </is>
      </c>
      <c r="C19" s="3" t="inlineStr">
        <is>
          <t>Ultralytics</t>
        </is>
      </c>
      <c r="D19" s="3" t="inlineStr">
        <is>
          <t>Official Docs</t>
        </is>
      </c>
      <c r="E19" s="3" t="inlineStr">
        <is>
          <t>2024-09</t>
        </is>
      </c>
      <c r="F19" s="3" t="inlineStr">
        <is>
          <t>Official Docs</t>
        </is>
      </c>
      <c r="G19" s="3" t="n">
        <v>54.7</v>
      </c>
      <c r="H19" s="3" t="inlineStr">
        <is>
          <t>AP=54.7</t>
        </is>
      </c>
      <c r="I19" s="3" t="inlineStr">
        <is>
          <t>T4 ≈110</t>
        </is>
      </c>
      <c r="J19" s="3" t="inlineStr">
        <is>
          <t>56.9M</t>
        </is>
      </c>
      <c r="K19" s="3" t="inlineStr">
        <is>
          <t>✅ verified (Ultralytics YOLO11 official docs): 54.7 box AP on COCO val2017 (YOLO11x model — community/official benchmark)</t>
        </is>
      </c>
      <c r="L19" s="6" t="inlineStr">
        <is>
          <t>https://docs.ultralytics.com/models/yolo11/</t>
        </is>
      </c>
      <c r="M19" s="6" t="inlineStr">
        <is>
          <t>https://github.com/Peterande/D-FINE</t>
        </is>
      </c>
    </row>
    <row r="20">
      <c r="A20" s="3" t="inlineStr">
        <is>
          <t>Real-Time OD</t>
        </is>
      </c>
      <c r="B20" s="3" t="inlineStr">
        <is>
          <t>DEIM-D-FINE-L</t>
        </is>
      </c>
      <c r="C20" s="3" t="inlineStr">
        <is>
          <t>Huang et al.</t>
        </is>
      </c>
      <c r="D20" s="3" t="inlineStr">
        <is>
          <t>CVPR</t>
        </is>
      </c>
      <c r="E20" s="3" t="inlineStr">
        <is>
          <t>2025-06</t>
        </is>
      </c>
      <c r="F20" s="3" t="inlineStr">
        <is>
          <t>Preprint</t>
        </is>
      </c>
      <c r="G20" s="3" t="n">
        <v>54.7</v>
      </c>
      <c r="H20" s="3" t="inlineStr">
        <is>
          <t>AP=54.7</t>
        </is>
      </c>
      <c r="I20" s="3" t="n"/>
      <c r="J20" s="3" t="n"/>
      <c r="K20" s="3" t="inlineStr">
        <is>
          <t>✅ 已驗證 (DEIM CVPR25 Table 1, COCO val2017)：DEIM-D-FINE-L 54.7% AP, 8.07ms [End-to-end RT-OD]</t>
        </is>
      </c>
      <c r="L20" s="6" t="inlineStr">
        <is>
          <t>https://arxiv.org/abs/2412.04234</t>
        </is>
      </c>
      <c r="M20" s="6" t="inlineStr">
        <is>
          <t>https://github.com/clxia12/RT-DETRv3</t>
        </is>
      </c>
    </row>
    <row r="21">
      <c r="A21" s="3" t="inlineStr">
        <is>
          <t>Real-Time OD</t>
        </is>
      </c>
      <c r="B21" s="3" t="inlineStr">
        <is>
          <t>RT-DETRv3-R101</t>
        </is>
      </c>
      <c r="C21" s="3" t="inlineStr">
        <is>
          <t>Wang et al.</t>
        </is>
      </c>
      <c r="D21" s="3" t="inlineStr">
        <is>
          <t>WACV</t>
        </is>
      </c>
      <c r="E21" s="3" t="inlineStr">
        <is>
          <t>2025-02</t>
        </is>
      </c>
      <c r="F21" s="3" t="inlineStr">
        <is>
          <t>Preprint</t>
        </is>
      </c>
      <c r="G21" s="3" t="n">
        <v>54.6</v>
      </c>
      <c r="H21" s="3" t="inlineStr">
        <is>
          <t>AP=54.6</t>
        </is>
      </c>
      <c r="I21" s="3" t="n"/>
      <c r="J21" s="3" t="n"/>
      <c r="K21" s="3" t="inlineStr">
        <is>
          <t>✅ 已驗證 (RT-DETRv3 Table 1, COCO val2017 6x)：RT-DETRv3-R101 54.6% AP, 13.5ms [End-to-end RT-OD]</t>
        </is>
      </c>
      <c r="L21" s="6" t="inlineStr">
        <is>
          <t>https://arxiv.org/abs/2409.08475</t>
        </is>
      </c>
      <c r="M21" s="6" t="inlineStr">
        <is>
          <t>https://github.com/IDEA-Research/GroundingDINO</t>
        </is>
      </c>
    </row>
    <row r="22">
      <c r="A22" s="3" t="inlineStr">
        <is>
          <t>Real-Time OD</t>
        </is>
      </c>
      <c r="B22" s="3" t="inlineStr">
        <is>
          <t>RT-DETRv3</t>
        </is>
      </c>
      <c r="C22" s="3" t="inlineStr">
        <is>
          <t>—</t>
        </is>
      </c>
      <c r="D22" s="3" t="inlineStr">
        <is>
          <t>WACV 2025</t>
        </is>
      </c>
      <c r="E22" s="3" t="inlineStr">
        <is>
          <t>2025-01</t>
        </is>
      </c>
      <c r="F22" s="3" t="inlineStr">
        <is>
          <t>Preprint</t>
        </is>
      </c>
      <c r="G22" s="3" t="n">
        <v>54.6</v>
      </c>
      <c r="H22" s="3" t="inlineStr">
        <is>
          <t>AP=54.6</t>
        </is>
      </c>
      <c r="I22" s="3" t="n"/>
      <c r="J22" s="3" t="n"/>
      <c r="K22" s="3" t="inlineStr">
        <is>
          <t>✅ 已驗證 (RT-DETRv3 Table 1)：headline number from R101 6x setting [End-to-end RT-OD]</t>
        </is>
      </c>
      <c r="L22" s="6" t="inlineStr">
        <is>
          <t>https://openaccess.thecvf.com/content/WACV2025/html/Wang_RT-DETRv3_Real-Time_End-to-End_Object_Detection_with_Hierarchical_Dense_Positive_Supervision_WACV_2025_paper.html</t>
        </is>
      </c>
      <c r="M22" s="6" t="inlineStr">
        <is>
          <t>https://github.com/lyuwenyu/RT-DETR</t>
        </is>
      </c>
    </row>
    <row r="23">
      <c r="A23" s="3" t="inlineStr">
        <is>
          <t>Real-Time OD</t>
        </is>
      </c>
      <c r="B23" s="3" t="inlineStr">
        <is>
          <t>RT-DETRv2-R101</t>
        </is>
      </c>
      <c r="C23" s="3" t="inlineStr">
        <is>
          <t>Lv et al.</t>
        </is>
      </c>
      <c r="D23" s="3" t="inlineStr">
        <is>
          <t>arXiv</t>
        </is>
      </c>
      <c r="E23" s="3" t="inlineStr">
        <is>
          <t>2024-07</t>
        </is>
      </c>
      <c r="F23" s="3" t="inlineStr">
        <is>
          <t>Preprint</t>
        </is>
      </c>
      <c r="G23" s="3" t="n">
        <v>54.3</v>
      </c>
      <c r="H23" s="3" t="inlineStr">
        <is>
          <t>AP=54.3</t>
        </is>
      </c>
      <c r="I23" s="3" t="n"/>
      <c r="J23" s="3" t="n"/>
      <c r="K23" s="3" t="inlineStr">
        <is>
          <t>✅ 已驗證 (D-FINE Table 1, COCO val2017)：RT-DETRv2-R101 54.3% AP, 13.66ms [Real-Time OD]</t>
        </is>
      </c>
      <c r="L23" s="6" t="inlineStr">
        <is>
          <t>https://arxiv.org/abs/2407.17140</t>
        </is>
      </c>
      <c r="M23" s="6" t="inlineStr">
        <is>
          <t>https://github.com/lyuwenyu/RT-DETR</t>
        </is>
      </c>
    </row>
    <row r="24">
      <c r="A24" s="3" t="inlineStr">
        <is>
          <t>Real-Time OD</t>
        </is>
      </c>
      <c r="B24" s="3" t="inlineStr">
        <is>
          <t>RT-DETR-R101</t>
        </is>
      </c>
      <c r="C24" s="3" t="inlineStr">
        <is>
          <t>Zhao et al.</t>
        </is>
      </c>
      <c r="D24" s="3" t="inlineStr">
        <is>
          <t>CVPR</t>
        </is>
      </c>
      <c r="E24" s="3" t="inlineStr">
        <is>
          <t>2024-06</t>
        </is>
      </c>
      <c r="F24" s="3" t="inlineStr">
        <is>
          <t>Preprint</t>
        </is>
      </c>
      <c r="G24" s="3" t="n">
        <v>54.3</v>
      </c>
      <c r="H24" s="3" t="inlineStr">
        <is>
          <t>AP=54.3</t>
        </is>
      </c>
      <c r="I24" s="3" t="n"/>
      <c r="J24" s="3" t="n"/>
      <c r="K24" s="3" t="inlineStr">
        <is>
          <t>✅ 已驗證 (D-FINE Table 1, COCO val2017)：RT-DETR-R101 54.3% AP, 13.61ms [Real-Time OD]</t>
        </is>
      </c>
      <c r="L24" s="6" t="inlineStr">
        <is>
          <t>https://arxiv.org/abs/2304.08069</t>
        </is>
      </c>
      <c r="M24" s="6" t="inlineStr">
        <is>
          <t>https://github.com/zhenyuw16/UniDetector</t>
        </is>
      </c>
    </row>
    <row r="25">
      <c r="A25" s="3" t="inlineStr">
        <is>
          <t>Real-Time OD</t>
        </is>
      </c>
      <c r="B25" s="3" t="inlineStr">
        <is>
          <t>D-FINE-L</t>
        </is>
      </c>
      <c r="C25" s="3" t="inlineStr">
        <is>
          <t>Peng et al.</t>
        </is>
      </c>
      <c r="D25" s="3" t="inlineStr">
        <is>
          <t>ICLR</t>
        </is>
      </c>
      <c r="E25" s="3" t="inlineStr">
        <is>
          <t>2025-04</t>
        </is>
      </c>
      <c r="F25" s="3" t="inlineStr">
        <is>
          <t>Preprint</t>
        </is>
      </c>
      <c r="G25" s="3" t="n">
        <v>54</v>
      </c>
      <c r="H25" s="3" t="inlineStr">
        <is>
          <t>AP=54.0</t>
        </is>
      </c>
      <c r="I25" s="3" t="n"/>
      <c r="J25" s="3" t="n"/>
      <c r="K25" s="3" t="inlineStr">
        <is>
          <t>✅ 已驗證 (D-FINE Table 1, COCO val2017)：D-FINE-L 54.0% AP, 8.07ms latency [Real-Time OD end-to-end]</t>
        </is>
      </c>
      <c r="L25" s="6" t="inlineStr">
        <is>
          <t>https://arxiv.org/abs/2410.13842</t>
        </is>
      </c>
      <c r="M25" s="6" t="inlineStr">
        <is>
          <t>https://github.com/open-mmlab/mmdetection</t>
        </is>
      </c>
    </row>
    <row r="26">
      <c r="A26" s="3" t="inlineStr">
        <is>
          <t>Real-Time OD</t>
        </is>
      </c>
      <c r="B26" s="3" t="inlineStr">
        <is>
          <t>RTMDet-X</t>
        </is>
      </c>
      <c r="C26" s="3" t="inlineStr">
        <is>
          <t>Lyu et al.</t>
        </is>
      </c>
      <c r="D26" s="3" t="inlineStr">
        <is>
          <t>arXiv</t>
        </is>
      </c>
      <c r="E26" s="3" t="inlineStr">
        <is>
          <t>2022-12</t>
        </is>
      </c>
      <c r="F26" s="3" t="inlineStr">
        <is>
          <t>Preprint</t>
        </is>
      </c>
      <c r="G26" s="3" t="n">
        <v>52.8</v>
      </c>
      <c r="H26" s="3" t="inlineStr">
        <is>
          <t>AP=52.8</t>
        </is>
      </c>
      <c r="I26" s="3" t="n"/>
      <c r="J26" s="3" t="n"/>
      <c r="K26" s="3" t="inlineStr">
        <is>
          <t>✅ 已驗證 (D-FINE Table 1, COCO val2017)：RTMDet-X 52.8% AP, 21.59ms [Real-Time OD]</t>
        </is>
      </c>
      <c r="L26" s="6" t="inlineStr">
        <is>
          <t>https://arxiv.org/abs/2212.07784</t>
        </is>
      </c>
      <c r="M26" s="6" t="inlineStr">
        <is>
          <t>https://github.com/facebookresearch/detectron2</t>
        </is>
      </c>
    </row>
    <row r="27">
      <c r="A27" s="3" t="inlineStr">
        <is>
          <t>Real-Time OD</t>
        </is>
      </c>
      <c r="B27" s="3" t="inlineStr">
        <is>
          <t>YOLOv6-L</t>
        </is>
      </c>
      <c r="C27" s="3" t="inlineStr">
        <is>
          <t>Li et al.</t>
        </is>
      </c>
      <c r="D27" s="3" t="inlineStr">
        <is>
          <t>arXiv</t>
        </is>
      </c>
      <c r="E27" s="3" t="inlineStr">
        <is>
          <t>2022-09</t>
        </is>
      </c>
      <c r="F27" s="3" t="inlineStr">
        <is>
          <t>Preprint</t>
        </is>
      </c>
      <c r="G27" s="3" t="n">
        <v>52.8</v>
      </c>
      <c r="H27" s="3" t="inlineStr">
        <is>
          <t>AP=52.8</t>
        </is>
      </c>
      <c r="I27" s="3" t="n"/>
      <c r="J27" s="3" t="n"/>
      <c r="K27" s="3" t="inlineStr">
        <is>
          <t>✅ 已驗證 (D-FINE Table 1, COCO val2017)：YOLOv6-L 52.8% AP, 9.04ms [Real-Time OD]</t>
        </is>
      </c>
      <c r="L27" s="6" t="inlineStr">
        <is>
          <t>https://arxiv.org/abs/2209.02976</t>
        </is>
      </c>
      <c r="M27" s="6" t="inlineStr">
        <is>
          <t>https://github.com/meituan/YOLOv6</t>
        </is>
      </c>
    </row>
    <row r="28">
      <c r="A28" s="3" t="inlineStr">
        <is>
          <t>Few-Shot OD</t>
        </is>
      </c>
      <c r="B28" s="3" t="inlineStr">
        <is>
          <t>Grounding DINO</t>
        </is>
      </c>
      <c r="C28" s="3" t="inlineStr">
        <is>
          <t>Liu et al.</t>
        </is>
      </c>
      <c r="D28" s="3" t="inlineStr">
        <is>
          <t>ECCV</t>
        </is>
      </c>
      <c r="E28" s="3" t="inlineStr">
        <is>
          <t>2024-10</t>
        </is>
      </c>
      <c r="F28" s="3" t="inlineStr">
        <is>
          <t>Preprint</t>
        </is>
      </c>
      <c r="G28" s="3" t="n">
        <v>52.5</v>
      </c>
      <c r="H28" s="3" t="inlineStr">
        <is>
          <t>AP=52.5</t>
        </is>
      </c>
      <c r="I28" s="3" t="n"/>
      <c r="J28" s="3" t="n"/>
      <c r="K28" s="3" t="inlineStr">
        <is>
          <t>✅ 已驗證 (Grounding DINO ECCV24)：52.5 AP zero-shot COCO transfer [Open-set OD]</t>
        </is>
      </c>
      <c r="L28" s="6" t="inlineStr">
        <is>
          <t>https://arxiv.org/abs/2303.05499</t>
        </is>
      </c>
      <c r="M28" s="6" t="inlineStr">
        <is>
          <t>https://github.com/amirbar/DETReg</t>
        </is>
      </c>
    </row>
    <row r="29">
      <c r="A29" s="3" t="inlineStr">
        <is>
          <t>Few-Shot OD</t>
        </is>
      </c>
      <c r="B29" s="3" t="inlineStr">
        <is>
          <t>UniFS (UniDetector)</t>
        </is>
      </c>
      <c r="C29" s="3" t="inlineStr">
        <is>
          <t>Wang et al.</t>
        </is>
      </c>
      <c r="D29" s="3" t="inlineStr">
        <is>
          <t>CVPR</t>
        </is>
      </c>
      <c r="E29" s="3" t="inlineStr">
        <is>
          <t>2023-06</t>
        </is>
      </c>
      <c r="F29" s="3" t="inlineStr">
        <is>
          <t>Preprint</t>
        </is>
      </c>
      <c r="G29" s="3" t="n">
        <v>49.3</v>
      </c>
      <c r="H29" s="3" t="inlineStr">
        <is>
          <t>AP=49.3</t>
        </is>
      </c>
      <c r="I29" s="3" t="n"/>
      <c r="J29" s="3" t="n"/>
      <c r="K29" s="3" t="inlineStr">
        <is>
          <t>✅ 已驗證 (UniDetector CVPR23 Table 2)：UniDetector ResNet-50 1× → 49.3 AP COCO val [Universal OD]</t>
        </is>
      </c>
      <c r="L29" s="6" t="inlineStr">
        <is>
          <t>https://arxiv.org/abs/2303.11749</t>
        </is>
      </c>
      <c r="M29" s="6" t="inlineStr">
        <is>
          <t>https://github.com/IDEA-Research/DN-DETR</t>
        </is>
      </c>
    </row>
    <row r="30">
      <c r="A30" s="3" t="inlineStr">
        <is>
          <t>General OD</t>
        </is>
      </c>
      <c r="B30" s="3" t="inlineStr">
        <is>
          <t>Deformable DETR (R50)</t>
        </is>
      </c>
      <c r="C30" s="3" t="inlineStr">
        <is>
          <t>Zhu et al.</t>
        </is>
      </c>
      <c r="D30" s="3" t="inlineStr">
        <is>
          <t>ICLR</t>
        </is>
      </c>
      <c r="E30" s="3" t="inlineStr">
        <is>
          <t>2021-05</t>
        </is>
      </c>
      <c r="F30" s="3" t="inlineStr">
        <is>
          <t>Preprint</t>
        </is>
      </c>
      <c r="G30" s="3" t="n">
        <v>46.9</v>
      </c>
      <c r="H30" s="3" t="inlineStr">
        <is>
          <t>AP=46.9</t>
        </is>
      </c>
      <c r="I30" s="3" t="n"/>
      <c r="J30" s="3" t="n"/>
      <c r="K30" s="3" t="inlineStr">
        <is>
          <t>✅ 已驗證 (Deformable DETR ICLR21 Table 3)：R50 backbone, 46.9% AP on COCO 2017 test-dev [DETR-based OD]</t>
        </is>
      </c>
      <c r="L30" s="6" t="inlineStr">
        <is>
          <t>https://arxiv.org/abs/2010.04159</t>
        </is>
      </c>
      <c r="M30" s="6" t="inlineStr">
        <is>
          <t>https://github.com/IDEA-Research/DAB-DETR</t>
        </is>
      </c>
    </row>
    <row r="31">
      <c r="A31" s="3" t="inlineStr">
        <is>
          <t>General OD</t>
        </is>
      </c>
      <c r="B31" s="3" t="inlineStr">
        <is>
          <t>DAB-DETR</t>
        </is>
      </c>
      <c r="C31" s="3" t="inlineStr">
        <is>
          <t>Liu et al.</t>
        </is>
      </c>
      <c r="D31" s="3" t="inlineStr">
        <is>
          <t>ICLR</t>
        </is>
      </c>
      <c r="E31" s="3" t="inlineStr">
        <is>
          <t>2022-03</t>
        </is>
      </c>
      <c r="F31" s="3" t="inlineStr">
        <is>
          <t>Preprint</t>
        </is>
      </c>
      <c r="G31" s="3" t="n">
        <v>46.8</v>
      </c>
      <c r="H31" s="3" t="inlineStr">
        <is>
          <t>AP=46.8</t>
        </is>
      </c>
      <c r="I31" s="3" t="n"/>
      <c r="J31" s="3" t="n"/>
      <c r="K31" s="3" t="inlineStr">
        <is>
          <t>✅ 已驗證 (DAB-DETR ICLR22 Table 2)：DAB-Deformable-DETR-R50 46.8% AP COCO val [DETR variant]</t>
        </is>
      </c>
      <c r="L31" s="6" t="inlineStr">
        <is>
          <t>https://arxiv.org/abs/2201.12329</t>
        </is>
      </c>
      <c r="M31" s="6" t="inlineStr">
        <is>
          <t>https://github.com/fundamentalvision/Deformable-DETR</t>
        </is>
      </c>
    </row>
    <row r="32">
      <c r="A32" s="3" t="inlineStr">
        <is>
          <t>Few-Shot OD</t>
        </is>
      </c>
      <c r="B32" s="3" t="inlineStr">
        <is>
          <t>DETReg</t>
        </is>
      </c>
      <c r="C32" s="3" t="inlineStr">
        <is>
          <t>Bar et al.</t>
        </is>
      </c>
      <c r="D32" s="3" t="inlineStr">
        <is>
          <t>CVPR</t>
        </is>
      </c>
      <c r="E32" s="3" t="inlineStr">
        <is>
          <t>2022-06</t>
        </is>
      </c>
      <c r="F32" s="3" t="inlineStr">
        <is>
          <t>Preprint</t>
        </is>
      </c>
      <c r="G32" s="3" t="n">
        <v>45.5</v>
      </c>
      <c r="H32" s="3" t="inlineStr">
        <is>
          <t>AP=45.5</t>
        </is>
      </c>
      <c r="I32" s="3" t="n"/>
      <c r="J32" s="3" t="n"/>
      <c r="K32" s="3" t="inlineStr">
        <is>
          <t>✅ 已驗證 (DETReg CVPR22 Table 1)：DETReg 45.5 AP COCO val under semi-supervised fine-tuning [Self-supervised pre-train OD]</t>
        </is>
      </c>
      <c r="L32" s="6" t="inlineStr">
        <is>
          <t>https://arxiv.org/abs/2106.04550</t>
        </is>
      </c>
      <c r="M32" s="6" t="inlineStr">
        <is>
          <t>https://github.com/PeizeSun/SparseR-CNN</t>
        </is>
      </c>
    </row>
    <row r="33">
      <c r="A33" s="3" t="inlineStr">
        <is>
          <t>General OD</t>
        </is>
      </c>
      <c r="B33" s="3" t="inlineStr">
        <is>
          <t>Brain-Inspired Spiking Neural Networks for Energy-Efficient</t>
        </is>
      </c>
      <c r="C33" s="3" t="inlineStr">
        <is>
          <t>—</t>
        </is>
      </c>
      <c r="D33" s="3" t="inlineStr">
        <is>
          <t>CVPR 2025</t>
        </is>
      </c>
      <c r="E33" s="3" t="inlineStr">
        <is>
          <t>2025-06</t>
        </is>
      </c>
      <c r="F33" s="3" t="inlineStr">
        <is>
          <t>Preprint</t>
        </is>
      </c>
      <c r="G33" s="3" t="n">
        <v>45.3</v>
      </c>
      <c r="H33" s="3" t="inlineStr">
        <is>
          <t>AP=45.3 | AP50=62.0</t>
        </is>
      </c>
      <c r="I33" s="3" t="n"/>
      <c r="J33" s="3" t="n"/>
      <c r="K33" s="3" t="inlineStr">
        <is>
          <t>✅ verified (Brain-Inspired Spiking NN CVPR25 CVF PDF): COCO val mAP@0.5:0.95=45.3 / mAP@50=62.0。註：脈衝神經網路 (SNN) 節能設定，與標準 ANN 偵測器非完全可比</t>
        </is>
      </c>
      <c r="L33" s="6" t="inlineStr">
        <is>
          <t>https://openaccess.thecvf.com/content/CVPR2025/html/Li_Brain-Inspired_Spiking_Neural_Networks_for_Energy-Efficient_Object_Detection_CVPR_2025_paper.html</t>
        </is>
      </c>
      <c r="M33" s="6" t="inlineStr">
        <is>
          <t>https://github.com/facebookresearch/detr</t>
        </is>
      </c>
    </row>
    <row r="34">
      <c r="A34" s="3" t="inlineStr">
        <is>
          <t>General OD</t>
        </is>
      </c>
      <c r="B34" s="3" t="inlineStr">
        <is>
          <t>Sparse R-CNN (R101)</t>
        </is>
      </c>
      <c r="C34" s="3" t="inlineStr">
        <is>
          <t>Sun et al.</t>
        </is>
      </c>
      <c r="D34" s="3" t="inlineStr">
        <is>
          <t>CVPR</t>
        </is>
      </c>
      <c r="E34" s="3" t="inlineStr">
        <is>
          <t>2021-01</t>
        </is>
      </c>
      <c r="F34" s="3" t="inlineStr">
        <is>
          <t>Preprint</t>
        </is>
      </c>
      <c r="G34" s="3" t="n">
        <v>44.1</v>
      </c>
      <c r="H34" s="3" t="inlineStr">
        <is>
          <t>AP=44.1</t>
        </is>
      </c>
      <c r="I34" s="3" t="n"/>
      <c r="J34" s="3" t="n"/>
      <c r="K34" s="3" t="inlineStr">
        <is>
          <t>✅ 已驗證 (Sparse R-CNN CVPR21 Table 1)：R101-FPN 44.1% AP val (46.4 with 300 proposals) [Sparse Query OD]</t>
        </is>
      </c>
      <c r="L34" s="6" t="inlineStr">
        <is>
          <t>https://arxiv.org/abs/2011.12450</t>
        </is>
      </c>
      <c r="M34" s="6" t="inlineStr">
        <is>
          <t>https://github.com/xingyizhou/CenterNet</t>
        </is>
      </c>
    </row>
    <row r="35">
      <c r="A35" s="3" t="inlineStr">
        <is>
          <t>General OD</t>
        </is>
      </c>
      <c r="B35" s="3" t="inlineStr">
        <is>
          <t>DETR (R101)</t>
        </is>
      </c>
      <c r="C35" s="3" t="inlineStr">
        <is>
          <t>Carion et al.</t>
        </is>
      </c>
      <c r="D35" s="3" t="inlineStr">
        <is>
          <t>ECCV</t>
        </is>
      </c>
      <c r="E35" s="3" t="inlineStr">
        <is>
          <t>2020-09</t>
        </is>
      </c>
      <c r="F35" s="3" t="inlineStr">
        <is>
          <t>Preprint</t>
        </is>
      </c>
      <c r="G35" s="3" t="n">
        <v>43.5</v>
      </c>
      <c r="H35" s="3" t="inlineStr">
        <is>
          <t>AP=43.5</t>
        </is>
      </c>
      <c r="I35" s="3" t="n"/>
      <c r="J35" s="3" t="n"/>
      <c r="K35" s="3" t="inlineStr">
        <is>
          <t>✅ 已驗證 (DETR ECCV20 Table 1)：DETR-R101 43.5% AP on COCO 2017 validation [DETR-based]</t>
        </is>
      </c>
      <c r="L35" s="6" t="inlineStr">
        <is>
          <t>https://arxiv.org/abs/2005.12872</t>
        </is>
      </c>
      <c r="M35" s="6" t="inlineStr">
        <is>
          <t>N/A</t>
        </is>
      </c>
    </row>
    <row r="36">
      <c r="A36" s="3" t="inlineStr">
        <is>
          <t>General OD</t>
        </is>
      </c>
      <c r="B36" s="3" t="inlineStr">
        <is>
          <t>DN-DETR</t>
        </is>
      </c>
      <c r="C36" s="3" t="inlineStr">
        <is>
          <t>Li et al.</t>
        </is>
      </c>
      <c r="D36" s="3" t="inlineStr">
        <is>
          <t>CVPR</t>
        </is>
      </c>
      <c r="E36" s="3" t="inlineStr">
        <is>
          <t>2022-03</t>
        </is>
      </c>
      <c r="F36" s="3" t="inlineStr">
        <is>
          <t>Preprint</t>
        </is>
      </c>
      <c r="G36" s="3" t="n">
        <v>43.4</v>
      </c>
      <c r="H36" s="3" t="inlineStr">
        <is>
          <t>AP=43.4</t>
        </is>
      </c>
      <c r="I36" s="3" t="n"/>
      <c r="J36" s="3" t="n"/>
      <c r="K36" s="3" t="inlineStr">
        <is>
          <t>✅ 已驗證 (DN-DETR CVPR22 Table 1)：DN-Deformable-DETR-R50 43.4% AP COCO val [DETR denoising training]</t>
        </is>
      </c>
      <c r="L36" s="6" t="inlineStr">
        <is>
          <t>https://arxiv.org/abs/2203.01305</t>
        </is>
      </c>
      <c r="M36" s="6" t="inlineStr">
        <is>
          <t>N/A</t>
        </is>
      </c>
    </row>
    <row r="37">
      <c r="A37" s="3" t="inlineStr">
        <is>
          <t>General OD</t>
        </is>
      </c>
      <c r="B37" s="3" t="inlineStr">
        <is>
          <t>CenterNet</t>
        </is>
      </c>
      <c r="C37" s="3" t="inlineStr">
        <is>
          <t>Zhou et al.</t>
        </is>
      </c>
      <c r="D37" s="3" t="inlineStr">
        <is>
          <t>arXiv</t>
        </is>
      </c>
      <c r="E37" s="3" t="inlineStr">
        <is>
          <t>2019-04</t>
        </is>
      </c>
      <c r="F37" s="3" t="inlineStr">
        <is>
          <t>Preprint</t>
        </is>
      </c>
      <c r="G37" s="3" t="n">
        <v>42.1</v>
      </c>
      <c r="H37" s="3" t="inlineStr">
        <is>
          <t>AP=42.1</t>
        </is>
      </c>
      <c r="I37" s="3" t="n"/>
      <c r="J37" s="3" t="n"/>
      <c r="K37" s="3" t="inlineStr">
        <is>
          <t>✅ 已驗證 (CenterNet ICCV19 Table 2)：Hourglass-104 42.1% AP test-dev/val [Anchor-free OD]</t>
        </is>
      </c>
      <c r="L37" s="6" t="inlineStr">
        <is>
          <t>https://arxiv.org/abs/1904.07850</t>
        </is>
      </c>
      <c r="M37" s="6"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M7" r:id="rId11"/>
    <hyperlink xmlns:r="http://schemas.openxmlformats.org/officeDocument/2006/relationships" ref="M8" r:id="rId12"/>
    <hyperlink xmlns:r="http://schemas.openxmlformats.org/officeDocument/2006/relationships" ref="M9" r:id="rId13"/>
    <hyperlink xmlns:r="http://schemas.openxmlformats.org/officeDocument/2006/relationships" ref="M10" r:id="rId14"/>
    <hyperlink xmlns:r="http://schemas.openxmlformats.org/officeDocument/2006/relationships" ref="L11" r:id="rId15"/>
    <hyperlink xmlns:r="http://schemas.openxmlformats.org/officeDocument/2006/relationships" ref="M11" r:id="rId16"/>
    <hyperlink xmlns:r="http://schemas.openxmlformats.org/officeDocument/2006/relationships" ref="L12" r:id="rId17"/>
    <hyperlink xmlns:r="http://schemas.openxmlformats.org/officeDocument/2006/relationships" ref="M12" r:id="rId18"/>
    <hyperlink xmlns:r="http://schemas.openxmlformats.org/officeDocument/2006/relationships" ref="L13" r:id="rId19"/>
    <hyperlink xmlns:r="http://schemas.openxmlformats.org/officeDocument/2006/relationships" ref="M13" r:id="rId20"/>
    <hyperlink xmlns:r="http://schemas.openxmlformats.org/officeDocument/2006/relationships" ref="L15" r:id="rId21"/>
    <hyperlink xmlns:r="http://schemas.openxmlformats.org/officeDocument/2006/relationships" ref="L16" r:id="rId22"/>
    <hyperlink xmlns:r="http://schemas.openxmlformats.org/officeDocument/2006/relationships" ref="L17" r:id="rId23"/>
    <hyperlink xmlns:r="http://schemas.openxmlformats.org/officeDocument/2006/relationships" ref="L19" r:id="rId2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55"/>
  <sheetViews>
    <sheetView workbookViewId="0">
      <pane ySplit="1" topLeftCell="A3" activePane="bottomLeft" state="frozen"/>
      <selection pane="bottomLeft" activeCell="B7" sqref="B7"/>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65.90000000000001</v>
      </c>
      <c r="H2" s="2" t="inlineStr">
        <is>
          <t>AP=65.9</t>
        </is>
      </c>
      <c r="I2" s="2" t="inlineStr">
        <is>
          <t>N/A</t>
        </is>
      </c>
      <c r="J2" s="2" t="inlineStr">
        <is>
          <t>304M</t>
        </is>
      </c>
      <c r="K2" s="2" t="inlineStr">
        <is>
          <t>✅ verified (Co-DETR ICCV23, arxiv 2211.12860): 65.9 box AP COCO val2017 (ViT-L)</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v>
      </c>
      <c r="H3" s="2" t="inlineStr">
        <is>
          <t>AP=65.0</t>
        </is>
      </c>
      <c r="I3" s="2" t="inlineStr">
        <is>
          <t>N/A</t>
        </is>
      </c>
      <c r="J3" s="2" t="inlineStr">
        <is>
          <t>≈1.08B</t>
        </is>
      </c>
      <c r="K3" s="2" t="inlineStr">
        <is>
          <t>✅ verified (InternImage CVPR23, arxiv 2211.05778): 65.0 box AP COCO val2017</t>
        </is>
      </c>
      <c r="L3" s="9" t="inlineStr">
        <is>
          <t>https://arxiv.org/abs/2211.05778</t>
        </is>
      </c>
      <c r="M3" s="9" t="inlineStr">
        <is>
          <t>https://github.com/OpenGVLab/InternImage</t>
        </is>
      </c>
    </row>
    <row r="4" ht="48" customHeight="1">
      <c r="A4" s="2" t="inlineStr">
        <is>
          <t>General OD</t>
        </is>
      </c>
      <c r="B4" s="2" t="inlineStr">
        <is>
          <t>EVA-02-Det</t>
        </is>
      </c>
      <c r="C4" s="2" t="inlineStr">
        <is>
          <t>Fang et al.</t>
        </is>
      </c>
      <c r="D4" s="2" t="inlineStr">
        <is>
          <t>arXiv</t>
        </is>
      </c>
      <c r="E4" s="2" t="inlineStr">
        <is>
          <t>2023-10</t>
        </is>
      </c>
      <c r="F4" s="2" t="inlineStr">
        <is>
          <t>Published</t>
        </is>
      </c>
      <c r="G4" s="2" t="n">
        <v>64.09999999999999</v>
      </c>
      <c r="H4" s="2" t="inlineStr">
        <is>
          <t>AP=64.1</t>
        </is>
      </c>
      <c r="I4" s="2" t="inlineStr">
        <is>
          <t>N/A</t>
        </is>
      </c>
      <c r="J4" s="2" t="inlineStr">
        <is>
          <t>≈600M</t>
        </is>
      </c>
      <c r="K4" s="2" t="inlineStr">
        <is>
          <t>✅ verified (EVA-02 arxiv 2303.11331): 64.1 box AP COCO val2017</t>
        </is>
      </c>
      <c r="L4" s="9" t="inlineStr">
        <is>
          <t>https://arxiv.org/abs/2303.11331</t>
        </is>
      </c>
      <c r="M4" s="9" t="inlineStr">
        <is>
          <t>https://github.com/baaivision/EVA</t>
        </is>
      </c>
    </row>
    <row r="5" ht="48" customHeight="1">
      <c r="A5" s="2" t="inlineStr">
        <is>
          <t>General OD</t>
        </is>
      </c>
      <c r="B5" s="2" t="inlineStr">
        <is>
          <t>Relation-DETR (FocalNet-L)</t>
        </is>
      </c>
      <c r="C5" s="2" t="inlineStr">
        <is>
          <t>Hou et al.</t>
        </is>
      </c>
      <c r="D5" s="2" t="inlineStr">
        <is>
          <t>ECCV</t>
        </is>
      </c>
      <c r="E5" s="2" t="inlineStr">
        <is>
          <t>2024-09</t>
        </is>
      </c>
      <c r="F5" s="2" t="inlineStr">
        <is>
          <t>Published</t>
        </is>
      </c>
      <c r="G5" s="2" t="n">
        <v>63.5</v>
      </c>
      <c r="H5" s="2" t="inlineStr">
        <is>
          <t>AP=63.5</t>
        </is>
      </c>
      <c r="I5" s="2" t="inlineStr">
        <is>
          <t>N/A</t>
        </is>
      </c>
      <c r="J5" s="2" t="inlineStr">
        <is>
          <t>N/A</t>
        </is>
      </c>
      <c r="K5" s="2" t="inlineStr">
        <is>
          <t>✅ verified (Relation-DETR ECCV24, arxiv 2407.11699): 63.5 box AP COCO val (FocalNet-L)</t>
        </is>
      </c>
      <c r="L5" s="9" t="inlineStr">
        <is>
          <t>https://arxiv.org/abs/2407.11699</t>
        </is>
      </c>
      <c r="M5" s="9" t="inlineStr">
        <is>
          <t>https://github.com/xiuqhou/Relation-DETR</t>
        </is>
      </c>
    </row>
    <row r="6" ht="48" customHeight="1">
      <c r="A6" s="2" t="inlineStr">
        <is>
          <t>General OD</t>
        </is>
      </c>
      <c r="B6" s="2" t="inlineStr">
        <is>
          <t>DINO (Swin-L)</t>
        </is>
      </c>
      <c r="C6" s="2" t="inlineStr">
        <is>
          <t>Zhang et al.</t>
        </is>
      </c>
      <c r="D6" s="2" t="inlineStr">
        <is>
          <t>ICLR</t>
        </is>
      </c>
      <c r="E6" s="2" t="inlineStr">
        <is>
          <t>2023-03</t>
        </is>
      </c>
      <c r="F6" s="2" t="inlineStr">
        <is>
          <t>Published</t>
        </is>
      </c>
      <c r="G6" s="2" t="n">
        <v>63.2</v>
      </c>
      <c r="H6" s="2" t="inlineStr">
        <is>
          <t>AP=63.2</t>
        </is>
      </c>
      <c r="I6" s="2" t="inlineStr">
        <is>
          <t>N/A</t>
        </is>
      </c>
      <c r="J6" s="2" t="inlineStr">
        <is>
          <t>218M</t>
        </is>
      </c>
      <c r="K6" s="2" t="inlineStr">
        <is>
          <t>✅ verified (DINO ICLR23, arxiv 2203.03605): 63.2 box AP COCO val2017 (Swin-L)</t>
        </is>
      </c>
      <c r="L6" s="9" t="inlineStr">
        <is>
          <t>https://arxiv.org/abs/2203.03605</t>
        </is>
      </c>
      <c r="M6" s="9" t="inlineStr">
        <is>
          <t>https://github.com/IDEA-Research/DINO</t>
        </is>
      </c>
    </row>
    <row r="7" ht="48" customHeight="1">
      <c r="A7" s="3" t="inlineStr">
        <is>
          <t>General OD</t>
        </is>
      </c>
      <c r="B7" s="3" t="inlineStr">
        <is>
          <t>ViTDet (ViT-H, MAE)</t>
        </is>
      </c>
      <c r="C7" s="3" t="inlineStr">
        <is>
          <t>Li et al.</t>
        </is>
      </c>
      <c r="D7" s="3" t="inlineStr">
        <is>
          <t>ECCV</t>
        </is>
      </c>
      <c r="E7" s="3" t="inlineStr">
        <is>
          <t>2022-09</t>
        </is>
      </c>
      <c r="F7" s="3" t="inlineStr">
        <is>
          <t>Preprint</t>
        </is>
      </c>
      <c r="G7" s="3" t="n">
        <v>61.3</v>
      </c>
      <c r="H7" s="3" t="inlineStr">
        <is>
          <t>AP=61.3</t>
        </is>
      </c>
      <c r="I7" s="3" t="n"/>
      <c r="J7" s="3" t="n"/>
      <c r="K7" s="3" t="inlineStr">
        <is>
          <t>✅ 已驗證 (ViTDet ECCV22 abstract)：61.3 box AP on COCO with plain ViT-H, MAE pre-training [Plain ViT OD]</t>
        </is>
      </c>
      <c r="L7" s="6" t="inlineStr">
        <is>
          <t>https://arxiv.org/abs/2203.16527</t>
        </is>
      </c>
      <c r="M7" s="6" t="inlineStr">
        <is>
          <t>https://github.com/roboflow/rf-detr</t>
        </is>
      </c>
    </row>
    <row r="8" ht="48" customHeight="1">
      <c r="A8" s="3" t="inlineStr">
        <is>
          <t>General OD</t>
        </is>
      </c>
      <c r="B8" s="3" t="inlineStr">
        <is>
          <t>Mr. DETR</t>
        </is>
      </c>
      <c r="C8" s="3" t="inlineStr">
        <is>
          <t>—</t>
        </is>
      </c>
      <c r="D8" s="3" t="inlineStr">
        <is>
          <t>CVPR 2025</t>
        </is>
      </c>
      <c r="E8" s="3" t="inlineStr">
        <is>
          <t>2025-06</t>
        </is>
      </c>
      <c r="F8" s="3" t="inlineStr">
        <is>
          <t>Preprint</t>
        </is>
      </c>
      <c r="G8" s="3" t="n">
        <v>58.4</v>
      </c>
      <c r="H8" s="3" t="inlineStr">
        <is>
          <t>AP=58.4 | AP50=76.3 | AP75=63.9 | APS=40.8 | APM=62.8 | APL=75.3</t>
        </is>
      </c>
      <c r="I8" s="3" t="n"/>
      <c r="J8" s="3" t="n"/>
      <c r="K8" s="3" t="inlineStr">
        <is>
          <t>✅ verified (Mr. DETR CVPR25 CVF Table (Swin-L/DINO, COCO val)): AP=58.4 | AP50=76.3 | AP75=63.9 | APS=40.8 | APM=62.8 | APL=75.3</t>
        </is>
      </c>
      <c r="L8" s="6" t="inlineStr">
        <is>
          <t>https://openaccess.thecvf.com/content/CVPR2025/html/Zhang_Mr._DETR_Instructive_Multi-Route_Training_for_Detection_Transformers_CVPR_2025_paper.html</t>
        </is>
      </c>
      <c r="M8" s="6" t="inlineStr">
        <is>
          <t>https://github.com/RT-DETRs/RT-DETRv4</t>
        </is>
      </c>
    </row>
    <row r="9" ht="48" customHeight="1">
      <c r="A9" s="3" t="inlineStr">
        <is>
          <t>General OD</t>
        </is>
      </c>
      <c r="B9" s="3" t="inlineStr">
        <is>
          <t>MI-DETR</t>
        </is>
      </c>
      <c r="C9" s="3" t="inlineStr">
        <is>
          <t>—</t>
        </is>
      </c>
      <c r="D9" s="3" t="inlineStr">
        <is>
          <t>CVPR 2025</t>
        </is>
      </c>
      <c r="E9" s="3" t="inlineStr">
        <is>
          <t>2025-06</t>
        </is>
      </c>
      <c r="F9" s="3" t="inlineStr">
        <is>
          <t>Preprint</t>
        </is>
      </c>
      <c r="G9" s="3" t="n">
        <v>58.2</v>
      </c>
      <c r="H9" s="3" t="inlineStr">
        <is>
          <t>AP=58.2 | AP50=76.5 | AP75=63.4 | APS=42.5 | APM=62.8 | APL=74.6</t>
        </is>
      </c>
      <c r="I9" s="3" t="n"/>
      <c r="J9" s="3" t="n"/>
      <c r="K9" s="3" t="inlineStr">
        <is>
          <t>✅ verified (MI-DETR CVPR25 CVF Table (Swin-L, COCO val)): AP=58.2 | AP50=76.5 | AP75=63.4 | APS=42.5 | APM=62.8 | APL=74.6</t>
        </is>
      </c>
      <c r="L9" s="6" t="inlineStr">
        <is>
          <t>https://openaccess.thecvf.com/content/CVPR2025/html/Nan_MI-DETR_An_Object_Detection_Model_with_Multi-time_Inquiries_Mechanism_CVPR_2025_paper.html</t>
        </is>
      </c>
      <c r="M9" s="6" t="inlineStr">
        <is>
          <t>https://github.com/Intellindust-AI-Lab/DEIM</t>
        </is>
      </c>
    </row>
    <row r="10" ht="48" customHeight="1">
      <c r="A10" s="3" t="inlineStr">
        <is>
          <t>General OD</t>
        </is>
      </c>
      <c r="B10" s="3" t="inlineStr">
        <is>
          <t>Swin-L Cascade Mask R-CNN</t>
        </is>
      </c>
      <c r="C10" s="3" t="inlineStr">
        <is>
          <t>Liu et al.</t>
        </is>
      </c>
      <c r="D10" s="3" t="inlineStr">
        <is>
          <t>ICCV</t>
        </is>
      </c>
      <c r="E10" s="3" t="inlineStr">
        <is>
          <t>2021-08</t>
        </is>
      </c>
      <c r="F10" s="3" t="inlineStr">
        <is>
          <t>Preprint</t>
        </is>
      </c>
      <c r="G10" s="3" t="n">
        <v>58</v>
      </c>
      <c r="H10" s="3" t="inlineStr">
        <is>
          <t>AP=58.0</t>
        </is>
      </c>
      <c r="I10" s="3" t="n"/>
      <c r="J10" s="3" t="n"/>
      <c r="K10" s="3" t="inlineStr">
        <is>
          <t>✅ verified (Swin Transformer ICCV21 arxiv 2103.14030 Table: Swin-L HTC++ multi-scale): COCO val box AP 58.0 (test-dev 58.7)。完整 6 指標分解未於論文表列</t>
        </is>
      </c>
      <c r="L10" s="6" t="inlineStr">
        <is>
          <t>https://arxiv.org/abs/2103.14030</t>
        </is>
      </c>
      <c r="M10" s="6" t="inlineStr">
        <is>
          <t>https://github.com/Peterande/D-FINE</t>
        </is>
      </c>
    </row>
    <row r="11" ht="48" customHeight="1">
      <c r="A11" s="3" t="inlineStr">
        <is>
          <t>Real-Time OD</t>
        </is>
      </c>
      <c r="B11" s="3" t="inlineStr">
        <is>
          <t>DEIMv2 (DINOv3)</t>
        </is>
      </c>
      <c r="C11" s="3" t="inlineStr">
        <is>
          <t>Huang et al.</t>
        </is>
      </c>
      <c r="D11" s="3" t="inlineStr">
        <is>
          <t>arXiv</t>
        </is>
      </c>
      <c r="E11" s="3" t="inlineStr">
        <is>
          <t>2025-09</t>
        </is>
      </c>
      <c r="F11" s="3" t="inlineStr">
        <is>
          <t>Preprint</t>
        </is>
      </c>
      <c r="G11" s="3" t="n">
        <v>57.8</v>
      </c>
      <c r="H11" s="3" t="inlineStr">
        <is>
          <t>AP=57.8</t>
        </is>
      </c>
      <c r="I11" s="3" t="n"/>
      <c r="J11" s="3" t="n"/>
      <c r="K11" s="3" t="inlineStr">
        <is>
          <t>✅ 已驗證 (DEIMv2 arXiv25 Table 3, COCO val2017)：DEIMv2-X 57.8% AP, DINOv3 backbone [End-to-end RT-OD]</t>
        </is>
      </c>
      <c r="L11" s="6" t="inlineStr">
        <is>
          <t>https://arxiv.org/abs/2509.20787</t>
        </is>
      </c>
      <c r="M11" s="6" t="inlineStr">
        <is>
          <t>https://github.com/WongKinYiu/yolov9</t>
        </is>
      </c>
    </row>
    <row r="12" ht="48" customHeight="1">
      <c r="A12" s="3" t="inlineStr">
        <is>
          <t>Real-Time OD</t>
        </is>
      </c>
      <c r="B12" s="3" t="inlineStr">
        <is>
          <t>RT-DETRv4 (X)</t>
        </is>
      </c>
      <c r="C12" s="3" t="inlineStr">
        <is>
          <t>RT-DETRs</t>
        </is>
      </c>
      <c r="D12" s="3" t="inlineStr">
        <is>
          <t>arXiv</t>
        </is>
      </c>
      <c r="E12" s="3" t="inlineStr">
        <is>
          <t>2025-10</t>
        </is>
      </c>
      <c r="F12" s="3" t="inlineStr">
        <is>
          <t>Preprint</t>
        </is>
      </c>
      <c r="G12" s="3" t="n">
        <v>57</v>
      </c>
      <c r="H12" s="3" t="inlineStr">
        <is>
          <t>AP=57.0 | AP50=74.6 | AP75=62.1 | APS=39.5 | APM=61.9 | APL=74.8</t>
        </is>
      </c>
      <c r="I12" s="3" t="inlineStr">
        <is>
          <t>T4 78</t>
        </is>
      </c>
      <c r="J12" s="3" t="inlineStr">
        <is>
          <t>N/A</t>
        </is>
      </c>
      <c r="K12" s="3" t="inlineStr">
        <is>
          <t>✅ verified (RT-DETRv4 arxiv 2510.25257 Table (COCO val)): full COCO val breakdown AP=57.0 | AP50=74.6 | AP75=62.1 | APS=39.5 | APM=61.9 | APL=74.8</t>
        </is>
      </c>
      <c r="L12" s="6" t="inlineStr">
        <is>
          <t>https://arxiv.org/abs/2510.25257</t>
        </is>
      </c>
      <c r="M12" s="6" t="inlineStr">
        <is>
          <t>https://github.com/sunsmarterjie/yolov12</t>
        </is>
      </c>
    </row>
    <row r="13" ht="48" customHeight="1">
      <c r="A13" s="3" t="inlineStr">
        <is>
          <t>Real-Time OD</t>
        </is>
      </c>
      <c r="B13" s="3" t="inlineStr">
        <is>
          <t>RF-DETR (Large)</t>
        </is>
      </c>
      <c r="C13" s="3" t="inlineStr">
        <is>
          <t>Roboflow</t>
        </is>
      </c>
      <c r="D13" s="3" t="inlineStr">
        <is>
          <t>ICLR</t>
        </is>
      </c>
      <c r="E13" s="3" t="inlineStr">
        <is>
          <t>2026-04</t>
        </is>
      </c>
      <c r="F13" s="3" t="inlineStr">
        <is>
          <t>Accepted</t>
        </is>
      </c>
      <c r="G13" s="3" t="n">
        <v>56.5</v>
      </c>
      <c r="H13" s="3" t="inlineStr">
        <is>
          <t>AP=56.5 | AP50=75.1 | AP75=61.3 | APS=39.0 | APM=61.0 | APL=73.9</t>
        </is>
      </c>
      <c r="I13" s="3" t="inlineStr">
        <is>
          <t>T4 25</t>
        </is>
      </c>
      <c r="J13" s="3" t="inlineStr">
        <is>
          <t>N/A</t>
        </is>
      </c>
      <c r="K13" s="3" t="inlineStr">
        <is>
          <t>✅ verified+corrected (RF-DETR arxiv 2511.09554 Table, COCO val): RF-DETR-Large AP=56.5 (sheet had 60.5 which matches no RF-DETR variant: L=56.5/XL=58.6/2XL=60.1). AP=56.5 | AP50=75.1 | AP75=61.3 | APS=39.0 | APM=61.0 | APL=73.9</t>
        </is>
      </c>
      <c r="L13" s="6" t="inlineStr">
        <is>
          <t>https://arxiv.org/abs/2511.09554</t>
        </is>
      </c>
      <c r="M13" s="6" t="inlineStr">
        <is>
          <t>https://github.com/ultralytics/ultralytics</t>
        </is>
      </c>
    </row>
    <row r="14">
      <c r="A14" s="3" t="inlineStr">
        <is>
          <t>Real-Time OD</t>
        </is>
      </c>
      <c r="B14" s="3" t="inlineStr">
        <is>
          <t>DEIM-D-FINE-X</t>
        </is>
      </c>
      <c r="C14" s="3" t="inlineStr">
        <is>
          <t>Huang et al.</t>
        </is>
      </c>
      <c r="D14" s="3" t="inlineStr">
        <is>
          <t>CVPR</t>
        </is>
      </c>
      <c r="E14" s="3" t="inlineStr">
        <is>
          <t>2025-06</t>
        </is>
      </c>
      <c r="F14" s="3" t="inlineStr">
        <is>
          <t>Published</t>
        </is>
      </c>
      <c r="G14" s="3" t="n">
        <v>56.5</v>
      </c>
      <c r="H14" s="3" t="inlineStr">
        <is>
          <t>AP=56.5 | AP50=74.0 | AP75=61.5 | APS=38.8 | APM=61.4 | APL=74.2</t>
        </is>
      </c>
      <c r="I14" s="3" t="inlineStr">
        <is>
          <t>T4 78</t>
        </is>
      </c>
      <c r="J14" s="3" t="inlineStr">
        <is>
          <t>N/A</t>
        </is>
      </c>
      <c r="K14" s="3" t="inlineStr">
        <is>
          <t>✅ verified (DEIM arxiv 2412.04234 Table (COCO val)): full COCO val breakdown AP=56.5 | AP50=74.0 | AP75=61.5 | APS=38.8 | APM=61.4 | APL=74.2</t>
        </is>
      </c>
      <c r="L14" s="6" t="inlineStr">
        <is>
          <t>https://arxiv.org/abs/2412.04234</t>
        </is>
      </c>
      <c r="M14" s="6" t="inlineStr">
        <is>
          <t>https://github.com/roboflow/rf-detr</t>
        </is>
      </c>
    </row>
    <row r="15">
      <c r="A15" s="3" t="inlineStr">
        <is>
          <t>General OD</t>
        </is>
      </c>
      <c r="B15" s="3" t="inlineStr">
        <is>
          <t>DEIM</t>
        </is>
      </c>
      <c r="C15" s="3" t="inlineStr">
        <is>
          <t>—</t>
        </is>
      </c>
      <c r="D15" s="3" t="inlineStr">
        <is>
          <t>CVPR 2025</t>
        </is>
      </c>
      <c r="E15" s="3" t="inlineStr">
        <is>
          <t>2025-06</t>
        </is>
      </c>
      <c r="F15" s="3" t="inlineStr">
        <is>
          <t>Preprint</t>
        </is>
      </c>
      <c r="G15" s="3" t="n">
        <v>56.5</v>
      </c>
      <c r="H15" s="3" t="inlineStr">
        <is>
          <t>AP=56.5 | AP50=74.0 | AP75=61.5 | APS=38.8 | APM=61.4 | APL=74.2</t>
        </is>
      </c>
      <c r="I15" s="3" t="n"/>
      <c r="J15" s="3" t="n"/>
      <c r="K15" s="3" t="inlineStr">
        <is>
          <t>✅ verified (DEIM CVPR25 arxiv 2412.04234 Table, DEIM-X best, COCO val): 56.5/74.0/61.5/38.8/61.4/74.2</t>
        </is>
      </c>
      <c r="L15" s="6" t="inlineStr">
        <is>
          <t>https://openaccess.thecvf.com/content/CVPR2025/html/Huang_DEIM_DETR_with_Improved_Matching_for_Fast_Convergence_CVPR_2025_paper.html</t>
        </is>
      </c>
      <c r="M15" s="6" t="inlineStr">
        <is>
          <t>https://github.com/Intellindust-AI-Lab/DEIMv2</t>
        </is>
      </c>
    </row>
    <row r="16">
      <c r="A16" s="3" t="inlineStr">
        <is>
          <t>General OD</t>
        </is>
      </c>
      <c r="B16" s="3" t="inlineStr">
        <is>
          <t>DINO-X</t>
        </is>
      </c>
      <c r="C16" s="3" t="inlineStr">
        <is>
          <t>IDEA Research</t>
        </is>
      </c>
      <c r="D16" s="3" t="inlineStr">
        <is>
          <t>arXiv</t>
        </is>
      </c>
      <c r="E16" s="3" t="inlineStr">
        <is>
          <t>2024-11</t>
        </is>
      </c>
      <c r="F16" s="3" t="inlineStr">
        <is>
          <t>Preprint</t>
        </is>
      </c>
      <c r="G16" s="3" t="n">
        <v>56</v>
      </c>
      <c r="H16" s="3" t="inlineStr">
        <is>
          <t>AP=56.0</t>
        </is>
      </c>
      <c r="I16" s="3" t="n"/>
      <c r="J16" s="3" t="n"/>
      <c r="K16" s="3" t="inlineStr">
        <is>
          <t>✅ 已驗證 (DINO-X arXiv24 abstract)：DINO-X Pro 56.0% AP on COCO zero-shot transfer [Open-vocab Foundation Model]</t>
        </is>
      </c>
      <c r="L16" s="6" t="inlineStr">
        <is>
          <t>https://arxiv.org/abs/2411.14347</t>
        </is>
      </c>
      <c r="M16" s="6" t="inlineStr">
        <is>
          <t>https://github.com/iMoonLab/yolov13</t>
        </is>
      </c>
    </row>
    <row r="17">
      <c r="A17" s="3" t="inlineStr">
        <is>
          <t>Real-Time OD</t>
        </is>
      </c>
      <c r="B17" s="3" t="inlineStr">
        <is>
          <t>D-FINE-X</t>
        </is>
      </c>
      <c r="C17" s="3" t="inlineStr">
        <is>
          <t>Peng et al.</t>
        </is>
      </c>
      <c r="D17" s="3" t="inlineStr">
        <is>
          <t>ICLR</t>
        </is>
      </c>
      <c r="E17" s="3" t="inlineStr">
        <is>
          <t>2025-04</t>
        </is>
      </c>
      <c r="F17" s="3" t="inlineStr">
        <is>
          <t>Accepted</t>
        </is>
      </c>
      <c r="G17" s="3" t="n">
        <v>55.8</v>
      </c>
      <c r="H17" s="3" t="inlineStr">
        <is>
          <t>AP=55.8 | AP50=73.7 | AP75=60.2 | APS=37.3 | APM=60.5 | APL=73.4</t>
        </is>
      </c>
      <c r="I17" s="3" t="inlineStr">
        <is>
          <t>T4 78</t>
        </is>
      </c>
      <c r="J17" s="3" t="inlineStr">
        <is>
          <t>N/A</t>
        </is>
      </c>
      <c r="K17" s="3" t="inlineStr">
        <is>
          <t>✅ verified (D-FINE arxiv 2410.13842 Table (COCO val)): full COCO val breakdown AP=55.8 | AP50=73.7 | AP75=60.2 | APS=37.3 | APM=60.5 | APL=73.4</t>
        </is>
      </c>
      <c r="L17" s="6" t="inlineStr">
        <is>
          <t>https://arxiv.org/abs/2410.13842</t>
        </is>
      </c>
      <c r="M17" s="6" t="inlineStr">
        <is>
          <t>https://github.com/Intellindust-AI-Lab/DEIM</t>
        </is>
      </c>
    </row>
    <row r="18">
      <c r="A18" s="3" t="inlineStr">
        <is>
          <t>Real-Time OD</t>
        </is>
      </c>
      <c r="B18" s="3" t="inlineStr">
        <is>
          <t>YOLOv9-E</t>
        </is>
      </c>
      <c r="C18" s="3" t="inlineStr">
        <is>
          <t>Wang et al.</t>
        </is>
      </c>
      <c r="D18" s="3" t="inlineStr">
        <is>
          <t>ECCV</t>
        </is>
      </c>
      <c r="E18" s="3" t="inlineStr">
        <is>
          <t>2024-09</t>
        </is>
      </c>
      <c r="F18" s="3" t="inlineStr">
        <is>
          <t>Published</t>
        </is>
      </c>
      <c r="G18" s="3" t="n">
        <v>55.6</v>
      </c>
      <c r="H18" s="3" t="inlineStr">
        <is>
          <t>AP=55.6</t>
        </is>
      </c>
      <c r="I18" s="3" t="inlineStr">
        <is>
          <t>57</t>
        </is>
      </c>
      <c r="J18" s="3" t="inlineStr">
        <is>
          <t>57.3M</t>
        </is>
      </c>
      <c r="K18" s="3" t="inlineStr">
        <is>
          <t>✅ verified (YOLOv9 ECCV24, arxiv 2402.13616 Table 1): 55.6 box AP COCO val2017 (YOLOv9-E)</t>
        </is>
      </c>
      <c r="L18" s="6" t="inlineStr">
        <is>
          <t>https://arxiv.org/abs/2402.13616</t>
        </is>
      </c>
      <c r="M18" s="6" t="inlineStr">
        <is>
          <t>https://github.com/lovelyqian/NTIRE2025_CDFSOD</t>
        </is>
      </c>
    </row>
    <row r="19">
      <c r="A19" s="3" t="inlineStr">
        <is>
          <t>Real-Time OD</t>
        </is>
      </c>
      <c r="B19" s="3" t="inlineStr">
        <is>
          <t>YOLOv12-X</t>
        </is>
      </c>
      <c r="C19" s="3" t="inlineStr">
        <is>
          <t>Tian et al.</t>
        </is>
      </c>
      <c r="D19" s="3" t="inlineStr">
        <is>
          <t>NeurIPS</t>
        </is>
      </c>
      <c r="E19" s="3" t="inlineStr">
        <is>
          <t>2025-02</t>
        </is>
      </c>
      <c r="F19" s="3" t="inlineStr">
        <is>
          <t>Accepted</t>
        </is>
      </c>
      <c r="G19" s="3" t="n">
        <v>55.2</v>
      </c>
      <c r="H19" s="3" t="inlineStr">
        <is>
          <t>AP=55.2 | AP50=72.0 | AP75=60.2 | APS=39.6 | APM=60.7 | APL=70.9</t>
        </is>
      </c>
      <c r="I19" s="3" t="inlineStr">
        <is>
          <t>T4 ≈90</t>
        </is>
      </c>
      <c r="J19" s="3" t="inlineStr">
        <is>
          <t>59.1M</t>
        </is>
      </c>
      <c r="K19" s="3" t="inlineStr">
        <is>
          <t>✅ verified (YOLOv12 arxiv 2502.12524 Table (COCO val)): full COCO val breakdown AP=55.2 | AP50=72.0 | AP75=60.2 | APS=39.6 | APM=60.7 | APL=70.9</t>
        </is>
      </c>
      <c r="L19" s="6" t="inlineStr">
        <is>
          <t>https://arxiv.org/abs/2502.12524</t>
        </is>
      </c>
      <c r="M19" s="6" t="inlineStr">
        <is>
          <t>https://github.com/Peterande/D-FINE</t>
        </is>
      </c>
    </row>
    <row r="20">
      <c r="A20" s="3" t="inlineStr">
        <is>
          <t>General OD</t>
        </is>
      </c>
      <c r="B20" s="3" t="inlineStr">
        <is>
          <t>ConvNeXt-XL Cascade</t>
        </is>
      </c>
      <c r="C20" s="3" t="inlineStr">
        <is>
          <t>Liu et al.</t>
        </is>
      </c>
      <c r="D20" s="3" t="inlineStr">
        <is>
          <t>CVPR</t>
        </is>
      </c>
      <c r="E20" s="3" t="inlineStr">
        <is>
          <t>2022-03</t>
        </is>
      </c>
      <c r="F20" s="3" t="inlineStr">
        <is>
          <t>Preprint</t>
        </is>
      </c>
      <c r="G20" s="3" t="n">
        <v>55.2</v>
      </c>
      <c r="H20" s="3" t="inlineStr">
        <is>
          <t>AP=55.2</t>
        </is>
      </c>
      <c r="I20" s="3" t="n"/>
      <c r="J20" s="3" t="n"/>
      <c r="K20" s="3" t="inlineStr">
        <is>
          <t>✅ 已驗證 (ConvNeXt CVPR22 Table 8)：ConvNeXt-XL with Cascade Mask R-CNN 55.2 box AP COCO test-dev</t>
        </is>
      </c>
      <c r="L20" s="6" t="inlineStr">
        <is>
          <t>https://arxiv.org/abs/2201.03545</t>
        </is>
      </c>
      <c r="M20" s="6" t="inlineStr">
        <is>
          <t>https://github.com/clxia12/RT-DETRv3</t>
        </is>
      </c>
    </row>
    <row r="21">
      <c r="A21" s="3" t="inlineStr">
        <is>
          <t>Real-Time OD</t>
        </is>
      </c>
      <c r="B21" s="3" t="inlineStr">
        <is>
          <t>EfficientDet-D7</t>
        </is>
      </c>
      <c r="C21" s="3" t="inlineStr">
        <is>
          <t>Tan et al.</t>
        </is>
      </c>
      <c r="D21" s="3" t="inlineStr">
        <is>
          <t>CVPR</t>
        </is>
      </c>
      <c r="E21" s="3" t="inlineStr">
        <is>
          <t>2020-06</t>
        </is>
      </c>
      <c r="F21" s="3" t="inlineStr">
        <is>
          <t>Preprint</t>
        </is>
      </c>
      <c r="G21" s="3" t="n">
        <v>55.1</v>
      </c>
      <c r="H21" s="3" t="inlineStr">
        <is>
          <t>AP=55.1</t>
        </is>
      </c>
      <c r="I21" s="3" t="n"/>
      <c r="J21" s="3" t="n"/>
      <c r="K21" s="3" t="inlineStr">
        <is>
          <t>✅ 已驗證 (EfficientDet CVPR20 paper abstract)：EfficientDet-D7 55.1% AP on COCO test-dev, single-model single-scale [Real-Time OD]</t>
        </is>
      </c>
      <c r="L21" s="6" t="inlineStr">
        <is>
          <t>https://arxiv.org/abs/1911.09070</t>
        </is>
      </c>
      <c r="M21" s="6" t="inlineStr">
        <is>
          <t>https://github.com/THU-MIG/yolov10</t>
        </is>
      </c>
    </row>
    <row r="22">
      <c r="A22" s="3" t="inlineStr">
        <is>
          <t>Real-Time OD</t>
        </is>
      </c>
      <c r="B22" s="3" t="inlineStr">
        <is>
          <t>YOLOv13-X</t>
        </is>
      </c>
      <c r="C22" s="3" t="inlineStr">
        <is>
          <t>iMoonLab</t>
        </is>
      </c>
      <c r="D22" s="3" t="inlineStr">
        <is>
          <t>arXiv</t>
        </is>
      </c>
      <c r="E22" s="3" t="inlineStr">
        <is>
          <t>2025-06</t>
        </is>
      </c>
      <c r="F22" s="3" t="inlineStr">
        <is>
          <t>Preprint</t>
        </is>
      </c>
      <c r="G22" s="3" t="n">
        <v>54.8</v>
      </c>
      <c r="H22" s="3" t="inlineStr">
        <is>
          <t>AP=54.8</t>
        </is>
      </c>
      <c r="I22" s="3" t="n"/>
      <c r="J22" s="3" t="n"/>
      <c r="K22" s="3" t="inlineStr">
        <is>
          <t>✅ 已驗證 (YOLOv13 Table I, COCO val2017)：YOLOv13-X 54.8% AP [Real-Time OD]</t>
        </is>
      </c>
      <c r="L22" s="6" t="inlineStr">
        <is>
          <t>https://arxiv.org/abs/2506.17733</t>
        </is>
      </c>
      <c r="M22" s="6" t="inlineStr">
        <is>
          <t>https://github.com/IDEA-Research/DINO-X-API</t>
        </is>
      </c>
    </row>
    <row r="23">
      <c r="A23" s="3" t="inlineStr">
        <is>
          <t>Real-Time OD</t>
        </is>
      </c>
      <c r="B23" s="3" t="inlineStr">
        <is>
          <t>YOLO11x</t>
        </is>
      </c>
      <c r="C23" s="3" t="inlineStr">
        <is>
          <t>Ultralytics</t>
        </is>
      </c>
      <c r="D23" s="3" t="inlineStr">
        <is>
          <t>Official Docs</t>
        </is>
      </c>
      <c r="E23" s="3" t="inlineStr">
        <is>
          <t>2024-09</t>
        </is>
      </c>
      <c r="F23" s="3" t="inlineStr">
        <is>
          <t>Official Docs</t>
        </is>
      </c>
      <c r="G23" s="3" t="n">
        <v>54.7</v>
      </c>
      <c r="H23" s="3" t="inlineStr">
        <is>
          <t>AP=54.7</t>
        </is>
      </c>
      <c r="I23" s="3" t="inlineStr">
        <is>
          <t>T4 ≈110</t>
        </is>
      </c>
      <c r="J23" s="3" t="inlineStr">
        <is>
          <t>56.9M</t>
        </is>
      </c>
      <c r="K23" s="3" t="inlineStr">
        <is>
          <t>✅ verified (Ultralytics YOLO11 official docs): 54.7 box AP COCO val2017 (YOLO11x)</t>
        </is>
      </c>
      <c r="L23" s="6" t="inlineStr">
        <is>
          <t>https://docs.ultralytics.com/models/yolo11/</t>
        </is>
      </c>
      <c r="M23" s="6" t="inlineStr">
        <is>
          <t>https://github.com/IDEA-Research/GroundingDINO</t>
        </is>
      </c>
    </row>
    <row r="24">
      <c r="A24" s="3" t="inlineStr">
        <is>
          <t>Real-Time OD</t>
        </is>
      </c>
      <c r="B24" s="3" t="inlineStr">
        <is>
          <t>DEIM-D-FINE-L</t>
        </is>
      </c>
      <c r="C24" s="3" t="inlineStr">
        <is>
          <t>Huang et al.</t>
        </is>
      </c>
      <c r="D24" s="3" t="inlineStr">
        <is>
          <t>CVPR</t>
        </is>
      </c>
      <c r="E24" s="3" t="inlineStr">
        <is>
          <t>2025-06</t>
        </is>
      </c>
      <c r="F24" s="3" t="inlineStr">
        <is>
          <t>Preprint</t>
        </is>
      </c>
      <c r="G24" s="3" t="n">
        <v>54.7</v>
      </c>
      <c r="H24" s="3" t="inlineStr">
        <is>
          <t>AP=54.7</t>
        </is>
      </c>
      <c r="I24" s="3" t="n"/>
      <c r="J24" s="3" t="n"/>
      <c r="K24" s="3" t="inlineStr">
        <is>
          <t>✅ 已驗證 (DEIM CVPR25 Table 1, COCO val2017)：DEIM-D-FINE-L 54.7% AP [End-to-end RT-OD]</t>
        </is>
      </c>
      <c r="L24" s="6" t="inlineStr">
        <is>
          <t>https://arxiv.org/abs/2412.04234</t>
        </is>
      </c>
      <c r="M24" s="6" t="inlineStr">
        <is>
          <t>https://github.com/lovelyqian/CDFSOD-benchmark</t>
        </is>
      </c>
    </row>
    <row r="25">
      <c r="A25" s="3" t="inlineStr">
        <is>
          <t>Real-Time OD</t>
        </is>
      </c>
      <c r="B25" s="3" t="inlineStr">
        <is>
          <t>PP-YOLOE+ (X)</t>
        </is>
      </c>
      <c r="C25" s="3" t="inlineStr">
        <is>
          <t>Xu et al.</t>
        </is>
      </c>
      <c r="D25" s="3" t="inlineStr">
        <is>
          <t>arXiv</t>
        </is>
      </c>
      <c r="E25" s="3" t="inlineStr">
        <is>
          <t>2022-07</t>
        </is>
      </c>
      <c r="F25" s="3" t="inlineStr">
        <is>
          <t>Preprint</t>
        </is>
      </c>
      <c r="G25" s="3" t="n">
        <v>54.7</v>
      </c>
      <c r="H25" s="3" t="inlineStr">
        <is>
          <t>AP=54.7</t>
        </is>
      </c>
      <c r="I25" s="3" t="n"/>
      <c r="J25" s="3" t="n"/>
      <c r="K25" s="3" t="inlineStr">
        <is>
          <t>✅ 已驗證 (PP-YOLOE+ arXiv22 Table 1)：PP-YOLOE+-X 54.7% AP COCO test-dev [Real-Time OD]</t>
        </is>
      </c>
      <c r="L25" s="6" t="inlineStr">
        <is>
          <t>https://arxiv.org/abs/2203.16250</t>
        </is>
      </c>
      <c r="M25" s="6" t="inlineStr">
        <is>
          <t>https://github.com/lyuwenyu/RT-DETR</t>
        </is>
      </c>
    </row>
    <row r="26">
      <c r="A26" s="3" t="inlineStr">
        <is>
          <t>Real-Time OD</t>
        </is>
      </c>
      <c r="B26" s="3" t="inlineStr">
        <is>
          <t>RT-DETRv3-R101</t>
        </is>
      </c>
      <c r="C26" s="3" t="inlineStr">
        <is>
          <t>Wang et al.</t>
        </is>
      </c>
      <c r="D26" s="3" t="inlineStr">
        <is>
          <t>WACV</t>
        </is>
      </c>
      <c r="E26" s="3" t="inlineStr">
        <is>
          <t>2025-02</t>
        </is>
      </c>
      <c r="F26" s="3" t="inlineStr">
        <is>
          <t>Preprint</t>
        </is>
      </c>
      <c r="G26" s="3" t="n">
        <v>54.6</v>
      </c>
      <c r="H26" s="3" t="inlineStr">
        <is>
          <t>AP=54.6</t>
        </is>
      </c>
      <c r="I26" s="3" t="n"/>
      <c r="J26" s="3" t="n"/>
      <c r="K26" s="3" t="inlineStr">
        <is>
          <t>✅ 已驗證 (RT-DETRv3 Table 1, COCO val2017 6x)：RT-DETRv3-R101 54.6% AP [End-to-end RT-OD]</t>
        </is>
      </c>
      <c r="L26" s="6" t="inlineStr">
        <is>
          <t>https://arxiv.org/abs/2409.08475</t>
        </is>
      </c>
      <c r="M26" s="6" t="inlineStr">
        <is>
          <t>https://github.com/lyuwenyu/RT-DETR</t>
        </is>
      </c>
    </row>
    <row r="27">
      <c r="A27" s="3" t="inlineStr">
        <is>
          <t>Real-Time OD</t>
        </is>
      </c>
      <c r="B27" s="3" t="inlineStr">
        <is>
          <t>RT-DETRv3</t>
        </is>
      </c>
      <c r="C27" s="3" t="inlineStr">
        <is>
          <t>—</t>
        </is>
      </c>
      <c r="D27" s="3" t="inlineStr">
        <is>
          <t>WACV 2025</t>
        </is>
      </c>
      <c r="E27" s="3" t="inlineStr">
        <is>
          <t>2025-01</t>
        </is>
      </c>
      <c r="F27" s="3" t="inlineStr">
        <is>
          <t>Preprint</t>
        </is>
      </c>
      <c r="G27" s="3" t="n">
        <v>54.6</v>
      </c>
      <c r="H27" s="3" t="inlineStr">
        <is>
          <t>AP=54.6</t>
        </is>
      </c>
      <c r="I27" s="3" t="n"/>
      <c r="J27" s="3" t="n"/>
      <c r="K27" s="3" t="inlineStr">
        <is>
          <t>✅ 已驗證 (RT-DETRv3 Table 1)：headline number from R101 6x setting [End-to-end RT-OD]</t>
        </is>
      </c>
      <c r="L27" s="6" t="inlineStr">
        <is>
          <t>https://openaccess.thecvf.com/content/WACV2025/html/Wang_RT-DETRv3_Real-Time_End-to-End_Object_Detection_with_Hierarchical_Dense_Positive_Supervision_WACV_2025_paper.html</t>
        </is>
      </c>
      <c r="M27" s="6" t="inlineStr">
        <is>
          <t>https://github.com/IDEA-Research/Grounding-DINO-1.5-API</t>
        </is>
      </c>
    </row>
    <row r="28">
      <c r="A28" s="3" t="inlineStr">
        <is>
          <t>Real-Time OD</t>
        </is>
      </c>
      <c r="B28" s="3" t="inlineStr">
        <is>
          <t>YOLOv10-X</t>
        </is>
      </c>
      <c r="C28" s="3" t="inlineStr">
        <is>
          <t>Wang et al.</t>
        </is>
      </c>
      <c r="D28" s="3" t="inlineStr">
        <is>
          <t>NeurIPS</t>
        </is>
      </c>
      <c r="E28" s="3" t="inlineStr">
        <is>
          <t>2024-12</t>
        </is>
      </c>
      <c r="F28" s="3" t="inlineStr">
        <is>
          <t>Preprint</t>
        </is>
      </c>
      <c r="G28" s="3" t="n">
        <v>54.4</v>
      </c>
      <c r="H28" s="3" t="inlineStr">
        <is>
          <t>AP=54.4</t>
        </is>
      </c>
      <c r="I28" s="3" t="n"/>
      <c r="J28" s="3" t="n"/>
      <c r="K28" s="3" t="inlineStr">
        <is>
          <t>✅ 已驗證 (YOLOv13 Table I, COCO val2017)：YOLOv10-X 54.4% AP [Real-Time OD]</t>
        </is>
      </c>
      <c r="L28" s="6" t="inlineStr">
        <is>
          <t>https://arxiv.org/abs/2405.14458</t>
        </is>
      </c>
      <c r="M28" s="6" t="inlineStr">
        <is>
          <t>https://github.com/ZhengPeng7/BiRefNet</t>
        </is>
      </c>
    </row>
    <row r="29">
      <c r="A29" s="3" t="inlineStr">
        <is>
          <t>Real-Time OD</t>
        </is>
      </c>
      <c r="B29" s="3" t="inlineStr">
        <is>
          <t>RT-DETRv2-R101</t>
        </is>
      </c>
      <c r="C29" s="3" t="inlineStr">
        <is>
          <t>Lv et al.</t>
        </is>
      </c>
      <c r="D29" s="3" t="inlineStr">
        <is>
          <t>arXiv</t>
        </is>
      </c>
      <c r="E29" s="3" t="inlineStr">
        <is>
          <t>2024-07</t>
        </is>
      </c>
      <c r="F29" s="3" t="inlineStr">
        <is>
          <t>Preprint</t>
        </is>
      </c>
      <c r="G29" s="3" t="n">
        <v>54.3</v>
      </c>
      <c r="H29" s="3" t="inlineStr">
        <is>
          <t>AP=54.3</t>
        </is>
      </c>
      <c r="I29" s="3" t="n"/>
      <c r="J29" s="3" t="n"/>
      <c r="K29" s="3" t="inlineStr">
        <is>
          <t>✅ 已驗證 (D-FINE Table 1, COCO val2017)：RT-DETRv2-R101 54.3% AP [Real-Time OD]</t>
        </is>
      </c>
      <c r="L29" s="6" t="inlineStr">
        <is>
          <t>https://arxiv.org/abs/2407.17140</t>
        </is>
      </c>
      <c r="M29" s="6" t="inlineStr">
        <is>
          <t>https://github.com/WongKinYiu/yolov7</t>
        </is>
      </c>
    </row>
    <row r="30">
      <c r="A30" s="3" t="inlineStr">
        <is>
          <t>Real-Time OD</t>
        </is>
      </c>
      <c r="B30" s="3" t="inlineStr">
        <is>
          <t>RT-DETR-R101</t>
        </is>
      </c>
      <c r="C30" s="3" t="inlineStr">
        <is>
          <t>Zhao et al.</t>
        </is>
      </c>
      <c r="D30" s="3" t="inlineStr">
        <is>
          <t>CVPR</t>
        </is>
      </c>
      <c r="E30" s="3" t="inlineStr">
        <is>
          <t>2024-06</t>
        </is>
      </c>
      <c r="F30" s="3" t="inlineStr">
        <is>
          <t>Preprint</t>
        </is>
      </c>
      <c r="G30" s="3" t="n">
        <v>54.3</v>
      </c>
      <c r="H30" s="3" t="inlineStr">
        <is>
          <t>AP=54.3</t>
        </is>
      </c>
      <c r="I30" s="3" t="n"/>
      <c r="J30" s="3" t="n"/>
      <c r="K30" s="3" t="inlineStr">
        <is>
          <t>✅ 已驗證 (D-FINE Table 1, COCO val2017)：RT-DETR-R101 54.3% AP [Real-Time OD]</t>
        </is>
      </c>
      <c r="L30" s="6" t="inlineStr">
        <is>
          <t>https://arxiv.org/abs/2304.08069</t>
        </is>
      </c>
      <c r="M30" s="6" t="inlineStr">
        <is>
          <t>https://github.com/zhenyuw16/UniDetector</t>
        </is>
      </c>
    </row>
    <row r="31">
      <c r="A31" s="3" t="inlineStr">
        <is>
          <t>General OD</t>
        </is>
      </c>
      <c r="B31" s="3" t="inlineStr">
        <is>
          <t>Grounding DINO 1.5 Pro</t>
        </is>
      </c>
      <c r="C31" s="3" t="inlineStr">
        <is>
          <t>Ren et al.</t>
        </is>
      </c>
      <c r="D31" s="3" t="inlineStr">
        <is>
          <t>arXiv</t>
        </is>
      </c>
      <c r="E31" s="3" t="inlineStr">
        <is>
          <t>2024-05</t>
        </is>
      </c>
      <c r="F31" s="3" t="inlineStr">
        <is>
          <t>Preprint</t>
        </is>
      </c>
      <c r="G31" s="3" t="n">
        <v>54.3</v>
      </c>
      <c r="H31" s="3" t="inlineStr">
        <is>
          <t>AP=54.3</t>
        </is>
      </c>
      <c r="I31" s="3" t="n"/>
      <c r="J31" s="3" t="n"/>
      <c r="K31" s="3" t="inlineStr">
        <is>
          <t>✅ 已驗證 (Grounding DINO 1.5 Pro Table 1)：54.3 AP zero-shot COCO transfer (paper text "achieves a 54.3 AP, improving upon GD Swin-L by 1.8 AP") [Open-set OD]</t>
        </is>
      </c>
      <c r="L31" s="6" t="inlineStr">
        <is>
          <t>https://arxiv.org/abs/2405.10300</t>
        </is>
      </c>
      <c r="M31" s="6" t="inlineStr">
        <is>
          <t>https://github.com/open-mmlab/mmdetection</t>
        </is>
      </c>
    </row>
    <row r="32">
      <c r="A32" s="3" t="inlineStr">
        <is>
          <t>Real-Time OD</t>
        </is>
      </c>
      <c r="B32" s="3" t="inlineStr">
        <is>
          <t>D-FINE-L</t>
        </is>
      </c>
      <c r="C32" s="3" t="inlineStr">
        <is>
          <t>Peng et al.</t>
        </is>
      </c>
      <c r="D32" s="3" t="inlineStr">
        <is>
          <t>ICLR</t>
        </is>
      </c>
      <c r="E32" s="3" t="inlineStr">
        <is>
          <t>2025-04</t>
        </is>
      </c>
      <c r="F32" s="3" t="inlineStr">
        <is>
          <t>Preprint</t>
        </is>
      </c>
      <c r="G32" s="3" t="n">
        <v>54</v>
      </c>
      <c r="H32" s="3" t="inlineStr">
        <is>
          <t>AP=54.0</t>
        </is>
      </c>
      <c r="I32" s="3" t="n"/>
      <c r="J32" s="3" t="n"/>
      <c r="K32" s="3" t="inlineStr">
        <is>
          <t>✅ 已驗證 (D-FINE Table 1, COCO val2017)：D-FINE-L 54.0% AP [Real-Time OD]</t>
        </is>
      </c>
      <c r="L32" s="6" t="inlineStr">
        <is>
          <t>https://arxiv.org/abs/2410.13842</t>
        </is>
      </c>
      <c r="M32" s="6" t="inlineStr">
        <is>
          <t>https://github.com/tinyvision/damo-yolo</t>
        </is>
      </c>
    </row>
    <row r="33">
      <c r="A33" s="3" t="inlineStr">
        <is>
          <t>General OD</t>
        </is>
      </c>
      <c r="B33" s="3" t="inlineStr">
        <is>
          <t>MaxViT-XL Cascade</t>
        </is>
      </c>
      <c r="C33" s="3" t="inlineStr">
        <is>
          <t>Tu et al.</t>
        </is>
      </c>
      <c r="D33" s="3" t="inlineStr">
        <is>
          <t>ECCV</t>
        </is>
      </c>
      <c r="E33" s="3" t="inlineStr">
        <is>
          <t>2022-09</t>
        </is>
      </c>
      <c r="F33" s="3" t="inlineStr">
        <is>
          <t>Preprint</t>
        </is>
      </c>
      <c r="G33" s="3" t="n">
        <v>53.4</v>
      </c>
      <c r="H33" s="3" t="inlineStr">
        <is>
          <t>AP=53.4 | AP50=72.9 | AP75=58.1</t>
        </is>
      </c>
      <c r="I33" s="3" t="n"/>
      <c r="J33" s="3" t="n"/>
      <c r="K33" s="3" t="inlineStr">
        <is>
          <t>✅ verified+corrected (MaxViT ECCV22 arxiv 2204.01697 Table, Cascade Mask R-CNN, COCO val): box AP 53.4/AP50 72.9/AP75 58.1. 註：偵測用 MaxViT-B（非 XL；XL 僅分類）；原 45.7/70.3/50.0 為 mask 指標非 APS/APM/APL</t>
        </is>
      </c>
      <c r="L33" s="6" t="inlineStr">
        <is>
          <t>https://arxiv.org/abs/2204.01697</t>
        </is>
      </c>
      <c r="M33" s="6" t="inlineStr">
        <is>
          <t>https://github.com/facebookresearch/detectron2</t>
        </is>
      </c>
    </row>
    <row r="34">
      <c r="A34" s="3" t="inlineStr">
        <is>
          <t>Real-Time OD</t>
        </is>
      </c>
      <c r="B34" s="3" t="inlineStr">
        <is>
          <t>YOLOv7-X</t>
        </is>
      </c>
      <c r="C34" s="3" t="inlineStr">
        <is>
          <t>Wang et al.</t>
        </is>
      </c>
      <c r="D34" s="3" t="inlineStr">
        <is>
          <t>CVPR</t>
        </is>
      </c>
      <c r="E34" s="3" t="inlineStr">
        <is>
          <t>2023-06</t>
        </is>
      </c>
      <c r="F34" s="3" t="inlineStr">
        <is>
          <t>Preprint</t>
        </is>
      </c>
      <c r="G34" s="3" t="n">
        <v>52.9</v>
      </c>
      <c r="H34" s="3" t="inlineStr">
        <is>
          <t>AP=52.9</t>
        </is>
      </c>
      <c r="I34" s="3" t="n"/>
      <c r="J34" s="3" t="n"/>
      <c r="K34" s="3" t="inlineStr">
        <is>
          <t>✅ 已驗證 (D-FINE Table 1, COCO val2017)：YOLOv7-X 52.9% AP [Real-Time OD]</t>
        </is>
      </c>
      <c r="L34" s="6" t="inlineStr">
        <is>
          <t>https://arxiv.org/abs/2207.02696</t>
        </is>
      </c>
      <c r="M34" s="6" t="inlineStr">
        <is>
          <t>https://github.com/google-research/maxvit</t>
        </is>
      </c>
    </row>
    <row r="35">
      <c r="A35" s="3" t="inlineStr">
        <is>
          <t>Real-Time OD</t>
        </is>
      </c>
      <c r="B35" s="3" t="inlineStr">
        <is>
          <t>RTMDet-X</t>
        </is>
      </c>
      <c r="C35" s="3" t="inlineStr">
        <is>
          <t>Lyu et al.</t>
        </is>
      </c>
      <c r="D35" s="3" t="inlineStr">
        <is>
          <t>arXiv</t>
        </is>
      </c>
      <c r="E35" s="3" t="inlineStr">
        <is>
          <t>2022-12</t>
        </is>
      </c>
      <c r="F35" s="3" t="inlineStr">
        <is>
          <t>Preprint</t>
        </is>
      </c>
      <c r="G35" s="3" t="n">
        <v>52.8</v>
      </c>
      <c r="H35" s="3" t="inlineStr">
        <is>
          <t>AP=52.8</t>
        </is>
      </c>
      <c r="I35" s="3" t="n"/>
      <c r="J35" s="3" t="n"/>
      <c r="K35" s="3" t="inlineStr">
        <is>
          <t>✅ 已驗證 (D-FINE Table 1, COCO val2017)：RTMDet-X 52.8% AP [Real-Time OD]</t>
        </is>
      </c>
      <c r="L35" s="6" t="inlineStr">
        <is>
          <t>https://arxiv.org/abs/2212.07784</t>
        </is>
      </c>
      <c r="M35" s="6" t="inlineStr">
        <is>
          <t>https://github.com/meituan/YOLOv6</t>
        </is>
      </c>
    </row>
    <row r="36">
      <c r="A36" s="3" t="inlineStr">
        <is>
          <t>Real-Time OD</t>
        </is>
      </c>
      <c r="B36" s="3" t="inlineStr">
        <is>
          <t>YOLOv6-L</t>
        </is>
      </c>
      <c r="C36" s="3" t="inlineStr">
        <is>
          <t>Li et al.</t>
        </is>
      </c>
      <c r="D36" s="3" t="inlineStr">
        <is>
          <t>arXiv</t>
        </is>
      </c>
      <c r="E36" s="3" t="inlineStr">
        <is>
          <t>2022-09</t>
        </is>
      </c>
      <c r="F36" s="3" t="inlineStr">
        <is>
          <t>Preprint</t>
        </is>
      </c>
      <c r="G36" s="3" t="n">
        <v>52.8</v>
      </c>
      <c r="H36" s="3" t="inlineStr">
        <is>
          <t>AP=52.8</t>
        </is>
      </c>
      <c r="I36" s="3" t="n"/>
      <c r="J36" s="3" t="n"/>
      <c r="K36" s="3" t="inlineStr">
        <is>
          <t>✅ 已驗證 (D-FINE Table 1, COCO val2017)：YOLOv6-L 52.8% AP [Real-Time OD]</t>
        </is>
      </c>
      <c r="L36" s="6" t="inlineStr">
        <is>
          <t>https://arxiv.org/abs/2209.02976</t>
        </is>
      </c>
      <c r="M36" s="6" t="inlineStr">
        <is>
          <t>https://github.com/ZhangGongjie/Meta-DETR</t>
        </is>
      </c>
    </row>
    <row r="37">
      <c r="A37" s="3" t="inlineStr">
        <is>
          <t>Few-Shot OD</t>
        </is>
      </c>
      <c r="B37" s="3" t="inlineStr">
        <is>
          <t>Grounding DINO</t>
        </is>
      </c>
      <c r="C37" s="3" t="inlineStr">
        <is>
          <t>Liu et al.</t>
        </is>
      </c>
      <c r="D37" s="3" t="inlineStr">
        <is>
          <t>ECCV</t>
        </is>
      </c>
      <c r="E37" s="3" t="inlineStr">
        <is>
          <t>2024-10</t>
        </is>
      </c>
      <c r="F37" s="3" t="inlineStr">
        <is>
          <t>Preprint</t>
        </is>
      </c>
      <c r="G37" s="3" t="n">
        <v>52.5</v>
      </c>
      <c r="H37" s="3" t="inlineStr">
        <is>
          <t>AP=52.5</t>
        </is>
      </c>
      <c r="I37" s="3" t="n"/>
      <c r="J37" s="3" t="n"/>
      <c r="K37" s="3" t="inlineStr">
        <is>
          <t>✅ 已驗證 (Grounding DINO ECCV24 paper)：52.5 AP on COCO zero-shot transfer [Open-set OD]</t>
        </is>
      </c>
      <c r="L37" s="6" t="inlineStr">
        <is>
          <t>https://arxiv.org/abs/2303.05499</t>
        </is>
      </c>
      <c r="M37" s="6" t="inlineStr">
        <is>
          <t>https://github.com/PaddlePaddle/PaddleDetection</t>
        </is>
      </c>
    </row>
    <row r="38">
      <c r="A38" s="3" t="inlineStr">
        <is>
          <t>Real-Time OD</t>
        </is>
      </c>
      <c r="B38" s="3" t="inlineStr">
        <is>
          <t>YOLOX-X</t>
        </is>
      </c>
      <c r="C38" s="3" t="inlineStr">
        <is>
          <t>Ge et al.</t>
        </is>
      </c>
      <c r="D38" s="3" t="inlineStr">
        <is>
          <t>arXiv</t>
        </is>
      </c>
      <c r="E38" s="3" t="inlineStr">
        <is>
          <t>2021-08</t>
        </is>
      </c>
      <c r="F38" s="3" t="inlineStr">
        <is>
          <t>Preprint</t>
        </is>
      </c>
      <c r="G38" s="3" t="n">
        <v>51.2</v>
      </c>
      <c r="H38" s="3" t="inlineStr">
        <is>
          <t>AP=51.2</t>
        </is>
      </c>
      <c r="I38" s="3" t="n"/>
      <c r="J38" s="3" t="n"/>
      <c r="K38" s="3" t="inlineStr">
        <is>
          <t>✅ 已驗證 (YOLOX arXiv21 Table 3, COCO val)：YOLOX-X 51.2% AP, 99.1M params [Real-Time OD]</t>
        </is>
      </c>
      <c r="L38" s="6" t="inlineStr">
        <is>
          <t>https://arxiv.org/abs/2107.08430</t>
        </is>
      </c>
      <c r="M38" s="6" t="inlineStr">
        <is>
          <t>https://github.com/amirbar/DETReg</t>
        </is>
      </c>
    </row>
    <row r="39">
      <c r="A39" s="3" t="inlineStr">
        <is>
          <t>Real-Time OD</t>
        </is>
      </c>
      <c r="B39" s="3" t="inlineStr">
        <is>
          <t>DAMO-YOLO-l</t>
        </is>
      </c>
      <c r="C39" s="3" t="inlineStr">
        <is>
          <t>Xu et al.</t>
        </is>
      </c>
      <c r="D39" s="3" t="inlineStr">
        <is>
          <t>arXiv</t>
        </is>
      </c>
      <c r="E39" s="3" t="inlineStr">
        <is>
          <t>2022-12</t>
        </is>
      </c>
      <c r="F39" s="3" t="inlineStr">
        <is>
          <t>Preprint</t>
        </is>
      </c>
      <c r="G39" s="3" t="n">
        <v>50.8</v>
      </c>
      <c r="H39" s="3" t="inlineStr">
        <is>
          <t>AP=50.8</t>
        </is>
      </c>
      <c r="I39" s="3" t="n"/>
      <c r="J39" s="3" t="n"/>
      <c r="K39" s="3" t="inlineStr">
        <is>
          <t>✅ 已驗證 (DAMO-YOLO arXiv22 Table 1)：DAMO-YOLO-L 50.8% AP COCO test-dev, 42ms@T4 [Real-Time OD]</t>
        </is>
      </c>
      <c r="L39" s="6" t="inlineStr">
        <is>
          <t>https://arxiv.org/abs/2211.15444</t>
        </is>
      </c>
      <c r="M39" s="6" t="inlineStr">
        <is>
          <t>https://github.com/facebookresearch/ConvNeXt</t>
        </is>
      </c>
    </row>
    <row r="40">
      <c r="A40" s="3" t="inlineStr">
        <is>
          <t>Few-Shot OD</t>
        </is>
      </c>
      <c r="B40" s="3" t="inlineStr">
        <is>
          <t>UniFS (UniDetector)</t>
        </is>
      </c>
      <c r="C40" s="3" t="inlineStr">
        <is>
          <t>Wang et al.</t>
        </is>
      </c>
      <c r="D40" s="3" t="inlineStr">
        <is>
          <t>CVPR</t>
        </is>
      </c>
      <c r="E40" s="3" t="inlineStr">
        <is>
          <t>2023-06</t>
        </is>
      </c>
      <c r="F40" s="3" t="inlineStr">
        <is>
          <t>Preprint</t>
        </is>
      </c>
      <c r="G40" s="3" t="n">
        <v>49.3</v>
      </c>
      <c r="H40" s="3" t="inlineStr">
        <is>
          <t>AP=49.3</t>
        </is>
      </c>
      <c r="I40" s="3" t="n"/>
      <c r="J40" s="3" t="n"/>
      <c r="K40" s="3" t="inlineStr">
        <is>
          <t>✅ 已驗證 (UniDetector CVPR23 Table 2)：UniDetector ResNet-50 1× → 49.3 AP COCO val [Universal OD]</t>
        </is>
      </c>
      <c r="L40" s="6" t="inlineStr">
        <is>
          <t>https://arxiv.org/abs/2303.11749</t>
        </is>
      </c>
      <c r="M40" s="6" t="inlineStr">
        <is>
          <t>https://github.com/IDEA-Research/DN-DETR</t>
        </is>
      </c>
    </row>
    <row r="41">
      <c r="A41" s="3" t="inlineStr">
        <is>
          <t>Real-Time OD</t>
        </is>
      </c>
      <c r="B41" s="3" t="inlineStr">
        <is>
          <t>RF-DETR (Nano)</t>
        </is>
      </c>
      <c r="C41" s="3" t="inlineStr">
        <is>
          <t>Roboflow</t>
        </is>
      </c>
      <c r="D41" s="3" t="inlineStr">
        <is>
          <t>ICLR</t>
        </is>
      </c>
      <c r="E41" s="3" t="inlineStr">
        <is>
          <t>2026-04</t>
        </is>
      </c>
      <c r="F41" s="3" t="inlineStr">
        <is>
          <t>Preprint</t>
        </is>
      </c>
      <c r="G41" s="3" t="n">
        <v>48</v>
      </c>
      <c r="H41" s="3" t="inlineStr">
        <is>
          <t>AP=48.0</t>
        </is>
      </c>
      <c r="I41" s="3" t="n"/>
      <c r="J41" s="3" t="n"/>
      <c r="K41" s="3" t="inlineStr">
        <is>
          <t>✅ 已驗證 (RF-DETR arXiv25 abstract)：RF-DETR nano 48.0 AP COCO, beats D-FINE nano by 5.0 [End-to-end RT-OD]</t>
        </is>
      </c>
      <c r="L41" s="6" t="inlineStr">
        <is>
          <t>https://arxiv.org/abs/2511.09554</t>
        </is>
      </c>
      <c r="M41" s="6" t="inlineStr">
        <is>
          <t>https://github.com/IDEA-Research/DAB-DETR</t>
        </is>
      </c>
    </row>
    <row r="42">
      <c r="A42" s="3" t="inlineStr">
        <is>
          <t>General OD</t>
        </is>
      </c>
      <c r="B42" s="3" t="inlineStr">
        <is>
          <t>Deformable DETR (R50)</t>
        </is>
      </c>
      <c r="C42" s="3" t="inlineStr">
        <is>
          <t>Zhu et al.</t>
        </is>
      </c>
      <c r="D42" s="3" t="inlineStr">
        <is>
          <t>ICLR</t>
        </is>
      </c>
      <c r="E42" s="3" t="inlineStr">
        <is>
          <t>2021-05</t>
        </is>
      </c>
      <c r="F42" s="3" t="inlineStr">
        <is>
          <t>Preprint</t>
        </is>
      </c>
      <c r="G42" s="3" t="n">
        <v>46.9</v>
      </c>
      <c r="H42" s="3" t="inlineStr">
        <is>
          <t>AP=46.9</t>
        </is>
      </c>
      <c r="I42" s="3" t="n"/>
      <c r="J42" s="3" t="n"/>
      <c r="K42" s="3" t="inlineStr">
        <is>
          <t>✅ 已驗證 (Deformable DETR ICLR21 Table 3)：R50 backbone, 46.9% AP, end-to-end transformer detector [DETR-based]</t>
        </is>
      </c>
      <c r="L42" s="6" t="inlineStr">
        <is>
          <t>https://arxiv.org/abs/2010.04159</t>
        </is>
      </c>
      <c r="M42" s="6" t="inlineStr">
        <is>
          <t>https://github.com/er-muyue/DeFRCN</t>
        </is>
      </c>
    </row>
    <row r="43">
      <c r="A43" s="3" t="inlineStr">
        <is>
          <t>General OD</t>
        </is>
      </c>
      <c r="B43" s="3" t="inlineStr">
        <is>
          <t>DAB-DETR</t>
        </is>
      </c>
      <c r="C43" s="3" t="inlineStr">
        <is>
          <t>Liu et al.</t>
        </is>
      </c>
      <c r="D43" s="3" t="inlineStr">
        <is>
          <t>ICLR</t>
        </is>
      </c>
      <c r="E43" s="3" t="inlineStr">
        <is>
          <t>2022-03</t>
        </is>
      </c>
      <c r="F43" s="3" t="inlineStr">
        <is>
          <t>Preprint</t>
        </is>
      </c>
      <c r="G43" s="3" t="n">
        <v>46.8</v>
      </c>
      <c r="H43" s="3" t="inlineStr">
        <is>
          <t>AP=46.8</t>
        </is>
      </c>
      <c r="I43" s="3" t="n"/>
      <c r="J43" s="3" t="n"/>
      <c r="K43" s="3" t="inlineStr">
        <is>
          <t>✅ 已驗證 (DAB-DETR ICLR22 Table 2)：DAB-Deformable-DETR-R50 46.8% AP COCO val (50 epochs) [DETR variant]</t>
        </is>
      </c>
      <c r="L43" s="6" t="inlineStr">
        <is>
          <t>https://arxiv.org/abs/2201.12329</t>
        </is>
      </c>
      <c r="M43" s="6" t="inlineStr">
        <is>
          <t>https://github.com/microsoft/Swin-Transformer</t>
        </is>
      </c>
    </row>
    <row r="44">
      <c r="A44" s="3" t="inlineStr">
        <is>
          <t>Few-Shot OD</t>
        </is>
      </c>
      <c r="B44" s="3" t="inlineStr">
        <is>
          <t>DETReg</t>
        </is>
      </c>
      <c r="C44" s="3" t="inlineStr">
        <is>
          <t>Bar et al.</t>
        </is>
      </c>
      <c r="D44" s="3" t="inlineStr">
        <is>
          <t>CVPR</t>
        </is>
      </c>
      <c r="E44" s="3" t="inlineStr">
        <is>
          <t>2022-06</t>
        </is>
      </c>
      <c r="F44" s="3" t="inlineStr">
        <is>
          <t>Preprint</t>
        </is>
      </c>
      <c r="G44" s="3" t="n">
        <v>45.5</v>
      </c>
      <c r="H44" s="3" t="inlineStr">
        <is>
          <t>AP=45.5</t>
        </is>
      </c>
      <c r="I44" s="3" t="n"/>
      <c r="J44" s="3" t="n"/>
      <c r="K44" s="3" t="inlineStr">
        <is>
          <t>✅ 已驗證 (DETReg CVPR22 Table 1)：DETReg 45.5 AP COCO val under semi-supervised fine-tuning [Self-supervised pre-train OD]</t>
        </is>
      </c>
      <c r="L44" s="6" t="inlineStr">
        <is>
          <t>https://arxiv.org/abs/2106.04550</t>
        </is>
      </c>
      <c r="M44" s="6" t="inlineStr">
        <is>
          <t>https://github.com/Megvii-BaseDetection/YOLOX</t>
        </is>
      </c>
    </row>
    <row r="45">
      <c r="A45" s="3" t="inlineStr">
        <is>
          <t>General OD</t>
        </is>
      </c>
      <c r="B45" s="3" t="inlineStr">
        <is>
          <t>Brain-Inspired Spiking Neural Networks for Energy-Efficient</t>
        </is>
      </c>
      <c r="C45" s="3" t="inlineStr">
        <is>
          <t>—</t>
        </is>
      </c>
      <c r="D45" s="3" t="inlineStr">
        <is>
          <t>CVPR 2025</t>
        </is>
      </c>
      <c r="E45" s="3" t="inlineStr">
        <is>
          <t>2025-06</t>
        </is>
      </c>
      <c r="F45" s="3" t="inlineStr">
        <is>
          <t>Preprint</t>
        </is>
      </c>
      <c r="G45" s="3" t="n">
        <v>45.3</v>
      </c>
      <c r="H45" s="3" t="inlineStr">
        <is>
          <t>AP=45.3 | AP50=62.0</t>
        </is>
      </c>
      <c r="I45" s="3" t="n"/>
      <c r="J45" s="3" t="n"/>
      <c r="K45" s="3" t="inlineStr">
        <is>
          <t>✅ verified (Brain-Inspired Spiking NN CVPR25 CVF PDF): COCO val mAP@0.5:0.95=45.3 / mAP@50=62.0。註：脈衝神經網路 (SNN) 節能設定，與標準 ANN 偵測器非完全可比</t>
        </is>
      </c>
      <c r="L45" s="6" t="inlineStr">
        <is>
          <t>https://openaccess.thecvf.com/content/CVPR2025/html/Li_Brain-Inspired_Spiking_Neural_Networks_for_Energy-Efficient_Object_Detection_CVPR_2025_paper.html</t>
        </is>
      </c>
      <c r="M45" s="6" t="inlineStr">
        <is>
          <t>https://github.com/megvii-research/FSCE</t>
        </is>
      </c>
    </row>
    <row r="46">
      <c r="A46" s="3" t="inlineStr">
        <is>
          <t>General OD</t>
        </is>
      </c>
      <c r="B46" s="3" t="inlineStr">
        <is>
          <t>Sparse R-CNN (R101)</t>
        </is>
      </c>
      <c r="C46" s="3" t="inlineStr">
        <is>
          <t>Sun et al.</t>
        </is>
      </c>
      <c r="D46" s="3" t="inlineStr">
        <is>
          <t>CVPR</t>
        </is>
      </c>
      <c r="E46" s="3" t="inlineStr">
        <is>
          <t>2021-01</t>
        </is>
      </c>
      <c r="F46" s="3" t="inlineStr">
        <is>
          <t>Preprint</t>
        </is>
      </c>
      <c r="G46" s="3" t="n">
        <v>44.1</v>
      </c>
      <c r="H46" s="3" t="inlineStr">
        <is>
          <t>AP=44.1</t>
        </is>
      </c>
      <c r="I46" s="3" t="n"/>
      <c r="J46" s="3" t="n"/>
      <c r="K46" s="3" t="inlineStr">
        <is>
          <t>✅ 已驗證 (Sparse R-CNN CVPR21 Table 1)：R101-FPN 44.1% AP [Sparse Query OD]</t>
        </is>
      </c>
      <c r="L46" s="6" t="inlineStr">
        <is>
          <t>https://arxiv.org/abs/2011.12450</t>
        </is>
      </c>
      <c r="M46" s="6" t="inlineStr">
        <is>
          <t>https://github.com/fundamentalvision/Deformable-DETR</t>
        </is>
      </c>
    </row>
    <row r="47">
      <c r="A47" s="3" t="inlineStr">
        <is>
          <t>General OD</t>
        </is>
      </c>
      <c r="B47" s="3" t="inlineStr">
        <is>
          <t>DETR (R101)</t>
        </is>
      </c>
      <c r="C47" s="3" t="inlineStr">
        <is>
          <t>Carion et al.</t>
        </is>
      </c>
      <c r="D47" s="3" t="inlineStr">
        <is>
          <t>ECCV</t>
        </is>
      </c>
      <c r="E47" s="3" t="inlineStr">
        <is>
          <t>2020-09</t>
        </is>
      </c>
      <c r="F47" s="3" t="inlineStr">
        <is>
          <t>Preprint</t>
        </is>
      </c>
      <c r="G47" s="3" t="n">
        <v>43.5</v>
      </c>
      <c r="H47" s="3" t="inlineStr">
        <is>
          <t>AP=43.5</t>
        </is>
      </c>
      <c r="I47" s="3" t="n"/>
      <c r="J47" s="3" t="n"/>
      <c r="K47" s="3" t="inlineStr">
        <is>
          <t>✅ 已驗證 (DETR ECCV20 Table 1)：DETR-R101 43.5% AP on COCO 2017 val [DETR-based OD]</t>
        </is>
      </c>
      <c r="L47" s="6" t="inlineStr">
        <is>
          <t>https://arxiv.org/abs/2005.12872</t>
        </is>
      </c>
      <c r="M47" s="6" t="inlineStr">
        <is>
          <t>https://github.com/PeizeSun/SparseR-CNN</t>
        </is>
      </c>
    </row>
    <row r="48">
      <c r="A48" s="3" t="inlineStr">
        <is>
          <t>General OD</t>
        </is>
      </c>
      <c r="B48" s="3" t="inlineStr">
        <is>
          <t>DN-DETR</t>
        </is>
      </c>
      <c r="C48" s="3" t="inlineStr">
        <is>
          <t>Li et al.</t>
        </is>
      </c>
      <c r="D48" s="3" t="inlineStr">
        <is>
          <t>CVPR</t>
        </is>
      </c>
      <c r="E48" s="3" t="inlineStr">
        <is>
          <t>2022-03</t>
        </is>
      </c>
      <c r="F48" s="3" t="inlineStr">
        <is>
          <t>Preprint</t>
        </is>
      </c>
      <c r="G48" s="3" t="n">
        <v>43.4</v>
      </c>
      <c r="H48" s="3" t="inlineStr">
        <is>
          <t>AP=43.4</t>
        </is>
      </c>
      <c r="I48" s="3" t="n"/>
      <c r="J48" s="3" t="n"/>
      <c r="K48" s="3" t="inlineStr">
        <is>
          <t>✅ 已驗證 (DN-DETR CVPR22 Table 1)：DN-Deformable-DETR-R50 43.4% AP COCO val (12 epochs) [DETR denoising training]</t>
        </is>
      </c>
      <c r="L48" s="6" t="inlineStr">
        <is>
          <t>https://arxiv.org/abs/2203.01305</t>
        </is>
      </c>
      <c r="M48" s="6" t="inlineStr">
        <is>
          <t>https://github.com/facebookresearch/detr</t>
        </is>
      </c>
    </row>
    <row r="49">
      <c r="A49" s="3" t="inlineStr">
        <is>
          <t>General OD</t>
        </is>
      </c>
      <c r="B49" s="3" t="inlineStr">
        <is>
          <t>Cascade R-CNN (R101-FPN)</t>
        </is>
      </c>
      <c r="C49" s="3" t="inlineStr">
        <is>
          <t>Cai &amp; Vasconcelos</t>
        </is>
      </c>
      <c r="D49" s="3" t="inlineStr">
        <is>
          <t>CVPR</t>
        </is>
      </c>
      <c r="E49" s="3" t="inlineStr">
        <is>
          <t>2018-06</t>
        </is>
      </c>
      <c r="F49" s="3" t="inlineStr">
        <is>
          <t>Preprint</t>
        </is>
      </c>
      <c r="G49" s="3" t="n">
        <v>42.8</v>
      </c>
      <c r="H49" s="3" t="inlineStr">
        <is>
          <t>AP=42.8</t>
        </is>
      </c>
      <c r="I49" s="3" t="n"/>
      <c r="J49" s="3" t="n"/>
      <c r="K49" s="3" t="inlineStr">
        <is>
          <t>✅ 已驗證 (Cascade R-CNN CVPR18 Table 5)：ResNet-101 42.8% AP [Two-Stage Cascade OD]</t>
        </is>
      </c>
      <c r="L49" s="6" t="inlineStr">
        <is>
          <t>https://arxiv.org/abs/1712.00726</t>
        </is>
      </c>
      <c r="M49" s="6" t="inlineStr">
        <is>
          <t>https://github.com/jiaxi-wu/MPSR</t>
        </is>
      </c>
    </row>
    <row r="50">
      <c r="A50" s="3" t="inlineStr">
        <is>
          <t>General OD</t>
        </is>
      </c>
      <c r="B50" s="3" t="inlineStr">
        <is>
          <t>CenterNet</t>
        </is>
      </c>
      <c r="C50" s="3" t="inlineStr">
        <is>
          <t>Zhou et al.</t>
        </is>
      </c>
      <c r="D50" s="3" t="inlineStr">
        <is>
          <t>arXiv</t>
        </is>
      </c>
      <c r="E50" s="3" t="inlineStr">
        <is>
          <t>2019-04</t>
        </is>
      </c>
      <c r="F50" s="3" t="inlineStr">
        <is>
          <t>Preprint</t>
        </is>
      </c>
      <c r="G50" s="3" t="n">
        <v>42.1</v>
      </c>
      <c r="H50" s="3" t="inlineStr">
        <is>
          <t>AP=42.1</t>
        </is>
      </c>
      <c r="I50" s="3" t="n"/>
      <c r="J50" s="3" t="n"/>
      <c r="K50" s="3" t="inlineStr">
        <is>
          <t>✅ 已驗證 (CenterNet ICCV19 Table 2)：Hourglass-104 42.1% AP [Anchor-free OD]</t>
        </is>
      </c>
      <c r="L50" s="6" t="inlineStr">
        <is>
          <t>https://arxiv.org/abs/1904.07850</t>
        </is>
      </c>
      <c r="M50" s="6" t="inlineStr">
        <is>
          <t>https://github.com/ucbdrive/few-shot-object-detection</t>
        </is>
      </c>
    </row>
    <row r="51">
      <c r="A51" s="3" t="inlineStr">
        <is>
          <t>General OD</t>
        </is>
      </c>
      <c r="B51" s="3" t="inlineStr">
        <is>
          <t>FCOS (R101)</t>
        </is>
      </c>
      <c r="C51" s="3" t="inlineStr">
        <is>
          <t>Tian et al.</t>
        </is>
      </c>
      <c r="D51" s="3" t="inlineStr">
        <is>
          <t>ICCV</t>
        </is>
      </c>
      <c r="E51" s="3" t="inlineStr">
        <is>
          <t>2019-04</t>
        </is>
      </c>
      <c r="F51" s="3" t="inlineStr">
        <is>
          <t>Preprint</t>
        </is>
      </c>
      <c r="G51" s="3" t="n">
        <v>41.5</v>
      </c>
      <c r="H51" s="3" t="inlineStr">
        <is>
          <t>AP=41.5</t>
        </is>
      </c>
      <c r="I51" s="3" t="n"/>
      <c r="J51" s="3" t="n"/>
      <c r="K51" s="3" t="inlineStr">
        <is>
          <t>✅ 已驗證 (FCOS ICCV19 Table 4)：FCOS ResNet-101-FPN 41.5 AP COCO test-dev [Anchor-free OD]</t>
        </is>
      </c>
      <c r="L51" s="6" t="inlineStr">
        <is>
          <t>https://arxiv.org/abs/1904.01355</t>
        </is>
      </c>
      <c r="M51" s="6" t="inlineStr">
        <is>
          <t>https://github.com/google/automl/tree/master/efficientdet</t>
        </is>
      </c>
    </row>
    <row r="52">
      <c r="A52" s="3" t="inlineStr">
        <is>
          <t>General OD</t>
        </is>
      </c>
      <c r="B52" s="3" t="inlineStr">
        <is>
          <t>Faster R-CNN (R50-FPN)</t>
        </is>
      </c>
      <c r="C52" s="3" t="inlineStr">
        <is>
          <t>Ren et al.</t>
        </is>
      </c>
      <c r="D52" s="3" t="inlineStr">
        <is>
          <t>NeurIPS</t>
        </is>
      </c>
      <c r="E52" s="3" t="inlineStr">
        <is>
          <t>2015-06</t>
        </is>
      </c>
      <c r="F52" s="3" t="inlineStr">
        <is>
          <t>Preprint</t>
        </is>
      </c>
      <c r="G52" s="3" t="n">
        <v>40.2</v>
      </c>
      <c r="H52" s="3" t="inlineStr">
        <is>
          <t>AP=40.2</t>
        </is>
      </c>
      <c r="I52" s="3" t="n"/>
      <c r="J52" s="3" t="n"/>
      <c r="K52" s="3" t="inlineStr">
        <is>
          <t>✅ 已驗證 (DETR Table 1 cites Detectron2 baseline)：Faster R-CNN R50-FPN 40.2% AP on COCO 2017 val [Two-Stage OD baseline]</t>
        </is>
      </c>
      <c r="L52" s="6" t="inlineStr">
        <is>
          <t>https://arxiv.org/abs/1506.01497</t>
        </is>
      </c>
      <c r="M52" s="6" t="inlineStr">
        <is>
          <t>https://github.com/yanxp/MetaR-CNN</t>
        </is>
      </c>
    </row>
    <row r="53">
      <c r="A53" s="3" t="inlineStr">
        <is>
          <t>General OD</t>
        </is>
      </c>
      <c r="B53" s="3" t="inlineStr">
        <is>
          <t>RetinaNet (R101)</t>
        </is>
      </c>
      <c r="C53" s="3" t="inlineStr">
        <is>
          <t>Lin et al.</t>
        </is>
      </c>
      <c r="D53" s="3" t="inlineStr">
        <is>
          <t>ICCV</t>
        </is>
      </c>
      <c r="E53" s="3" t="inlineStr">
        <is>
          <t>2017-10</t>
        </is>
      </c>
      <c r="F53" s="3" t="inlineStr">
        <is>
          <t>Preprint</t>
        </is>
      </c>
      <c r="G53" s="3" t="n">
        <v>39.1</v>
      </c>
      <c r="H53" s="3" t="inlineStr">
        <is>
          <t>AP=39.1</t>
        </is>
      </c>
      <c r="I53" s="3" t="n"/>
      <c r="J53" s="3" t="n"/>
      <c r="K53" s="3" t="inlineStr">
        <is>
          <t>✅ 已驗證 (RetinaNet ICCV17 Table 2)：ResNet-101-FPN 39.1% AP [Focal Loss OD]</t>
        </is>
      </c>
      <c r="L53" s="6" t="inlineStr">
        <is>
          <t>https://arxiv.org/abs/1708.02002</t>
        </is>
      </c>
      <c r="M53" s="6" t="inlineStr">
        <is>
          <t>https://github.com/bingykang/Fewshot_Detection</t>
        </is>
      </c>
    </row>
    <row r="54">
      <c r="A54" s="3" t="inlineStr">
        <is>
          <t>General OD</t>
        </is>
      </c>
      <c r="B54" s="3" t="inlineStr">
        <is>
          <t>Mask R-CNN (R50-FPN)</t>
        </is>
      </c>
      <c r="C54" s="3" t="inlineStr">
        <is>
          <t>He et al.</t>
        </is>
      </c>
      <c r="D54" s="3" t="inlineStr">
        <is>
          <t>ICCV</t>
        </is>
      </c>
      <c r="E54" s="3" t="inlineStr">
        <is>
          <t>2017-10</t>
        </is>
      </c>
      <c r="F54" s="3" t="inlineStr">
        <is>
          <t>Preprint</t>
        </is>
      </c>
      <c r="G54" s="3" t="n">
        <v>38.6</v>
      </c>
      <c r="H54" s="3" t="inlineStr">
        <is>
          <t>AP=38.6</t>
        </is>
      </c>
      <c r="I54" s="3" t="n"/>
      <c r="J54" s="3" t="n"/>
      <c r="K54" s="3" t="inlineStr">
        <is>
          <t>✅ 已驗證 (Mask R-CNN paper Table 3 + Detectron2 model zoo)：Mask R-CNN R50-FPN ~38.6 box AP COCO val (R101 paper Table 3: 38.2 test-dev box)</t>
        </is>
      </c>
      <c r="L54" s="6" t="inlineStr">
        <is>
          <t>https://arxiv.org/abs/1703.06870</t>
        </is>
      </c>
      <c r="M54" s="6" t="inlineStr">
        <is>
          <t>https://github.com/xingyizhou/CenterNet</t>
        </is>
      </c>
    </row>
    <row r="55">
      <c r="A55" s="3" t="inlineStr">
        <is>
          <t>Real-Time OD</t>
        </is>
      </c>
      <c r="B55" s="3" t="inlineStr">
        <is>
          <t>Generalist YOLO</t>
        </is>
      </c>
      <c r="C55" s="3" t="inlineStr">
        <is>
          <t>—</t>
        </is>
      </c>
      <c r="D55" s="3" t="inlineStr">
        <is>
          <t>WACV 2025</t>
        </is>
      </c>
      <c r="E55" s="3" t="inlineStr">
        <is>
          <t>2025-01</t>
        </is>
      </c>
      <c r="F55" s="3" t="inlineStr">
        <is>
          <t>✅ Standard verified</t>
        </is>
      </c>
      <c r="G55" s="3" t="n">
        <v>52.4</v>
      </c>
      <c r="H55" s="3" t="inlineStr">
        <is>
          <t>AP_box=52.4 | AP_mask=43.0 | sem_mIoU=52.0 | cap_B@4=38.7</t>
        </is>
      </c>
      <c r="I55" s="3" t="n"/>
      <c r="J55" s="3" t="n"/>
      <c r="K55" s="3" t="inlineStr">
        <is>
          <t>✅ Standard verified (WACV25 Table1, visual read): multi-task generalist, COCO closed-set AP_box=52.4 (32.5M, from scratch)</t>
        </is>
      </c>
      <c r="L55" s="6" t="inlineStr">
        <is>
          <t>https://openaccess.thecvf.com/content/WACV2025/html/Chang_Generalist_YOLO_Towards_Real-Time_End-to-End_Multi-Task_Visual_Language_Models_WACV_2025_paper.html</t>
        </is>
      </c>
      <c r="M55" s="6"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M7" r:id="rId11"/>
    <hyperlink xmlns:r="http://schemas.openxmlformats.org/officeDocument/2006/relationships" ref="M8" r:id="rId12"/>
    <hyperlink xmlns:r="http://schemas.openxmlformats.org/officeDocument/2006/relationships" ref="M9" r:id="rId13"/>
    <hyperlink xmlns:r="http://schemas.openxmlformats.org/officeDocument/2006/relationships" ref="M10" r:id="rId14"/>
    <hyperlink xmlns:r="http://schemas.openxmlformats.org/officeDocument/2006/relationships" ref="M11" r:id="rId15"/>
    <hyperlink xmlns:r="http://schemas.openxmlformats.org/officeDocument/2006/relationships" ref="L12" r:id="rId16"/>
    <hyperlink xmlns:r="http://schemas.openxmlformats.org/officeDocument/2006/relationships" ref="M12" r:id="rId17"/>
    <hyperlink xmlns:r="http://schemas.openxmlformats.org/officeDocument/2006/relationships" ref="L13" r:id="rId18"/>
    <hyperlink xmlns:r="http://schemas.openxmlformats.org/officeDocument/2006/relationships" ref="M13" r:id="rId19"/>
    <hyperlink xmlns:r="http://schemas.openxmlformats.org/officeDocument/2006/relationships" ref="L14" r:id="rId20"/>
    <hyperlink xmlns:r="http://schemas.openxmlformats.org/officeDocument/2006/relationships" ref="L17" r:id="rId21"/>
    <hyperlink xmlns:r="http://schemas.openxmlformats.org/officeDocument/2006/relationships" ref="L18" r:id="rId22"/>
    <hyperlink xmlns:r="http://schemas.openxmlformats.org/officeDocument/2006/relationships" ref="L19" r:id="rId23"/>
    <hyperlink xmlns:r="http://schemas.openxmlformats.org/officeDocument/2006/relationships" ref="L23" r:id="rId2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12"/>
  <sheetViews>
    <sheetView workbookViewId="0">
      <pane ySplit="1" topLeftCell="A6"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DINO (Swin-L)</t>
        </is>
      </c>
      <c r="C2" s="2" t="inlineStr">
        <is>
          <t>Zhang et al.</t>
        </is>
      </c>
      <c r="D2" s="2" t="inlineStr">
        <is>
          <t>ICLR</t>
        </is>
      </c>
      <c r="E2" s="2" t="inlineStr">
        <is>
          <t>2023-03</t>
        </is>
      </c>
      <c r="F2" s="2" t="inlineStr">
        <is>
          <t>Published</t>
        </is>
      </c>
      <c r="G2" s="2" t="n">
        <v>42.1</v>
      </c>
      <c r="H2" s="2" t="inlineStr">
        <is>
          <t>AP=42.1</t>
        </is>
      </c>
      <c r="I2" s="2" t="inlineStr">
        <is>
          <t>N/A</t>
        </is>
      </c>
      <c r="J2" s="2" t="inlineStr">
        <is>
          <t>218M</t>
        </is>
      </c>
      <c r="K2" s="2" t="inlineStr">
        <is>
          <t>✅ 已驗證 (COCO-O ICCV23 Table 7)：DINO Swin-L COCO-O mAP=42.1 (COCO mAP=58.5, +15.76 robustness)</t>
        </is>
      </c>
      <c r="L2" s="9" t="inlineStr">
        <is>
          <t>https://arxiv.org/abs/2203.03605</t>
        </is>
      </c>
      <c r="M2" s="9" t="inlineStr">
        <is>
          <t>https://github.com/alibaba/easyrobust</t>
        </is>
      </c>
    </row>
    <row r="3" ht="48" customHeight="1">
      <c r="A3" s="2" t="inlineStr">
        <is>
          <t>General OD</t>
        </is>
      </c>
      <c r="B3" s="2" t="inlineStr">
        <is>
          <t>DyHead</t>
        </is>
      </c>
      <c r="C3" s="2" t="inlineStr">
        <is>
          <t>Mao et al.</t>
        </is>
      </c>
      <c r="D3" s="2" t="inlineStr">
        <is>
          <t>ICCV</t>
        </is>
      </c>
      <c r="E3" s="2" t="inlineStr">
        <is>
          <t>2023-08</t>
        </is>
      </c>
      <c r="F3" s="2" t="inlineStr">
        <is>
          <t>Published</t>
        </is>
      </c>
      <c r="G3" s="2" t="n">
        <v>37.3</v>
      </c>
      <c r="H3" s="2" t="inlineStr">
        <is>
          <t>AP=37.3</t>
        </is>
      </c>
      <c r="I3" s="2" t="inlineStr">
        <is>
          <t>N/A</t>
        </is>
      </c>
      <c r="J3" s="2" t="inlineStr">
        <is>
          <t>≈55M</t>
        </is>
      </c>
      <c r="K3" s="2" t="inlineStr">
        <is>
          <t>✅ verified (COCO-O ICCV23 arxiv 2307.12730 Table — benchmark paper): 37.3 mAP on COCO-O OOD benchmark (DyHead detector)</t>
        </is>
      </c>
      <c r="L3" s="9" t="inlineStr">
        <is>
          <t>https://arxiv.org/abs/2307.12730</t>
        </is>
      </c>
      <c r="M3" s="9" t="inlineStr">
        <is>
          <t>https://github.com/alibaba/easyrobust</t>
        </is>
      </c>
    </row>
    <row r="4" ht="48" customHeight="1">
      <c r="A4" s="2" t="inlineStr">
        <is>
          <t>General OD</t>
        </is>
      </c>
      <c r="B4" s="2" t="inlineStr">
        <is>
          <t>ViTDet (ViT-L)</t>
        </is>
      </c>
      <c r="C4" s="2" t="inlineStr">
        <is>
          <t>Mao et al.</t>
        </is>
      </c>
      <c r="D4" s="2" t="inlineStr">
        <is>
          <t>ICCV</t>
        </is>
      </c>
      <c r="E4" s="2" t="inlineStr">
        <is>
          <t>2023-08</t>
        </is>
      </c>
      <c r="F4" s="2" t="inlineStr">
        <is>
          <t>Published</t>
        </is>
      </c>
      <c r="G4" s="2" t="n">
        <v>36.9</v>
      </c>
      <c r="H4" s="2" t="inlineStr">
        <is>
          <t>AP=36.9</t>
        </is>
      </c>
      <c r="I4" s="2" t="inlineStr">
        <is>
          <t>N/A</t>
        </is>
      </c>
      <c r="J4" s="2" t="inlineStr">
        <is>
          <t>≈300M</t>
        </is>
      </c>
      <c r="K4" s="2" t="inlineStr">
        <is>
          <t>✅ verified (COCO-O ICCV23 arxiv 2307.12730 — benchmark paper): 36.9 mAP on COCO-O OOD benchmark (ViTDet ViT-L)</t>
        </is>
      </c>
      <c r="L4" s="9" t="inlineStr">
        <is>
          <t>https://arxiv.org/abs/2307.12730</t>
        </is>
      </c>
      <c r="M4" s="9" t="inlineStr">
        <is>
          <t>https://github.com/alibaba/easyrobust</t>
        </is>
      </c>
    </row>
    <row r="5" ht="48" customHeight="1">
      <c r="A5" s="2" t="inlineStr">
        <is>
          <t>General OD</t>
        </is>
      </c>
      <c r="B5" s="2" t="inlineStr">
        <is>
          <t>Cascade R-CNN</t>
        </is>
      </c>
      <c r="C5" s="2" t="inlineStr">
        <is>
          <t>Mao et al.</t>
        </is>
      </c>
      <c r="D5" s="2" t="inlineStr">
        <is>
          <t>ICCV</t>
        </is>
      </c>
      <c r="E5" s="2" t="inlineStr">
        <is>
          <t>2023-08</t>
        </is>
      </c>
      <c r="F5" s="2" t="inlineStr">
        <is>
          <t>Published</t>
        </is>
      </c>
      <c r="G5" s="2" t="n">
        <v>26.4</v>
      </c>
      <c r="H5" s="2" t="inlineStr">
        <is>
          <t>AP=26.4</t>
        </is>
      </c>
      <c r="I5" s="2" t="inlineStr">
        <is>
          <t>N/A</t>
        </is>
      </c>
      <c r="J5" s="2" t="inlineStr">
        <is>
          <t>88M</t>
        </is>
      </c>
      <c r="K5" s="2" t="inlineStr">
        <is>
          <t>✅ verified (COCO-O ICCV23 arxiv 2307.12730 — benchmark paper): 26.4 mAP on COCO-O OOD benchmark (Cascade R-CNN)</t>
        </is>
      </c>
      <c r="L5" s="9" t="inlineStr">
        <is>
          <t>https://arxiv.org/abs/2307.12730</t>
        </is>
      </c>
      <c r="M5" s="9" t="inlineStr">
        <is>
          <t>https://github.com/alibaba/easyrobust</t>
        </is>
      </c>
    </row>
    <row r="6" ht="48" customHeight="1">
      <c r="A6" s="2" t="inlineStr">
        <is>
          <t>General OD</t>
        </is>
      </c>
      <c r="B6" s="2" t="inlineStr">
        <is>
          <t>Faster R-CNN baseline</t>
        </is>
      </c>
      <c r="C6" s="2" t="inlineStr">
        <is>
          <t>Mao et al.</t>
        </is>
      </c>
      <c r="D6" s="2" t="inlineStr">
        <is>
          <t>ICCV</t>
        </is>
      </c>
      <c r="E6" s="2" t="inlineStr">
        <is>
          <t>2023-08</t>
        </is>
      </c>
      <c r="F6" s="2" t="inlineStr">
        <is>
          <t>Published</t>
        </is>
      </c>
      <c r="G6" s="2" t="n">
        <v>21.5</v>
      </c>
      <c r="H6" s="2" t="inlineStr">
        <is>
          <t>AP=21.5</t>
        </is>
      </c>
      <c r="I6" s="2" t="inlineStr">
        <is>
          <t>N/A</t>
        </is>
      </c>
      <c r="J6" s="2" t="inlineStr">
        <is>
          <t>42M</t>
        </is>
      </c>
      <c r="K6" s="2" t="inlineStr">
        <is>
          <t>✅ verified (COCO-O ICCV23 arxiv 2307.12730 — benchmark paper): 21.5 mAP on COCO-O OOD benchmark (Faster R-CNN baseline)</t>
        </is>
      </c>
      <c r="L6" s="9" t="inlineStr">
        <is>
          <t>https://arxiv.org/abs/2307.12730</t>
        </is>
      </c>
      <c r="M6" s="9" t="inlineStr">
        <is>
          <t>https://github.com/OpenGVLab/InternImage</t>
        </is>
      </c>
    </row>
    <row r="7" ht="48" customHeight="1">
      <c r="A7" s="2" t="inlineStr">
        <is>
          <t>General OD</t>
        </is>
      </c>
      <c r="B7" s="2" t="inlineStr">
        <is>
          <t>InternImage-H</t>
        </is>
      </c>
      <c r="C7" s="2" t="inlineStr">
        <is>
          <t>Wang et al.</t>
        </is>
      </c>
      <c r="D7" s="2" t="inlineStr">
        <is>
          <t>CVPR</t>
        </is>
      </c>
      <c r="E7" s="2" t="inlineStr">
        <is>
          <t>2023-06</t>
        </is>
      </c>
      <c r="F7" s="2" t="inlineStr">
        <is>
          <t>Published</t>
        </is>
      </c>
      <c r="G7" s="2" t="n"/>
      <c r="H7" s="2" t="n"/>
      <c r="I7" s="2" t="inlineStr">
        <is>
          <t>N/A</t>
        </is>
      </c>
      <c r="J7" s="2" t="inlineStr">
        <is>
          <t>≈1.08B</t>
        </is>
      </c>
      <c r="K7" s="2" t="inlineStr">
        <is>
          <t>⚠️ InternImage-H: COCO-O benchmark paper (arxiv 2307.12730) 未測試此方法（0 次提及）；查無可驗證的 COCO-O AP — 此 robustness benchmark 多數現代 SOTA 未評估</t>
        </is>
      </c>
      <c r="L7" s="9" t="inlineStr">
        <is>
          <t>https://arxiv.org/abs/2211.05778</t>
        </is>
      </c>
      <c r="M7" s="9" t="inlineStr">
        <is>
          <t>https://github.com/baaivision/EVA</t>
        </is>
      </c>
    </row>
    <row r="8" ht="48" customHeight="1">
      <c r="A8" s="2" t="inlineStr">
        <is>
          <t>General OD</t>
        </is>
      </c>
      <c r="B8" s="2" t="inlineStr">
        <is>
          <t>EVA-02-Det</t>
        </is>
      </c>
      <c r="C8" s="2" t="inlineStr">
        <is>
          <t>Fang et al.</t>
        </is>
      </c>
      <c r="D8" s="2" t="inlineStr">
        <is>
          <t>arXiv</t>
        </is>
      </c>
      <c r="E8" s="2" t="inlineStr">
        <is>
          <t>2023-10</t>
        </is>
      </c>
      <c r="F8" s="2" t="inlineStr">
        <is>
          <t>Published</t>
        </is>
      </c>
      <c r="G8" s="2" t="n"/>
      <c r="H8" s="2" t="n"/>
      <c r="I8" s="2" t="inlineStr">
        <is>
          <t>N/A</t>
        </is>
      </c>
      <c r="J8" s="2" t="inlineStr">
        <is>
          <t>≈600M</t>
        </is>
      </c>
      <c r="K8" s="2" t="inlineStr">
        <is>
          <t>⚠️ EVA-02-Det: COCO-O benchmark paper (arxiv 2307.12730) 未測試此方法（0 次提及）；查無可驗證的 COCO-O AP — 此 robustness benchmark 多數現代 SOTA 未評估</t>
        </is>
      </c>
      <c r="L8" s="9" t="inlineStr">
        <is>
          <t>https://arxiv.org/abs/2303.11331</t>
        </is>
      </c>
      <c r="M8" s="9" t="inlineStr">
        <is>
          <t>https://github.com/Sense-X/Co-DETR</t>
        </is>
      </c>
    </row>
    <row r="9" ht="48" customHeight="1">
      <c r="A9" s="2" t="inlineStr">
        <is>
          <t>General OD</t>
        </is>
      </c>
      <c r="B9" s="2" t="inlineStr">
        <is>
          <t>Co-DETR</t>
        </is>
      </c>
      <c r="C9" s="2" t="inlineStr">
        <is>
          <t>Zong et al.</t>
        </is>
      </c>
      <c r="D9" s="2" t="inlineStr">
        <is>
          <t>ICCV</t>
        </is>
      </c>
      <c r="E9" s="2" t="inlineStr">
        <is>
          <t>2023-10</t>
        </is>
      </c>
      <c r="F9" s="2" t="inlineStr">
        <is>
          <t>Published</t>
        </is>
      </c>
      <c r="G9" s="2" t="n"/>
      <c r="H9" s="2" t="n"/>
      <c r="I9" s="2" t="inlineStr">
        <is>
          <t>N/A</t>
        </is>
      </c>
      <c r="J9" s="2" t="inlineStr">
        <is>
          <t>304M</t>
        </is>
      </c>
      <c r="K9" s="2" t="inlineStr">
        <is>
          <t>⚠️ Co-DETR: COCO-O benchmark paper (arxiv 2307.12730) 未測試此方法（0 次提及）；查無可驗證的 COCO-O AP — 此 robustness benchmark 多數現代 SOTA 未評估</t>
        </is>
      </c>
      <c r="L9" s="9" t="inlineStr">
        <is>
          <t>https://arxiv.org/abs/2211.12860</t>
        </is>
      </c>
      <c r="M9" s="9" t="inlineStr">
        <is>
          <t>https://github.com/IDEA-Research/DINO</t>
        </is>
      </c>
    </row>
    <row r="10" ht="48" customHeight="1">
      <c r="A10" s="3" t="inlineStr">
        <is>
          <t>Real-Time OD</t>
        </is>
      </c>
      <c r="B10" s="3" t="inlineStr">
        <is>
          <t>YOLOv8x</t>
        </is>
      </c>
      <c r="C10" s="3" t="inlineStr">
        <is>
          <t>Eval on COCO-O</t>
        </is>
      </c>
      <c r="D10" s="3" t="inlineStr">
        <is>
          <t>Third-party</t>
        </is>
      </c>
      <c r="E10" s="3" t="inlineStr">
        <is>
          <t>2024-01</t>
        </is>
      </c>
      <c r="F10" s="3" t="inlineStr">
        <is>
          <t>Reproduced</t>
        </is>
      </c>
      <c r="G10" s="3" t="n"/>
      <c r="H10" s="3" t="n"/>
      <c r="I10" s="3" t="inlineStr">
        <is>
          <t>99</t>
        </is>
      </c>
      <c r="J10" s="3" t="inlineStr">
        <is>
          <t>68.2M</t>
        </is>
      </c>
      <c r="K10" s="3" t="inlineStr">
        <is>
          <t>⚠️ YOLOv8x: COCO-O benchmark paper (arxiv 2307.12730) 未測試此方法（0 次提及）；查無可驗證的 COCO-O AP — 此 robustness benchmark 多數現代 SOTA 未評估</t>
        </is>
      </c>
      <c r="L10" s="6" t="inlineStr">
        <is>
          <t>https://docs.ultralytics.com/models/yolov8/</t>
        </is>
      </c>
      <c r="M10" s="6" t="inlineStr">
        <is>
          <t>https://github.com/ultralytics/ultralytics</t>
        </is>
      </c>
    </row>
    <row r="11" ht="48" customHeight="1">
      <c r="A11" s="3" t="inlineStr">
        <is>
          <t>Real-Time OD</t>
        </is>
      </c>
      <c r="B11" s="3" t="inlineStr">
        <is>
          <t>RT-DETR</t>
        </is>
      </c>
      <c r="C11" s="3" t="inlineStr">
        <is>
          <t>Eval on COCO-O</t>
        </is>
      </c>
      <c r="D11" s="3" t="inlineStr">
        <is>
          <t>Third-party</t>
        </is>
      </c>
      <c r="E11" s="3" t="inlineStr">
        <is>
          <t>2024-08</t>
        </is>
      </c>
      <c r="F11" s="3" t="inlineStr">
        <is>
          <t>Reproduced</t>
        </is>
      </c>
      <c r="G11" s="3" t="n"/>
      <c r="H11" s="3" t="n"/>
      <c r="I11" s="3" t="inlineStr">
        <is>
          <t>T4 74</t>
        </is>
      </c>
      <c r="J11" s="3" t="inlineStr">
        <is>
          <t>76M</t>
        </is>
      </c>
      <c r="K11" s="3" t="inlineStr">
        <is>
          <t>⚠️ RT-DETR: COCO-O benchmark paper (arxiv 2307.12730) 未測試此方法（0 次提及）；查無可驗證的 COCO-O AP — 此 robustness benchmark 多數現代 SOTA 未評估</t>
        </is>
      </c>
      <c r="L11" s="6" t="inlineStr">
        <is>
          <t>https://arxiv.org/abs/2304.08069</t>
        </is>
      </c>
      <c r="M11" s="6" t="inlineStr">
        <is>
          <t>https://github.com/lyuwenyu/RT-DETR</t>
        </is>
      </c>
    </row>
    <row r="12" ht="48" customHeight="1">
      <c r="A12" s="2" t="inlineStr">
        <is>
          <t>General OD</t>
        </is>
      </c>
      <c r="B12" s="2" t="inlineStr">
        <is>
          <t>Grounding DINO 1.5 Pro</t>
        </is>
      </c>
      <c r="C12" s="2" t="inlineStr">
        <is>
          <t>IDEA</t>
        </is>
      </c>
      <c r="D12" s="2" t="inlineStr">
        <is>
          <t>arXiv</t>
        </is>
      </c>
      <c r="E12" s="2" t="inlineStr">
        <is>
          <t>2024-05</t>
        </is>
      </c>
      <c r="F12" s="2" t="inlineStr">
        <is>
          <t>Preprint</t>
        </is>
      </c>
      <c r="G12" s="2" t="n"/>
      <c r="H12" s="2" t="n"/>
      <c r="I12" s="2" t="inlineStr">
        <is>
          <t>N/A</t>
        </is>
      </c>
      <c r="J12" s="2" t="inlineStr">
        <is>
          <t>N/A</t>
        </is>
      </c>
      <c r="K12" s="2" t="inlineStr">
        <is>
          <t>⚠️ Grounding DINO 1.5 Pro: COCO-O benchmark paper (arxiv 2307.12730) 未測試此方法（0 次提及）；查無可驗證的 COCO-O AP — 此 robustness benchmark 多數現代 SOTA 未評估</t>
        </is>
      </c>
      <c r="L12" s="9" t="inlineStr">
        <is>
          <t>https://arxiv.org/abs/2405.10300</t>
        </is>
      </c>
      <c r="M12" s="9" t="inlineStr">
        <is>
          <t>https://github.com/IDEA-Research/Grounding-DINO-1.5-API</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27"/>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InternImage-H</t>
        </is>
      </c>
      <c r="C2" s="2" t="inlineStr">
        <is>
          <t>Wang et al.</t>
        </is>
      </c>
      <c r="D2" s="2" t="inlineStr">
        <is>
          <t>CVPR</t>
        </is>
      </c>
      <c r="E2" s="2" t="inlineStr">
        <is>
          <t>2023-06</t>
        </is>
      </c>
      <c r="F2" s="2" t="inlineStr">
        <is>
          <t>Preprint</t>
        </is>
      </c>
      <c r="G2" s="2" t="n">
        <v>94</v>
      </c>
      <c r="H2" s="2" t="inlineStr">
        <is>
          <t>mAP@0.5=94.0</t>
        </is>
      </c>
      <c r="I2" s="2" t="n"/>
      <c r="J2" s="2" t="n"/>
      <c r="K2" s="2" t="inlineStr">
        <is>
          <t>✅ 已驗證 (InternImage CVPR23 Table 10)：InternImage-H 94.0 AP50 PASCAL VOC 2007 test (single-scale), Objects365 pretrain</t>
        </is>
      </c>
      <c r="L2" s="9" t="inlineStr">
        <is>
          <t>https://arxiv.org/abs/2211.05778</t>
        </is>
      </c>
      <c r="M2" s="9" t="inlineStr">
        <is>
          <t>https://github.com/IDEA-Research/DINO</t>
        </is>
      </c>
    </row>
    <row r="3" ht="48" customHeight="1">
      <c r="A3" s="3" t="inlineStr">
        <is>
          <t>General OD</t>
        </is>
      </c>
      <c r="B3" s="3" t="inlineStr">
        <is>
          <t>DINO (Swin-L)</t>
        </is>
      </c>
      <c r="C3" s="3" t="inlineStr">
        <is>
          <t>Zhang et al.</t>
        </is>
      </c>
      <c r="D3" s="3" t="inlineStr">
        <is>
          <t>ICLR</t>
        </is>
      </c>
      <c r="E3" s="3" t="inlineStr">
        <is>
          <t>2023-03</t>
        </is>
      </c>
      <c r="F3" s="3" t="inlineStr">
        <is>
          <t>Published</t>
        </is>
      </c>
      <c r="G3" s="3" t="n">
        <v>91.40000000000001</v>
      </c>
      <c r="H3" s="3" t="inlineStr">
        <is>
          <t>mAP@0.5=91.4</t>
        </is>
      </c>
      <c r="I3" s="3" t="inlineStr">
        <is>
          <t>N/A</t>
        </is>
      </c>
      <c r="J3" s="3" t="inlineStr">
        <is>
          <t>218M</t>
        </is>
      </c>
      <c r="K3" s="3" t="inlineStr">
        <is>
          <t>⚠️ DINO 原論文僅 COCO，未測 VOC 2007；91.4 為社群 re-eval 無權威來源</t>
        </is>
      </c>
      <c r="L3" s="6" t="inlineStr">
        <is>
          <t>https://arxiv.org/abs/2203.03605</t>
        </is>
      </c>
      <c r="M3" s="6" t="inlineStr">
        <is>
          <t>https://github.com/WongKinYiu/yolov7</t>
        </is>
      </c>
    </row>
    <row r="4" ht="48" customHeight="1">
      <c r="A4" s="3" t="inlineStr">
        <is>
          <t>Real-Time OD</t>
        </is>
      </c>
      <c r="B4" s="3" t="inlineStr">
        <is>
          <t>YOLOv7</t>
        </is>
      </c>
      <c r="C4" s="3" t="inlineStr">
        <is>
          <t>Wang et al.</t>
        </is>
      </c>
      <c r="D4" s="3" t="inlineStr">
        <is>
          <t>CVPR</t>
        </is>
      </c>
      <c r="E4" s="3" t="inlineStr">
        <is>
          <t>2023-06</t>
        </is>
      </c>
      <c r="F4" s="3" t="inlineStr">
        <is>
          <t>Published</t>
        </is>
      </c>
      <c r="G4" s="3" t="n">
        <v>89.7</v>
      </c>
      <c r="H4" s="3" t="inlineStr">
        <is>
          <t>mAP@0.5=89.7</t>
        </is>
      </c>
      <c r="I4" s="3" t="inlineStr">
        <is>
          <t>114</t>
        </is>
      </c>
      <c r="J4" s="3" t="inlineStr">
        <is>
          <t>71.3M</t>
        </is>
      </c>
      <c r="K4" s="3" t="inlineStr">
        <is>
          <t>⚠️ YOLOv7 原論文僅 COCO；VOC 89.7 為社群 re-eval 無權威來源</t>
        </is>
      </c>
      <c r="L4" s="6" t="inlineStr">
        <is>
          <t>https://arxiv.org/abs/2207.02696</t>
        </is>
      </c>
      <c r="M4" s="6" t="inlineStr">
        <is>
          <t>https://github.com/AlexeyAB/darknet</t>
        </is>
      </c>
    </row>
    <row r="5" ht="48" customHeight="1">
      <c r="A5" s="2" t="inlineStr">
        <is>
          <t>Real-Time OD</t>
        </is>
      </c>
      <c r="B5" s="2" t="inlineStr">
        <is>
          <t>YOLOv4</t>
        </is>
      </c>
      <c r="C5" s="2" t="inlineStr">
        <is>
          <t>Bochkovskiy et al.</t>
        </is>
      </c>
      <c r="D5" s="2" t="inlineStr">
        <is>
          <t>arXiv</t>
        </is>
      </c>
      <c r="E5" s="2" t="inlineStr">
        <is>
          <t>2020-04</t>
        </is>
      </c>
      <c r="F5" s="2" t="inlineStr">
        <is>
          <t>Preprint</t>
        </is>
      </c>
      <c r="G5" s="2" t="n">
        <v>89.40000000000001</v>
      </c>
      <c r="H5" s="2" t="inlineStr">
        <is>
          <t>mAP@0.5=89.4</t>
        </is>
      </c>
      <c r="I5" s="2" t="inlineStr">
        <is>
          <t>65</t>
        </is>
      </c>
      <c r="J5" s="2" t="inlineStr">
        <is>
          <t>64M</t>
        </is>
      </c>
      <c r="K5" s="2" t="inlineStr">
        <is>
          <t>⚠️ YOLOv4 (PDF 查證 VOC 0 提及)；89.4 為社群 re-eval 無權威來源</t>
        </is>
      </c>
      <c r="L5" s="9" t="inlineStr">
        <is>
          <t>https://arxiv.org/abs/2004.10934</t>
        </is>
      </c>
      <c r="M5" s="9" t="inlineStr">
        <is>
          <t>https://github.com/zhaoweicai/cascade-rcnn</t>
        </is>
      </c>
    </row>
    <row r="6" ht="48" customHeight="1">
      <c r="A6" s="2" t="inlineStr">
        <is>
          <t>General OD</t>
        </is>
      </c>
      <c r="B6" s="2" t="inlineStr">
        <is>
          <t>Cascade R-CNN</t>
        </is>
      </c>
      <c r="C6" s="2" t="inlineStr">
        <is>
          <t>Cai &amp; Vasconcelos</t>
        </is>
      </c>
      <c r="D6" s="2" t="inlineStr">
        <is>
          <t>CVPR</t>
        </is>
      </c>
      <c r="E6" s="2" t="inlineStr">
        <is>
          <t>2018-06</t>
        </is>
      </c>
      <c r="F6" s="2" t="inlineStr">
        <is>
          <t>Published</t>
        </is>
      </c>
      <c r="G6" s="2" t="n">
        <v>87</v>
      </c>
      <c r="H6" s="2" t="inlineStr">
        <is>
          <t>mAP@0.5=87.0</t>
        </is>
      </c>
      <c r="I6" s="2" t="inlineStr">
        <is>
          <t>8</t>
        </is>
      </c>
      <c r="J6" s="2" t="inlineStr">
        <is>
          <t>88M</t>
        </is>
      </c>
      <c r="K6" s="2" t="inlineStr">
        <is>
          <t>⚠️ Cascade R-CNN 原論文僅 COCO；VOC 87.0 為社群 re-eval</t>
        </is>
      </c>
      <c r="L6" s="9" t="inlineStr">
        <is>
          <t>https://arxiv.org/abs/1712.00726</t>
        </is>
      </c>
      <c r="M6" s="9" t="inlineStr">
        <is>
          <t>https://github.com/facebookresearch/detr</t>
        </is>
      </c>
    </row>
    <row r="7" ht="48" customHeight="1">
      <c r="A7" s="2" t="inlineStr">
        <is>
          <t>General OD</t>
        </is>
      </c>
      <c r="B7" s="2" t="inlineStr">
        <is>
          <t>DETR</t>
        </is>
      </c>
      <c r="C7" s="2" t="inlineStr">
        <is>
          <t>Carion et al.</t>
        </is>
      </c>
      <c r="D7" s="2" t="inlineStr">
        <is>
          <t>ECCV</t>
        </is>
      </c>
      <c r="E7" s="2" t="inlineStr">
        <is>
          <t>2020-09</t>
        </is>
      </c>
      <c r="F7" s="2" t="inlineStr">
        <is>
          <t>Published</t>
        </is>
      </c>
      <c r="G7" s="2" t="n">
        <v>85.40000000000001</v>
      </c>
      <c r="H7" s="2" t="inlineStr">
        <is>
          <t>mAP@0.5=85.4</t>
        </is>
      </c>
      <c r="I7" s="2" t="inlineStr">
        <is>
          <t>20</t>
        </is>
      </c>
      <c r="J7" s="2" t="inlineStr">
        <is>
          <t>60M</t>
        </is>
      </c>
      <c r="K7" s="2" t="inlineStr">
        <is>
          <t>⚠️ DETR 原論文僅 COCO val；VOC 85.4 為社群 re-eval</t>
        </is>
      </c>
      <c r="L7" s="9" t="inlineStr">
        <is>
          <t>https://arxiv.org/abs/2005.12872</t>
        </is>
      </c>
      <c r="M7" s="9" t="inlineStr">
        <is>
          <t>https://github.com/PeizeSun/SparseR-CNN</t>
        </is>
      </c>
    </row>
    <row r="8" ht="48" customHeight="1">
      <c r="A8" s="2" t="inlineStr">
        <is>
          <t>General OD</t>
        </is>
      </c>
      <c r="B8" s="2" t="inlineStr">
        <is>
          <t>Sparse R-CNN</t>
        </is>
      </c>
      <c r="C8" s="2" t="inlineStr">
        <is>
          <t>Sun et al.</t>
        </is>
      </c>
      <c r="D8" s="2" t="inlineStr">
        <is>
          <t>CVPR</t>
        </is>
      </c>
      <c r="E8" s="2" t="inlineStr">
        <is>
          <t>2021-01</t>
        </is>
      </c>
      <c r="F8" s="2" t="inlineStr">
        <is>
          <t>Published</t>
        </is>
      </c>
      <c r="G8" s="2" t="n">
        <v>85</v>
      </c>
      <c r="H8" s="2" t="inlineStr">
        <is>
          <t>mAP@0.5=85.0</t>
        </is>
      </c>
      <c r="I8" s="2" t="inlineStr">
        <is>
          <t>23</t>
        </is>
      </c>
      <c r="J8" s="2" t="inlineStr">
        <is>
          <t>106M</t>
        </is>
      </c>
      <c r="K8" s="2" t="inlineStr">
        <is>
          <t>⚠️ Sparse R-CNN 原論文僅 COCO；VOC 85.0 為社群 re-eval</t>
        </is>
      </c>
      <c r="L8" s="9" t="inlineStr">
        <is>
          <t>https://arxiv.org/abs/2011.12450</t>
        </is>
      </c>
      <c r="M8" s="9" t="inlineStr">
        <is>
          <t>https://github.com/facebookresearch/Detectron</t>
        </is>
      </c>
    </row>
    <row r="9" ht="48" customHeight="1">
      <c r="A9" s="2" t="inlineStr">
        <is>
          <t>Few-Shot OD</t>
        </is>
      </c>
      <c r="B9" s="2" t="inlineStr">
        <is>
          <t>DETReg</t>
        </is>
      </c>
      <c r="C9" s="2" t="inlineStr">
        <is>
          <t>Bar et al.</t>
        </is>
      </c>
      <c r="D9" s="2" t="inlineStr">
        <is>
          <t>CVPR</t>
        </is>
      </c>
      <c r="E9" s="2" t="inlineStr">
        <is>
          <t>2022-06</t>
        </is>
      </c>
      <c r="F9" s="2" t="inlineStr">
        <is>
          <t>Preprint</t>
        </is>
      </c>
      <c r="G9" s="2" t="n">
        <v>83.3</v>
      </c>
      <c r="H9" s="2" t="inlineStr">
        <is>
          <t>mAP@0.5=83.3</t>
        </is>
      </c>
      <c r="I9" s="2" t="n"/>
      <c r="J9" s="2" t="n"/>
      <c r="K9" s="2" t="inlineStr">
        <is>
          <t>✅ 已驗證 (DETReg CVPR22 Table 2)：DETReg AP50=83.3 PASCAL VOC 2007 test (Deformable DETR base, 07+12 finetune)</t>
        </is>
      </c>
      <c r="L9" s="9" t="inlineStr">
        <is>
          <t>https://arxiv.org/abs/2106.04550</t>
        </is>
      </c>
      <c r="M9" s="9" t="inlineStr">
        <is>
          <t>https://github.com/rbgirshick/py-faster-rcnn</t>
        </is>
      </c>
    </row>
    <row r="10" ht="48" customHeight="1">
      <c r="A10" s="3" t="inlineStr">
        <is>
          <t>General OD</t>
        </is>
      </c>
      <c r="B10" s="3" t="inlineStr">
        <is>
          <t>RetinaNet (R101)</t>
        </is>
      </c>
      <c r="C10" s="3" t="inlineStr">
        <is>
          <t>Lin et al.</t>
        </is>
      </c>
      <c r="D10" s="3" t="inlineStr">
        <is>
          <t>ICCV</t>
        </is>
      </c>
      <c r="E10" s="3" t="inlineStr">
        <is>
          <t>2017-08</t>
        </is>
      </c>
      <c r="F10" s="3" t="inlineStr">
        <is>
          <t>Published</t>
        </is>
      </c>
      <c r="G10" s="3" t="n">
        <v>82.7</v>
      </c>
      <c r="H10" s="3" t="inlineStr">
        <is>
          <t>mAP@0.5=82.7</t>
        </is>
      </c>
      <c r="I10" s="3" t="inlineStr">
        <is>
          <t>11</t>
        </is>
      </c>
      <c r="J10" s="3" t="inlineStr">
        <is>
          <t>57M</t>
        </is>
      </c>
      <c r="K10" s="3" t="inlineStr">
        <is>
          <t>⚠️ RetinaNet 原論文僅 COCO；VOC 82.7 為社群 re-eval</t>
        </is>
      </c>
      <c r="L10" s="6" t="inlineStr">
        <is>
          <t>https://arxiv.org/abs/1708.02002</t>
        </is>
      </c>
      <c r="M10" s="6" t="inlineStr">
        <is>
          <t>https://github.com/ultralytics/ultralytics</t>
        </is>
      </c>
    </row>
    <row r="11" ht="48" customHeight="1">
      <c r="A11" s="3" t="inlineStr">
        <is>
          <t>General OD</t>
        </is>
      </c>
      <c r="B11" s="3" t="inlineStr">
        <is>
          <t>Faster R-CNN (VGG16)</t>
        </is>
      </c>
      <c r="C11" s="3" t="inlineStr">
        <is>
          <t>Ren et al.</t>
        </is>
      </c>
      <c r="D11" s="3" t="inlineStr">
        <is>
          <t>NeurIPS</t>
        </is>
      </c>
      <c r="E11" s="3" t="inlineStr">
        <is>
          <t>2015-12</t>
        </is>
      </c>
      <c r="F11" s="3" t="inlineStr">
        <is>
          <t>Published</t>
        </is>
      </c>
      <c r="G11" s="3" t="n">
        <v>73.2</v>
      </c>
      <c r="H11" s="3" t="inlineStr">
        <is>
          <t>mAP@0.5=73.2</t>
        </is>
      </c>
      <c r="I11" s="3" t="inlineStr">
        <is>
          <t>7</t>
        </is>
      </c>
      <c r="J11" s="3" t="inlineStr">
        <is>
          <t>138M</t>
        </is>
      </c>
      <c r="K11" s="3" t="inlineStr">
        <is>
          <t>✅ verified (Ren et al. NeurIPS 2015, original Faster R-CNN paper Table 3): VOC 2007 test mAP 73.2% (VGG16 backbone, trained on VOC 2007 trainval)</t>
        </is>
      </c>
      <c r="L11" s="6" t="inlineStr">
        <is>
          <t>https://arxiv.org/abs/1506.01497</t>
        </is>
      </c>
      <c r="M11" s="6" t="inlineStr">
        <is>
          <t>https://github.com/Deci-AI/super-gradients</t>
        </is>
      </c>
    </row>
    <row r="12" ht="48" customHeight="1">
      <c r="A12" s="2" t="inlineStr">
        <is>
          <t>General OD</t>
        </is>
      </c>
      <c r="B12" s="2" t="inlineStr">
        <is>
          <t>Faster R-CNN (R50-FPN)</t>
        </is>
      </c>
      <c r="C12" s="2" t="inlineStr">
        <is>
          <t>Ren et al.</t>
        </is>
      </c>
      <c r="D12" s="2" t="inlineStr">
        <is>
          <t>NeurIPS</t>
        </is>
      </c>
      <c r="E12" s="2" t="inlineStr">
        <is>
          <t>2015-06</t>
        </is>
      </c>
      <c r="F12" s="2" t="inlineStr">
        <is>
          <t>Preprint</t>
        </is>
      </c>
      <c r="G12" s="2" t="n">
        <v>73.2</v>
      </c>
      <c r="H12" s="2" t="inlineStr">
        <is>
          <t>mAP@0.5=73.2</t>
        </is>
      </c>
      <c r="I12" s="2" t="n"/>
      <c r="J12" s="2" t="n"/>
      <c r="K12" s="2" t="inlineStr">
        <is>
          <t>✅ 已驗證 (Faster R-CNN NeurIPS15 Table 7)：VGG backbone, 07+12 trainval → 73.2% PASCAL VOC 2007 test mAP（注：original paper variant；R50-FPN 是後來 Detectron2 改版）</t>
        </is>
      </c>
      <c r="L12" s="9" t="inlineStr">
        <is>
          <t>https://arxiv.org/abs/1506.01497</t>
        </is>
      </c>
      <c r="M12" s="9" t="inlineStr">
        <is>
          <t>https://github.com/IDEA-Research/GroundingDINO</t>
        </is>
      </c>
    </row>
    <row r="13">
      <c r="A13" s="2" t="inlineStr">
        <is>
          <t>Real-Time OD</t>
        </is>
      </c>
      <c r="B13" s="2" t="inlineStr">
        <is>
          <t>YOLOv8x</t>
        </is>
      </c>
      <c r="C13" s="2" t="inlineStr">
        <is>
          <t>Ultralytics</t>
        </is>
      </c>
      <c r="D13" s="2" t="inlineStr">
        <is>
          <t>GitHub</t>
        </is>
      </c>
      <c r="E13" s="2" t="inlineStr">
        <is>
          <t>2023-01</t>
        </is>
      </c>
      <c r="F13" s="2" t="inlineStr">
        <is>
          <t>GitHub</t>
        </is>
      </c>
      <c r="G13" s="2" t="n"/>
      <c r="H13" s="2" t="inlineStr">
        <is>
          <t>To verify</t>
        </is>
      </c>
      <c r="I13" s="2" t="inlineStr">
        <is>
          <t>99</t>
        </is>
      </c>
      <c r="J13" s="2" t="inlineStr">
        <is>
          <t>68.2M</t>
        </is>
      </c>
      <c r="K13" s="2" t="inlineStr">
        <is>
          <t>⚠️ YOLOv8x 無同儕審查論文；VOC mAP 無官方/論文來源</t>
        </is>
      </c>
      <c r="L13" s="9" t="inlineStr">
        <is>
          <t>https://docs.ultralytics.com/models/yolov8/</t>
        </is>
      </c>
      <c r="M13" s="9" t="inlineStr">
        <is>
          <t>https://github.com/roboflow/rf-detr</t>
        </is>
      </c>
    </row>
    <row r="14">
      <c r="A14" s="2" t="inlineStr">
        <is>
          <t>Real-Time OD</t>
        </is>
      </c>
      <c r="B14" s="2" t="inlineStr">
        <is>
          <t>YOLO-NAS</t>
        </is>
      </c>
      <c r="C14" s="2" t="inlineStr">
        <is>
          <t>Deci</t>
        </is>
      </c>
      <c r="D14" s="2" t="inlineStr">
        <is>
          <t>GitHub</t>
        </is>
      </c>
      <c r="E14" s="2" t="inlineStr">
        <is>
          <t>2023-05</t>
        </is>
      </c>
      <c r="F14" s="2" t="inlineStr">
        <is>
          <t>GitHub</t>
        </is>
      </c>
      <c r="G14" s="2" t="n"/>
      <c r="H14" s="2" t="inlineStr">
        <is>
          <t>To verify</t>
        </is>
      </c>
      <c r="I14" s="2" t="inlineStr">
        <is>
          <t>T4 ≈110</t>
        </is>
      </c>
      <c r="J14" s="2" t="inlineStr">
        <is>
          <t>≈58M</t>
        </is>
      </c>
      <c r="K14" s="2" t="inlineStr">
        <is>
          <t>⚠️ YOLO-NAS (Deci) 無同儕審查論文；官方僅 COCO，VOC 無來源</t>
        </is>
      </c>
      <c r="L14" s="9" t="inlineStr">
        <is>
          <t>https://github.com/Deci-AI/super-gradients</t>
        </is>
      </c>
      <c r="M14" s="9" t="inlineStr">
        <is>
          <t>https://github.com/roboflow/rf-detr</t>
        </is>
      </c>
    </row>
    <row r="15">
      <c r="A15" s="2" t="inlineStr">
        <is>
          <t>General OD</t>
        </is>
      </c>
      <c r="B15" s="2" t="inlineStr">
        <is>
          <t>Grounding DINO (zero-shot)</t>
        </is>
      </c>
      <c r="C15" s="2" t="inlineStr">
        <is>
          <t>Liu et al.</t>
        </is>
      </c>
      <c r="D15" s="2" t="inlineStr">
        <is>
          <t>ECCV</t>
        </is>
      </c>
      <c r="E15" s="2" t="inlineStr">
        <is>
          <t>2024-10</t>
        </is>
      </c>
      <c r="F15" s="2" t="inlineStr">
        <is>
          <t>Published</t>
        </is>
      </c>
      <c r="G15" s="2" t="n"/>
      <c r="H15" s="2" t="inlineStr">
        <is>
          <t>Zero-shot mAP To verify</t>
        </is>
      </c>
      <c r="I15" s="2" t="inlineStr">
        <is>
          <t>N/A</t>
        </is>
      </c>
      <c r="J15" s="2" t="inlineStr">
        <is>
          <t>≈173M</t>
        </is>
      </c>
      <c r="K15" s="2" t="inlineStr">
        <is>
          <t>⚠️ Grounding DINO 零樣本 VOC transfer，非標準訓練於 VOC；論文未報 VOC 2007 zero-shot mAP</t>
        </is>
      </c>
      <c r="L15" s="9" t="inlineStr">
        <is>
          <t>https://arxiv.org/abs/2303.05499</t>
        </is>
      </c>
      <c r="M15" s="9" t="inlineStr">
        <is>
          <t>https://github.com/iMoonLab/yolov13</t>
        </is>
      </c>
    </row>
    <row r="16">
      <c r="A16" s="2" t="inlineStr">
        <is>
          <t>Real-Time OD</t>
        </is>
      </c>
      <c r="B16" s="2" t="inlineStr">
        <is>
          <t>RF-DETR (Large)</t>
        </is>
      </c>
      <c r="C16" s="2" t="inlineStr">
        <is>
          <t>Roboflow</t>
        </is>
      </c>
      <c r="D16" s="2" t="inlineStr">
        <is>
          <t>ICLR</t>
        </is>
      </c>
      <c r="E16" s="2" t="inlineStr">
        <is>
          <t>2026-04</t>
        </is>
      </c>
      <c r="F16" s="2" t="inlineStr">
        <is>
          <t>Preprint</t>
        </is>
      </c>
      <c r="G16" s="2" t="n"/>
      <c r="H16" s="2" t="n"/>
      <c r="I16" s="2" t="n"/>
      <c r="J16" s="2" t="n"/>
      <c r="K16" s="2" t="inlineStr">
        <is>
          <t>⚠️ RF-DETR (PDF 查證) 僅報 COCO+Roboflow100-VL，未測 PASCAL VOC 2007 標準 mAP</t>
        </is>
      </c>
      <c r="L16" s="9" t="inlineStr">
        <is>
          <t>https://arxiv.org/abs/2511.09554</t>
        </is>
      </c>
      <c r="M16" s="9" t="inlineStr">
        <is>
          <t>https://github.com/IDEA-Research/GroundingDINO</t>
        </is>
      </c>
    </row>
    <row r="17">
      <c r="A17" s="2" t="inlineStr">
        <is>
          <t>Real-Time OD</t>
        </is>
      </c>
      <c r="B17" s="2" t="inlineStr">
        <is>
          <t>RF-DETR (Nano)</t>
        </is>
      </c>
      <c r="C17" s="2" t="inlineStr">
        <is>
          <t>Roboflow</t>
        </is>
      </c>
      <c r="D17" s="2" t="inlineStr">
        <is>
          <t>ICLR</t>
        </is>
      </c>
      <c r="E17" s="2" t="inlineStr">
        <is>
          <t>2026-04</t>
        </is>
      </c>
      <c r="F17" s="2" t="inlineStr">
        <is>
          <t>Preprint</t>
        </is>
      </c>
      <c r="G17" s="2" t="n"/>
      <c r="H17" s="2" t="n"/>
      <c r="I17" s="2" t="n"/>
      <c r="J17" s="2" t="n"/>
      <c r="K17" s="2" t="inlineStr">
        <is>
          <t>⚠️ RF-DETR Nano (PDF 查證) 僅 COCO，未測 VOC 2007</t>
        </is>
      </c>
      <c r="L17" s="9" t="inlineStr">
        <is>
          <t>https://arxiv.org/abs/2511.09554</t>
        </is>
      </c>
      <c r="M17" s="9" t="inlineStr">
        <is>
          <t>https://github.com/xiuqhou/Relation-DETR</t>
        </is>
      </c>
    </row>
    <row r="18">
      <c r="A18" s="2" t="inlineStr">
        <is>
          <t>Real-Time OD</t>
        </is>
      </c>
      <c r="B18" s="2" t="inlineStr">
        <is>
          <t>YOLOv13-X</t>
        </is>
      </c>
      <c r="C18" s="2" t="inlineStr">
        <is>
          <t>iMoonLab</t>
        </is>
      </c>
      <c r="D18" s="2" t="inlineStr">
        <is>
          <t>arXiv</t>
        </is>
      </c>
      <c r="E18" s="2" t="inlineStr">
        <is>
          <t>2025-06</t>
        </is>
      </c>
      <c r="F18" s="2" t="inlineStr">
        <is>
          <t>Preprint</t>
        </is>
      </c>
      <c r="G18" s="2" t="n"/>
      <c r="H18" s="2" t="n"/>
      <c r="I18" s="2" t="n"/>
      <c r="J18" s="2" t="n"/>
      <c r="K18" s="2" t="inlineStr">
        <is>
          <t>⚠️ YOLOv13-X：COCO 訓練後跨域測 VOC，非標準 VOC 訓練+測試協議，數值待 PDF 表確認</t>
        </is>
      </c>
      <c r="L18" s="9" t="inlineStr">
        <is>
          <t>https://arxiv.org/abs/2506.17733</t>
        </is>
      </c>
      <c r="M18" s="9" t="inlineStr">
        <is>
          <t>https://github.com/IDEA-Research/Grounding-DINO-1.5-API</t>
        </is>
      </c>
    </row>
    <row r="19">
      <c r="A19" s="2" t="inlineStr">
        <is>
          <t>Few-Shot OD</t>
        </is>
      </c>
      <c r="B19" s="2" t="inlineStr">
        <is>
          <t>Grounding DINO</t>
        </is>
      </c>
      <c r="C19" s="2" t="inlineStr">
        <is>
          <t>Liu et al.</t>
        </is>
      </c>
      <c r="D19" s="2" t="inlineStr">
        <is>
          <t>ECCV</t>
        </is>
      </c>
      <c r="E19" s="2" t="inlineStr">
        <is>
          <t>2024-10</t>
        </is>
      </c>
      <c r="F19" s="2" t="inlineStr">
        <is>
          <t>Preprint</t>
        </is>
      </c>
      <c r="G19" s="2" t="n"/>
      <c r="H19" s="2" t="n"/>
      <c r="I19" s="2" t="n"/>
      <c r="J19" s="2" t="n"/>
      <c r="K19" s="2" t="inlineStr">
        <is>
          <t>⚠️ Grounding DINO 為開放詞彙偵測器 (COCO/LVIS/ODinW)，未報標準 closed-set VOC 2007 mAP</t>
        </is>
      </c>
      <c r="L19" s="9" t="inlineStr">
        <is>
          <t>https://arxiv.org/abs/2303.05499</t>
        </is>
      </c>
      <c r="M19" s="9" t="inlineStr">
        <is>
          <t>https://github.com/OpenGVLab/InternImage</t>
        </is>
      </c>
    </row>
    <row r="20">
      <c r="A20" s="2" t="inlineStr">
        <is>
          <t>General OD</t>
        </is>
      </c>
      <c r="B20" s="2" t="inlineStr">
        <is>
          <t>Relation-DETR (FocalNet-L)</t>
        </is>
      </c>
      <c r="C20" s="2" t="inlineStr">
        <is>
          <t>Hou et al.</t>
        </is>
      </c>
      <c r="D20" s="2" t="inlineStr">
        <is>
          <t>ECCV</t>
        </is>
      </c>
      <c r="E20" s="2" t="inlineStr">
        <is>
          <t>2024-09</t>
        </is>
      </c>
      <c r="F20" s="2" t="inlineStr">
        <is>
          <t>Preprint</t>
        </is>
      </c>
      <c r="G20" s="2" t="n"/>
      <c r="H20" s="2" t="n"/>
      <c r="I20" s="2" t="n"/>
      <c r="J20" s="2" t="n"/>
      <c r="K20" s="2" t="inlineStr">
        <is>
          <t>⚠️ Relation-DETR 僅 COCO，未測 VOC 2007</t>
        </is>
      </c>
      <c r="L20" s="9" t="inlineStr">
        <is>
          <t>https://arxiv.org/abs/2407.11699</t>
        </is>
      </c>
      <c r="M20" s="9" t="inlineStr">
        <is>
          <t>https://github.com/open-mmlab/mmdetection</t>
        </is>
      </c>
    </row>
    <row r="21">
      <c r="A21" s="2" t="inlineStr">
        <is>
          <t>General OD</t>
        </is>
      </c>
      <c r="B21" s="2" t="inlineStr">
        <is>
          <t>Grounding DINO 1.5 Pro</t>
        </is>
      </c>
      <c r="C21" s="2" t="inlineStr">
        <is>
          <t>Ren et al.</t>
        </is>
      </c>
      <c r="D21" s="2" t="inlineStr">
        <is>
          <t>arXiv</t>
        </is>
      </c>
      <c r="E21" s="2" t="inlineStr">
        <is>
          <t>2024-05</t>
        </is>
      </c>
      <c r="F21" s="2" t="inlineStr">
        <is>
          <t>Preprint</t>
        </is>
      </c>
      <c r="G21" s="2" t="n"/>
      <c r="H21" s="2" t="n"/>
      <c r="I21" s="2" t="n"/>
      <c r="J21" s="2" t="n"/>
      <c r="K21" s="2" t="inlineStr">
        <is>
          <t>⚠️ Grounding DINO 1.5 Pro 開放詞彙 (COCO/LVIS/ODinW)，未報標準 VOC 2007 mAP</t>
        </is>
      </c>
      <c r="L21" s="9" t="inlineStr">
        <is>
          <t>https://arxiv.org/abs/2405.10300</t>
        </is>
      </c>
      <c r="M21" s="9" t="inlineStr">
        <is>
          <t>https://github.com/ZhangGongjie/Meta-DETR</t>
        </is>
      </c>
    </row>
    <row r="22">
      <c r="A22" s="2" t="inlineStr">
        <is>
          <t>Real-Time OD</t>
        </is>
      </c>
      <c r="B22" s="2" t="inlineStr">
        <is>
          <t>RTMDet-X</t>
        </is>
      </c>
      <c r="C22" s="2" t="inlineStr">
        <is>
          <t>Lyu et al.</t>
        </is>
      </c>
      <c r="D22" s="2" t="inlineStr">
        <is>
          <t>arXiv</t>
        </is>
      </c>
      <c r="E22" s="2" t="inlineStr">
        <is>
          <t>2022-12</t>
        </is>
      </c>
      <c r="F22" s="2" t="inlineStr">
        <is>
          <t>Preprint</t>
        </is>
      </c>
      <c r="G22" s="2" t="n"/>
      <c r="H22" s="2" t="n"/>
      <c r="I22" s="2" t="n"/>
      <c r="J22" s="2" t="n"/>
      <c r="K22" s="2" t="inlineStr">
        <is>
          <t>⚠️ RTMDet-X 僅 COCO，未測 VOC 2007</t>
        </is>
      </c>
      <c r="L22" s="9" t="inlineStr">
        <is>
          <t>https://arxiv.org/abs/2212.07784</t>
        </is>
      </c>
      <c r="M22" s="9" t="inlineStr">
        <is>
          <t>https://github.com/amirbar/DETReg</t>
        </is>
      </c>
    </row>
    <row r="23">
      <c r="A23" s="2" t="inlineStr">
        <is>
          <t>Real-Time OD</t>
        </is>
      </c>
      <c r="B23" s="2" t="inlineStr">
        <is>
          <t>EfficientDet-D7</t>
        </is>
      </c>
      <c r="C23" s="2" t="inlineStr">
        <is>
          <t>Tan et al.</t>
        </is>
      </c>
      <c r="D23" s="2" t="inlineStr">
        <is>
          <t>CVPR</t>
        </is>
      </c>
      <c r="E23" s="2" t="inlineStr">
        <is>
          <t>2020-06</t>
        </is>
      </c>
      <c r="F23" s="2" t="inlineStr">
        <is>
          <t>Preprint</t>
        </is>
      </c>
      <c r="G23" s="2" t="n"/>
      <c r="H23" s="2" t="n"/>
      <c r="I23" s="2" t="n"/>
      <c r="J23" s="2" t="n"/>
      <c r="K23" s="2" t="inlineStr">
        <is>
          <t>⚠️ EfficientDet-D7 僅 COCO test-dev，未測 VOC 2007</t>
        </is>
      </c>
      <c r="L23" s="9" t="inlineStr">
        <is>
          <t>https://arxiv.org/abs/1911.09070</t>
        </is>
      </c>
      <c r="M23" s="9" t="inlineStr">
        <is>
          <t>https://github.com/yanxp/MetaR-CNN</t>
        </is>
      </c>
    </row>
    <row r="24">
      <c r="A24" s="2" t="inlineStr">
        <is>
          <t>General OD</t>
        </is>
      </c>
      <c r="B24" s="2" t="inlineStr">
        <is>
          <t>CenterNet</t>
        </is>
      </c>
      <c r="C24" s="2" t="inlineStr">
        <is>
          <t>Zhou et al.</t>
        </is>
      </c>
      <c r="D24" s="2" t="inlineStr">
        <is>
          <t>arXiv</t>
        </is>
      </c>
      <c r="E24" s="2" t="inlineStr">
        <is>
          <t>2019-04</t>
        </is>
      </c>
      <c r="F24" s="2" t="inlineStr">
        <is>
          <t>Preprint</t>
        </is>
      </c>
      <c r="G24" s="2" t="n"/>
      <c r="H24" s="2" t="n"/>
      <c r="I24" s="2" t="n"/>
      <c r="J24" s="2" t="n"/>
      <c r="K24" s="2" t="inlineStr">
        <is>
          <t>⚠️ CenterNet (Objects as Points) 報 COCO/KITTI/keypoints；VOC 值需 PDF 確認（原論文 VOC 結果表）</t>
        </is>
      </c>
      <c r="L24" s="9" t="inlineStr">
        <is>
          <t>https://arxiv.org/abs/1904.07850</t>
        </is>
      </c>
      <c r="M24" s="9" t="inlineStr">
        <is>
          <t>https://github.com/rbgirshick/py-faster-rcnn</t>
        </is>
      </c>
    </row>
    <row r="25">
      <c r="A25" s="2" t="inlineStr">
        <is>
          <t>General OD</t>
        </is>
      </c>
      <c r="B25" s="2" t="inlineStr">
        <is>
          <t>SimLTD</t>
        </is>
      </c>
      <c r="C25" s="2" t="inlineStr">
        <is>
          <t>—</t>
        </is>
      </c>
      <c r="D25" s="2" t="inlineStr">
        <is>
          <t>CVPR 2025</t>
        </is>
      </c>
      <c r="E25" s="2" t="inlineStr">
        <is>
          <t>2025-06</t>
        </is>
      </c>
      <c r="F25" s="2" t="inlineStr">
        <is>
          <t>Preprint</t>
        </is>
      </c>
      <c r="G25" s="2" t="n"/>
      <c r="H25" s="2" t="n"/>
      <c r="I25" s="2" t="n"/>
      <c r="J25" s="2" t="n"/>
      <c r="K25" s="2" t="inlineStr">
        <is>
          <t>⚠️ SimLTD (Tran et al. CVPR 2025) is a long-tailed OD paper evaluated on the LVIS v1 benchmark (supervised + semi-supervised settings). Does NOT evaluate on PASCAL VOC 2007. This entry is misplaced; should be in the LVIS v1.0 val sheet (r23 there).</t>
        </is>
      </c>
      <c r="L25" s="9" t="inlineStr">
        <is>
          <t>https://openaccess.thecvf.com/content/CVPR2025/html/Tran_SimLTD_Simple_Supervised_and_Semi-Supervised_Long-Tailed_Object_Detection_CVPR_2025_paper.html</t>
        </is>
      </c>
      <c r="M25" s="9" t="inlineStr">
        <is>
          <t>N/A</t>
        </is>
      </c>
    </row>
    <row r="26">
      <c r="A26" s="2" t="inlineStr">
        <is>
          <t>General OD</t>
        </is>
      </c>
      <c r="B26" s="2" t="inlineStr">
        <is>
          <t>Bit-Flip Induced Latency Attacks in Object Detection</t>
        </is>
      </c>
      <c r="C26" s="2" t="inlineStr">
        <is>
          <t>—</t>
        </is>
      </c>
      <c r="D26" s="2" t="inlineStr">
        <is>
          <t>WACV 2025</t>
        </is>
      </c>
      <c r="E26" s="2" t="inlineStr">
        <is>
          <t>2025-01</t>
        </is>
      </c>
      <c r="F26" s="2" t="inlineStr">
        <is>
          <t>Preprint</t>
        </is>
      </c>
      <c r="G26" s="2" t="n"/>
      <c r="H26" s="2" t="n"/>
      <c r="I26" s="2" t="n"/>
      <c r="J26" s="2" t="n"/>
      <c r="K26" s="2" t="inlineStr">
        <is>
          <t>⚠️ Bit-Flip Induced Latency Attacks in OD (Sistla et al. WACV 2025) is a security / adversarial paper. VOC and COCO appear as target datasets for bit-flip attack evaluation (attack success rate / latency degradation), NOT standard detection mAP. Does NOT report standard closed-set PASCAL VOC 2007 mAP@0.5.</t>
        </is>
      </c>
      <c r="L26" s="9" t="inlineStr">
        <is>
          <t>https://openaccess.thecvf.com/content/WACV2025/html/Sistla_Bit-Flip_Induced_Latency_Attacks_in_Object_Detection_WACV_2025_paper.html</t>
        </is>
      </c>
      <c r="M26" s="9" t="inlineStr">
        <is>
          <t>N/A</t>
        </is>
      </c>
    </row>
    <row r="27">
      <c r="A27" s="2" t="inlineStr">
        <is>
          <t>Few-Shot OD</t>
        </is>
      </c>
      <c r="B27" s="2" t="inlineStr">
        <is>
          <t>Cross-Domain Multi-Modal Few-Shot Object Detection via Rich</t>
        </is>
      </c>
      <c r="C27" s="2" t="inlineStr">
        <is>
          <t>—</t>
        </is>
      </c>
      <c r="D27" s="2" t="inlineStr">
        <is>
          <t>WACV 2025</t>
        </is>
      </c>
      <c r="E27" s="2" t="inlineStr">
        <is>
          <t>2025-01</t>
        </is>
      </c>
      <c r="F27" s="2" t="inlineStr">
        <is>
          <t>Preprint</t>
        </is>
      </c>
      <c r="G27" s="2" t="n"/>
      <c r="H27" s="2" t="n"/>
      <c r="I27" s="2" t="n"/>
      <c r="J27" s="2" t="n"/>
      <c r="K27" s="2" t="inlineStr">
        <is>
          <t>⚠️ Cross-Domain Multi-Modal Few-Shot OD via Rich Text (Shangguan et al. WACV 2025) is a cross-domain few-shot OD paper. Uses VOC and COCO in few-shot cross-domain protocol (K-shot novel class AP). NOT standard closed-set PASCAL VOC 2007 20-class mAP@0.5. This entry is misplaced; should be in few-shot OD sheets.</t>
        </is>
      </c>
      <c r="L27" s="9" t="inlineStr">
        <is>
          <t>https://openaccess.thecvf.com/content/WACV2025/html/Shangguan_Cross-Domain_Multi-Modal_Few-Shot_Object_Detection_via_Rich_Text_WACV_2025_paper.html</t>
        </is>
      </c>
      <c r="M27" s="9" t="inlineStr">
        <is>
          <t>N/A</t>
        </is>
      </c>
    </row>
  </sheetData>
  <autoFilter ref="A1:M12"/>
  <hyperlinks>
    <hyperlink xmlns:r="http://schemas.openxmlformats.org/officeDocument/2006/relationships" ref="M2" r:id="rId1"/>
    <hyperlink xmlns:r="http://schemas.openxmlformats.org/officeDocument/2006/relationships" ref="L3" r:id="rId2"/>
    <hyperlink xmlns:r="http://schemas.openxmlformats.org/officeDocument/2006/relationships" ref="M3" r:id="rId3"/>
    <hyperlink xmlns:r="http://schemas.openxmlformats.org/officeDocument/2006/relationships" ref="L4" r:id="rId4"/>
    <hyperlink xmlns:r="http://schemas.openxmlformats.org/officeDocument/2006/relationships" ref="M4" r:id="rId5"/>
    <hyperlink xmlns:r="http://schemas.openxmlformats.org/officeDocument/2006/relationships" ref="L5" r:id="rId6"/>
    <hyperlink xmlns:r="http://schemas.openxmlformats.org/officeDocument/2006/relationships" ref="M5" r:id="rId7"/>
    <hyperlink xmlns:r="http://schemas.openxmlformats.org/officeDocument/2006/relationships" ref="L6" r:id="rId8"/>
    <hyperlink xmlns:r="http://schemas.openxmlformats.org/officeDocument/2006/relationships" ref="M6" r:id="rId9"/>
    <hyperlink xmlns:r="http://schemas.openxmlformats.org/officeDocument/2006/relationships" ref="L7" r:id="rId10"/>
    <hyperlink xmlns:r="http://schemas.openxmlformats.org/officeDocument/2006/relationships" ref="M7" r:id="rId11"/>
    <hyperlink xmlns:r="http://schemas.openxmlformats.org/officeDocument/2006/relationships" ref="L8" r:id="rId12"/>
    <hyperlink xmlns:r="http://schemas.openxmlformats.org/officeDocument/2006/relationships" ref="M8" r:id="rId13"/>
    <hyperlink xmlns:r="http://schemas.openxmlformats.org/officeDocument/2006/relationships" ref="M9" r:id="rId14"/>
    <hyperlink xmlns:r="http://schemas.openxmlformats.org/officeDocument/2006/relationships" ref="L10" r:id="rId15"/>
    <hyperlink xmlns:r="http://schemas.openxmlformats.org/officeDocument/2006/relationships" ref="M10" r:id="rId16"/>
    <hyperlink xmlns:r="http://schemas.openxmlformats.org/officeDocument/2006/relationships" ref="L11" r:id="rId17"/>
    <hyperlink xmlns:r="http://schemas.openxmlformats.org/officeDocument/2006/relationships" ref="M11" r:id="rId18"/>
    <hyperlink xmlns:r="http://schemas.openxmlformats.org/officeDocument/2006/relationships" ref="M12" r:id="rId19"/>
    <hyperlink xmlns:r="http://schemas.openxmlformats.org/officeDocument/2006/relationships" ref="L13" r:id="rId20"/>
    <hyperlink xmlns:r="http://schemas.openxmlformats.org/officeDocument/2006/relationships" ref="L14" r:id="rId21"/>
    <hyperlink xmlns:r="http://schemas.openxmlformats.org/officeDocument/2006/relationships" ref="L15" r:id="rId22"/>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19"/>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Iter-Deformable-DETR</t>
        </is>
      </c>
      <c r="C2" s="2" t="inlineStr">
        <is>
          <t>Zheng et al.</t>
        </is>
      </c>
      <c r="D2" s="2" t="inlineStr">
        <is>
          <t>ECCV</t>
        </is>
      </c>
      <c r="E2" s="2" t="inlineStr">
        <is>
          <t>2022-08</t>
        </is>
      </c>
      <c r="F2" s="2" t="inlineStr">
        <is>
          <t>Published</t>
        </is>
      </c>
      <c r="G2" s="2" t="n">
        <v>94.09999999999999</v>
      </c>
      <c r="H2" s="2" t="inlineStr">
        <is>
          <t>AP=94.1 | MR^-2=41.5</t>
        </is>
      </c>
      <c r="I2" s="2" t="inlineStr">
        <is>
          <t>N/A</t>
        </is>
      </c>
      <c r="J2" s="2" t="inlineStr">
        <is>
          <t>N/A</t>
        </is>
      </c>
      <c r="K2" s="2" t="inlineStr">
        <is>
          <t>✅ verified (Iter-Deformable-DETR ECCV22, arxiv 2207.13165): 94.1 AP / 41.5 MR^-2 on CrowdHuman val (iterative deformable DETR for crowd detection)</t>
        </is>
      </c>
      <c r="L2" s="9" t="inlineStr">
        <is>
          <t>https://arxiv.org/abs/2207.13165</t>
        </is>
      </c>
      <c r="M2" s="9" t="inlineStr">
        <is>
          <t>https://github.com/anlinzheng/iter-deformable-detr</t>
        </is>
      </c>
    </row>
    <row r="3" ht="48" customHeight="1">
      <c r="A3" s="2" t="inlineStr">
        <is>
          <t>General OD</t>
        </is>
      </c>
      <c r="B3" s="2" t="inlineStr">
        <is>
          <t>PEDR</t>
        </is>
      </c>
      <c r="C3" s="2" t="inlineStr">
        <is>
          <t>Lin et al.</t>
        </is>
      </c>
      <c r="D3" s="2" t="inlineStr">
        <is>
          <t>CVPR</t>
        </is>
      </c>
      <c r="E3" s="2" t="inlineStr">
        <is>
          <t>2021-06</t>
        </is>
      </c>
      <c r="F3" s="2" t="inlineStr">
        <is>
          <t>Published</t>
        </is>
      </c>
      <c r="G3" s="2" t="n">
        <v>91.59999999999999</v>
      </c>
      <c r="H3" s="2" t="inlineStr">
        <is>
          <t>AP=91.6 | MR^-2=43.7</t>
        </is>
      </c>
      <c r="I3" s="2" t="inlineStr">
        <is>
          <t>N/A</t>
        </is>
      </c>
      <c r="J3" s="2" t="inlineStr">
        <is>
          <t>N/A</t>
        </is>
      </c>
      <c r="K3" s="2" t="inlineStr">
        <is>
          <t>✅ verified (PEDR CVPR21, arxiv 2012.06785): 91.6 AP / 43.7 MR^-2 on CrowdHuman val (pedestrian-aware end-to-end detection)</t>
        </is>
      </c>
      <c r="L3" s="9" t="inlineStr">
        <is>
          <t>https://arxiv.org/abs/2012.06785</t>
        </is>
      </c>
      <c r="M3" s="9" t="inlineStr">
        <is>
          <t>https://github.com/Hatins/DEYOLO</t>
        </is>
      </c>
    </row>
    <row r="4" ht="48" customHeight="1">
      <c r="A4" s="2" t="inlineStr">
        <is>
          <t>General OD</t>
        </is>
      </c>
      <c r="B4" s="2" t="inlineStr">
        <is>
          <t>DDETR (CrowdHuman ft)</t>
        </is>
      </c>
      <c r="C4" s="2" t="inlineStr">
        <is>
          <t>Zhu et al.</t>
        </is>
      </c>
      <c r="D4" s="2" t="inlineStr">
        <is>
          <t>Reproduction</t>
        </is>
      </c>
      <c r="E4" s="2" t="inlineStr">
        <is>
          <t>2022-12</t>
        </is>
      </c>
      <c r="F4" s="2" t="inlineStr">
        <is>
          <t>Reproduced</t>
        </is>
      </c>
      <c r="G4" s="2" t="n">
        <v>91.5</v>
      </c>
      <c r="H4" s="2" t="inlineStr">
        <is>
          <t>AP=91.5</t>
        </is>
      </c>
      <c r="I4" s="2" t="inlineStr">
        <is>
          <t>N/A</t>
        </is>
      </c>
      <c r="J4" s="2" t="inlineStr">
        <is>
          <t>40M</t>
        </is>
      </c>
      <c r="K4" s="2" t="inlineStr">
        <is>
          <t>⚠️ Deformable-DETR 於 CrowdHuman fine-tune 之 reproduction 值，非原論文，無權威來源</t>
        </is>
      </c>
      <c r="L4" s="9" t="inlineStr">
        <is>
          <t>https://arxiv.org/abs/2010.04159</t>
        </is>
      </c>
      <c r="M4" s="9" t="inlineStr">
        <is>
          <t>https://github.com/fundamentalvision/Deformable-DETR</t>
        </is>
      </c>
    </row>
    <row r="5" ht="48" customHeight="1">
      <c r="A5" s="2" t="inlineStr">
        <is>
          <t>General OD</t>
        </is>
      </c>
      <c r="B5" s="2" t="inlineStr">
        <is>
          <t>Sparse R-CNN</t>
        </is>
      </c>
      <c r="C5" s="2" t="inlineStr">
        <is>
          <t>Sun et al.</t>
        </is>
      </c>
      <c r="D5" s="2" t="inlineStr">
        <is>
          <t>CVPR</t>
        </is>
      </c>
      <c r="E5" s="2" t="inlineStr">
        <is>
          <t>2021-01</t>
        </is>
      </c>
      <c r="F5" s="2" t="inlineStr">
        <is>
          <t>Published</t>
        </is>
      </c>
      <c r="G5" s="2" t="n">
        <v>91.3</v>
      </c>
      <c r="H5" s="2" t="inlineStr">
        <is>
          <t>AP=91.3</t>
        </is>
      </c>
      <c r="I5" s="2" t="inlineStr">
        <is>
          <t>N/A</t>
        </is>
      </c>
      <c r="J5" s="2" t="inlineStr">
        <is>
          <t>106M</t>
        </is>
      </c>
      <c r="K5" s="2" t="inlineStr">
        <is>
          <t>✅ verified (Sparse R-CNN CVPR21, arxiv 2011.12450 Table 8): 91.3 AP on CrowdHuman val (Sparse R-CNN with crowd-aware training)</t>
        </is>
      </c>
      <c r="L5" s="9" t="inlineStr">
        <is>
          <t>https://arxiv.org/abs/2011.12450</t>
        </is>
      </c>
      <c r="M5" s="9" t="inlineStr">
        <is>
          <t>https://github.com/PeizeSun/SparseR-CNN</t>
        </is>
      </c>
    </row>
    <row r="6" ht="48" customHeight="1">
      <c r="A6" s="2" t="inlineStr">
        <is>
          <t>General OD</t>
        </is>
      </c>
      <c r="B6" s="2" t="inlineStr">
        <is>
          <t>MIP</t>
        </is>
      </c>
      <c r="C6" s="2" t="inlineStr">
        <is>
          <t>Chu et al.</t>
        </is>
      </c>
      <c r="D6" s="2" t="inlineStr">
        <is>
          <t>CVPR</t>
        </is>
      </c>
      <c r="E6" s="2" t="inlineStr">
        <is>
          <t>2020-06</t>
        </is>
      </c>
      <c r="F6" s="2" t="inlineStr">
        <is>
          <t>Published</t>
        </is>
      </c>
      <c r="G6" s="2" t="n">
        <v>90.7</v>
      </c>
      <c r="H6" s="2" t="inlineStr">
        <is>
          <t>AP=90.7 | MR^-2=41.4</t>
        </is>
      </c>
      <c r="I6" s="2" t="inlineStr">
        <is>
          <t>N/A</t>
        </is>
      </c>
      <c r="J6" s="2" t="inlineStr">
        <is>
          <t>N/A</t>
        </is>
      </c>
      <c r="K6" s="2" t="inlineStr">
        <is>
          <t>✅ verified (CrowdDet CVPR20, arxiv 2003.07847 Table 5): 90.7 AP / 41.4 MR^-2 on CrowdHuman val (MIP — multiple instance prediction variant)</t>
        </is>
      </c>
      <c r="L6" s="9" t="inlineStr">
        <is>
          <t>https://arxiv.org/abs/2003.07847</t>
        </is>
      </c>
      <c r="M6" s="9" t="inlineStr">
        <is>
          <t>https://github.com/Megvii-BaseDetection/CrowdDetection</t>
        </is>
      </c>
    </row>
    <row r="7" ht="48" customHeight="1">
      <c r="A7" s="2" t="inlineStr">
        <is>
          <t>General OD</t>
        </is>
      </c>
      <c r="B7" s="2" t="inlineStr">
        <is>
          <t>CrowdDet</t>
        </is>
      </c>
      <c r="C7" s="2" t="inlineStr">
        <is>
          <t>Chu et al.</t>
        </is>
      </c>
      <c r="D7" s="2" t="inlineStr">
        <is>
          <t>CVPR</t>
        </is>
      </c>
      <c r="E7" s="2" t="inlineStr">
        <is>
          <t>2020-06</t>
        </is>
      </c>
      <c r="F7" s="2" t="inlineStr">
        <is>
          <t>Published</t>
        </is>
      </c>
      <c r="G7" s="2" t="n">
        <v>90.7</v>
      </c>
      <c r="H7" s="2" t="inlineStr">
        <is>
          <t>AP=90.7 | MR^-2=41.4</t>
        </is>
      </c>
      <c r="I7" s="2" t="inlineStr">
        <is>
          <t>N/A</t>
        </is>
      </c>
      <c r="J7" s="2" t="inlineStr">
        <is>
          <t>N/A</t>
        </is>
      </c>
      <c r="K7" s="2" t="inlineStr">
        <is>
          <t>✅ verified (CrowdDet CVPR20, arxiv 2003.07847): 90.7 AP / 41.4 MR^-2 on CrowdHuman val (CrowdDet main method)</t>
        </is>
      </c>
      <c r="L7" s="9" t="inlineStr">
        <is>
          <t>https://arxiv.org/abs/2003.07847</t>
        </is>
      </c>
      <c r="M7" s="9" t="inlineStr">
        <is>
          <t>https://github.com/Purkialo/CrowdDet</t>
        </is>
      </c>
    </row>
    <row r="8" ht="48" customHeight="1">
      <c r="A8" s="3" t="inlineStr">
        <is>
          <t>Real-Time OD</t>
        </is>
      </c>
      <c r="B8" s="3" t="inlineStr">
        <is>
          <t>YOLOv7</t>
        </is>
      </c>
      <c r="C8" s="3" t="inlineStr">
        <is>
          <t>Wang et al.</t>
        </is>
      </c>
      <c r="D8" s="3" t="inlineStr">
        <is>
          <t>CVPR</t>
        </is>
      </c>
      <c r="E8" s="3" t="inlineStr">
        <is>
          <t>2023-06</t>
        </is>
      </c>
      <c r="F8" s="3" t="inlineStr">
        <is>
          <t>Reproduced</t>
        </is>
      </c>
      <c r="G8" s="3" t="n">
        <v>89.5</v>
      </c>
      <c r="H8" s="3" t="inlineStr">
        <is>
          <t>AP=89.5</t>
        </is>
      </c>
      <c r="I8" s="3" t="inlineStr">
        <is>
          <t>114</t>
        </is>
      </c>
      <c r="J8" s="3" t="inlineStr">
        <is>
          <t>71.3M</t>
        </is>
      </c>
      <c r="K8" s="3" t="inlineStr">
        <is>
          <t>⚠️ YOLOv7 原論文僅報 COCO，未測 CrowdHuman；89.5 為第三方複現值，無權威來源</t>
        </is>
      </c>
      <c r="L8" s="6" t="inlineStr">
        <is>
          <t>https://arxiv.org/abs/2207.02696</t>
        </is>
      </c>
      <c r="M8" s="6" t="inlineStr">
        <is>
          <t>https://github.com/WongKinYiu/yolov7</t>
        </is>
      </c>
    </row>
    <row r="9" ht="48" customHeight="1">
      <c r="A9" s="2" t="inlineStr">
        <is>
          <t>General OD</t>
        </is>
      </c>
      <c r="B9" s="2" t="inlineStr">
        <is>
          <t>PBM</t>
        </is>
      </c>
      <c r="C9" s="2" t="inlineStr">
        <is>
          <t>Huang et al.</t>
        </is>
      </c>
      <c r="D9" s="2" t="inlineStr">
        <is>
          <t>CVPR</t>
        </is>
      </c>
      <c r="E9" s="2" t="inlineStr">
        <is>
          <t>2020-06</t>
        </is>
      </c>
      <c r="F9" s="2" t="inlineStr">
        <is>
          <t>Published</t>
        </is>
      </c>
      <c r="G9" s="2" t="n">
        <v>89.3</v>
      </c>
      <c r="H9" s="2" t="inlineStr">
        <is>
          <t>AP=89.3 | MR^-2=43.4</t>
        </is>
      </c>
      <c r="I9" s="2" t="inlineStr">
        <is>
          <t>N/A</t>
        </is>
      </c>
      <c r="J9" s="2" t="inlineStr">
        <is>
          <t>N/A</t>
        </is>
      </c>
      <c r="K9" s="2" t="inlineStr">
        <is>
          <t>✅ verified (CrowdDet CVPR20, arxiv 2003.07847 Table 5): 89.3 AP / 43.4 MR^-2 on CrowdHuman val (PBM — pseudo-box-merge baseline variant)</t>
        </is>
      </c>
      <c r="L9" s="9" t="inlineStr">
        <is>
          <t>https://arxiv.org/abs/2003.07847</t>
        </is>
      </c>
      <c r="M9" s="9" t="inlineStr">
        <is>
          <t>https://github.com/Purkialo/CrowdDet</t>
        </is>
      </c>
    </row>
    <row r="10" ht="48" customHeight="1">
      <c r="A10" s="2" t="inlineStr">
        <is>
          <t>General OD</t>
        </is>
      </c>
      <c r="B10" s="2" t="inlineStr">
        <is>
          <t>Faster R-CNN (FPN)</t>
        </is>
      </c>
      <c r="C10" s="2" t="inlineStr">
        <is>
          <t>Baseline</t>
        </is>
      </c>
      <c r="D10" s="2" t="inlineStr">
        <is>
          <t>NeurIPS</t>
        </is>
      </c>
      <c r="E10" s="2" t="inlineStr">
        <is>
          <t>2015-12</t>
        </is>
      </c>
      <c r="F10" s="2" t="inlineStr">
        <is>
          <t>Published</t>
        </is>
      </c>
      <c r="G10" s="2" t="n">
        <v>85</v>
      </c>
      <c r="H10" s="2" t="inlineStr">
        <is>
          <t>AP=85.0 | MR^-2=50.4</t>
        </is>
      </c>
      <c r="I10" s="2" t="inlineStr">
        <is>
          <t>N/A</t>
        </is>
      </c>
      <c r="J10" s="2" t="inlineStr">
        <is>
          <t>42M</t>
        </is>
      </c>
      <c r="K10" s="2" t="inlineStr">
        <is>
          <t>✅ verified (CrowdHuman dataset paper, arxiv 1805.00123): 85.0 AP / 50.4 MR^-2 on CrowdHuman val (Faster R-CNN + FPN baseline)</t>
        </is>
      </c>
      <c r="L10" s="9" t="inlineStr">
        <is>
          <t>https://arxiv.org/abs/1805.00123</t>
        </is>
      </c>
      <c r="M10" s="9" t="inlineStr">
        <is>
          <t>https://github.com/Purkialo/CrowdDet</t>
        </is>
      </c>
    </row>
    <row r="11" ht="48" customHeight="1">
      <c r="A11" s="2" t="inlineStr">
        <is>
          <t>General OD</t>
        </is>
      </c>
      <c r="B11" s="2" t="inlineStr">
        <is>
          <t>EOD</t>
        </is>
      </c>
      <c r="C11" s="2" t="inlineStr">
        <is>
          <t>Various</t>
        </is>
      </c>
      <c r="D11" s="2" t="inlineStr">
        <is>
          <t>arXiv</t>
        </is>
      </c>
      <c r="E11" s="2" t="inlineStr">
        <is>
          <t>2023-09</t>
        </is>
      </c>
      <c r="F11" s="2" t="inlineStr">
        <is>
          <t>Preprint</t>
        </is>
      </c>
      <c r="G11" s="2" t="n"/>
      <c r="H11" s="2" t="inlineStr">
        <is>
          <t>To verify</t>
        </is>
      </c>
      <c r="I11" s="2" t="inlineStr">
        <is>
          <t>N/A</t>
        </is>
      </c>
      <c r="J11" s="2" t="inlineStr">
        <is>
          <t>N/A</t>
        </is>
      </c>
      <c r="K11" s="2" t="inlineStr">
        <is>
          <t>⚠️ EOD: sheet 內 arxiv ID 2309.00000 為無效佔位符，無法取得 PDF 驗證 — 需正確論文參照</t>
        </is>
      </c>
      <c r="L11" s="9" t="inlineStr">
        <is>
          <t>https://arxiv.org/abs/2309.00000</t>
        </is>
      </c>
      <c r="M11" s="9" t="inlineStr">
        <is>
          <t>https://github.com/</t>
        </is>
      </c>
    </row>
    <row r="12" ht="48" customHeight="1">
      <c r="A12" s="3" t="inlineStr">
        <is>
          <t>Real-Time OD</t>
        </is>
      </c>
      <c r="B12" s="3" t="inlineStr">
        <is>
          <t>YOLOv8x</t>
        </is>
      </c>
      <c r="C12" s="3" t="inlineStr">
        <is>
          <t>Ultralytics</t>
        </is>
      </c>
      <c r="D12" s="3" t="inlineStr">
        <is>
          <t>GitHub</t>
        </is>
      </c>
      <c r="E12" s="3" t="inlineStr">
        <is>
          <t>2023-01</t>
        </is>
      </c>
      <c r="F12" s="3" t="inlineStr">
        <is>
          <t>Reproduced</t>
        </is>
      </c>
      <c r="G12" s="3" t="n"/>
      <c r="H12" s="3" t="inlineStr">
        <is>
          <t>To verify</t>
        </is>
      </c>
      <c r="I12" s="3" t="inlineStr">
        <is>
          <t>99</t>
        </is>
      </c>
      <c r="J12" s="3" t="inlineStr">
        <is>
          <t>68.2M</t>
        </is>
      </c>
      <c r="K12" s="3" t="inlineStr">
        <is>
          <t>⚠️ YOLOv8x (Ultralytics 2023) on CrowdHuman — no official peer-reviewed paper exists for YOLOv8; CrowdHuman MR^-2 / JI not in any official Ultralytics benchmark report. Community evaluations vary. Needs confirmed official or paper-reported value.</t>
        </is>
      </c>
      <c r="L12" s="6" t="inlineStr">
        <is>
          <t>https://docs.ultralytics.com/models/yolov8/</t>
        </is>
      </c>
      <c r="M12" s="6" t="inlineStr">
        <is>
          <t>https://github.com/ultralytics/ultralytics</t>
        </is>
      </c>
    </row>
    <row r="13">
      <c r="A13" s="3" t="inlineStr">
        <is>
          <t>Real-Time OD</t>
        </is>
      </c>
      <c r="B13" s="3" t="inlineStr">
        <is>
          <t>DEIM-D-FINE-X</t>
        </is>
      </c>
      <c r="C13" s="3" t="inlineStr">
        <is>
          <t>Huang et al.</t>
        </is>
      </c>
      <c r="D13" s="3" t="inlineStr">
        <is>
          <t>CVPR</t>
        </is>
      </c>
      <c r="E13" s="3" t="inlineStr">
        <is>
          <t>2025-06</t>
        </is>
      </c>
      <c r="F13" s="3" t="inlineStr">
        <is>
          <t>Preprint</t>
        </is>
      </c>
      <c r="G13" s="3" t="n"/>
      <c r="H13" s="3" t="n"/>
      <c r="I13" s="3" t="n"/>
      <c r="J13" s="3" t="n"/>
      <c r="K13" s="3" t="inlineStr">
        <is>
          <t>⚠️ DEIM-D-FINE-X 原論文僅 COCO，未測 CrowdHuman — 誤放</t>
        </is>
      </c>
      <c r="L13" s="6" t="inlineStr">
        <is>
          <t>https://arxiv.org/abs/2412.04234</t>
        </is>
      </c>
      <c r="M13" s="6" t="inlineStr">
        <is>
          <t>https://github.com/Intellindust-AI-Lab/DEIM</t>
        </is>
      </c>
    </row>
    <row r="14">
      <c r="A14" s="3" t="inlineStr">
        <is>
          <t>Real-Time OD</t>
        </is>
      </c>
      <c r="B14" s="3" t="inlineStr">
        <is>
          <t>DEIM-D-FINE-L</t>
        </is>
      </c>
      <c r="C14" s="3" t="inlineStr">
        <is>
          <t>Huang et al.</t>
        </is>
      </c>
      <c r="D14" s="3" t="inlineStr">
        <is>
          <t>CVPR</t>
        </is>
      </c>
      <c r="E14" s="3" t="inlineStr">
        <is>
          <t>2025-06</t>
        </is>
      </c>
      <c r="F14" s="3" t="inlineStr">
        <is>
          <t>Preprint</t>
        </is>
      </c>
      <c r="G14" s="3" t="n"/>
      <c r="H14" s="3" t="n"/>
      <c r="I14" s="3" t="n"/>
      <c r="J14" s="3" t="n"/>
      <c r="K14" s="3" t="inlineStr">
        <is>
          <t>⚠️ DEIM-D-FINE-L 原論文僅 COCO，未測 CrowdHuman — 誤放</t>
        </is>
      </c>
      <c r="L14" s="6" t="inlineStr">
        <is>
          <t>https://arxiv.org/abs/2412.04234</t>
        </is>
      </c>
      <c r="M14" s="6" t="inlineStr">
        <is>
          <t>https://github.com/Intellindust-AI-Lab/DEIM</t>
        </is>
      </c>
    </row>
    <row r="15">
      <c r="A15" s="3" t="inlineStr">
        <is>
          <t>General OD</t>
        </is>
      </c>
      <c r="B15" s="3" t="inlineStr">
        <is>
          <t>DINO-X</t>
        </is>
      </c>
      <c r="C15" s="3" t="inlineStr">
        <is>
          <t>IDEA Research</t>
        </is>
      </c>
      <c r="D15" s="3" t="inlineStr">
        <is>
          <t>arXiv</t>
        </is>
      </c>
      <c r="E15" s="3" t="inlineStr">
        <is>
          <t>2024-11</t>
        </is>
      </c>
      <c r="F15" s="3" t="inlineStr">
        <is>
          <t>Preprint</t>
        </is>
      </c>
      <c r="G15" s="3" t="n"/>
      <c r="H15" s="3" t="n"/>
      <c r="I15" s="3" t="n"/>
      <c r="J15" s="3" t="n"/>
      <c r="K15" s="3" t="inlineStr">
        <is>
          <t>⚠️ DINO-X 開放詞彙偵測器 (COCO/LVIS)，未測 CrowdHuman — 誤放</t>
        </is>
      </c>
      <c r="L15" s="6" t="inlineStr">
        <is>
          <t>https://arxiv.org/abs/2411.14347</t>
        </is>
      </c>
      <c r="M15" s="6" t="inlineStr">
        <is>
          <t>https://github.com/IDEA-Research/DINO-X-API</t>
        </is>
      </c>
    </row>
    <row r="16">
      <c r="A16" s="3" t="inlineStr">
        <is>
          <t>General OD</t>
        </is>
      </c>
      <c r="B16" s="3" t="inlineStr">
        <is>
          <t>Grounding DINO 1.5 Pro</t>
        </is>
      </c>
      <c r="C16" s="3" t="inlineStr">
        <is>
          <t>Ren et al.</t>
        </is>
      </c>
      <c r="D16" s="3" t="inlineStr">
        <is>
          <t>arXiv</t>
        </is>
      </c>
      <c r="E16" s="3" t="inlineStr">
        <is>
          <t>2024-05</t>
        </is>
      </c>
      <c r="F16" s="3" t="inlineStr">
        <is>
          <t>Preprint</t>
        </is>
      </c>
      <c r="G16" s="3" t="n"/>
      <c r="H16" s="3" t="n"/>
      <c r="I16" s="3" t="n"/>
      <c r="J16" s="3" t="n"/>
      <c r="K16" s="3" t="inlineStr">
        <is>
          <t>⚠️ Grounding DINO 1.5 Pro: 開放詞彙偵測器 (COCO/LVIS/ODinW)，原論文未測 CrowdHuman — 誤放</t>
        </is>
      </c>
      <c r="L16" s="6" t="inlineStr">
        <is>
          <t>https://arxiv.org/abs/2405.10300</t>
        </is>
      </c>
      <c r="M16" s="6" t="inlineStr">
        <is>
          <t>https://github.com/IDEA-Research/Grounding-DINO-1.5-API</t>
        </is>
      </c>
    </row>
    <row r="17">
      <c r="A17" s="3" t="inlineStr">
        <is>
          <t>General OD</t>
        </is>
      </c>
      <c r="B17" s="3" t="inlineStr">
        <is>
          <t>InternImage-H</t>
        </is>
      </c>
      <c r="C17" s="3" t="inlineStr">
        <is>
          <t>Wang et al.</t>
        </is>
      </c>
      <c r="D17" s="3" t="inlineStr">
        <is>
          <t>CVPR</t>
        </is>
      </c>
      <c r="E17" s="3" t="inlineStr">
        <is>
          <t>2023-06</t>
        </is>
      </c>
      <c r="F17" s="3" t="inlineStr">
        <is>
          <t>Preprint</t>
        </is>
      </c>
      <c r="G17" s="3" t="n"/>
      <c r="H17" s="3" t="n"/>
      <c r="I17" s="3" t="n"/>
      <c r="J17" s="3" t="n"/>
      <c r="K17" s="3" t="inlineStr">
        <is>
          <t>⚠️ InternImage-H 於 CrowdHuman 之 97.2 異常偏高且 InternImage 表為 LVIS；未測 CrowdHuman — 需查證/誤放</t>
        </is>
      </c>
      <c r="L17" s="6" t="inlineStr">
        <is>
          <t>https://arxiv.org/abs/2211.05778</t>
        </is>
      </c>
      <c r="M17" s="6" t="inlineStr">
        <is>
          <t>https://github.com/OpenGVLab/InternImage</t>
        </is>
      </c>
    </row>
    <row r="18">
      <c r="A18" s="3" t="inlineStr">
        <is>
          <t>General OD</t>
        </is>
      </c>
      <c r="B18" s="3" t="inlineStr">
        <is>
          <t>Sparse R-CNN (R101)</t>
        </is>
      </c>
      <c r="C18" s="3" t="inlineStr">
        <is>
          <t>Sun et al.</t>
        </is>
      </c>
      <c r="D18" s="3" t="inlineStr">
        <is>
          <t>CVPR</t>
        </is>
      </c>
      <c r="E18" s="3" t="inlineStr">
        <is>
          <t>2021-01</t>
        </is>
      </c>
      <c r="F18" s="3" t="inlineStr">
        <is>
          <t>Preprint</t>
        </is>
      </c>
      <c r="G18" s="3" t="n"/>
      <c r="H18" s="3" t="n"/>
      <c r="I18" s="3" t="n"/>
      <c r="J18" s="3" t="n"/>
      <c r="K18" s="3" t="inlineStr">
        <is>
          <t>⚠️ Sparse R-CNN CrowdHuman 已列 (91.3)；R101 變體無 CrowdHuman 報值 — 重複/無來源</t>
        </is>
      </c>
      <c r="L18" s="6" t="inlineStr">
        <is>
          <t>https://arxiv.org/abs/2011.12450</t>
        </is>
      </c>
      <c r="M18" s="6" t="inlineStr">
        <is>
          <t>https://github.com/PeizeSun/SparseR-CNN</t>
        </is>
      </c>
    </row>
    <row r="19">
      <c r="A19" s="3" t="inlineStr">
        <is>
          <t>General OD</t>
        </is>
      </c>
      <c r="B19" s="3" t="inlineStr">
        <is>
          <t>DEIM</t>
        </is>
      </c>
      <c r="C19" s="3" t="inlineStr">
        <is>
          <t>—</t>
        </is>
      </c>
      <c r="D19" s="3" t="inlineStr">
        <is>
          <t>CVPR 2025</t>
        </is>
      </c>
      <c r="E19" s="3" t="inlineStr">
        <is>
          <t>2025-06</t>
        </is>
      </c>
      <c r="F19" s="3" t="inlineStr">
        <is>
          <t>Preprint</t>
        </is>
      </c>
      <c r="G19" s="3" t="n"/>
      <c r="H19" s="3" t="n"/>
      <c r="I19" s="3" t="n"/>
      <c r="J19" s="3" t="n"/>
      <c r="K19" s="3" t="inlineStr">
        <is>
          <t>⚠️ DEIM: 57.5 為 COCO val AP，非 CrowdHuman AP；DEIM 原論文未測 CrowdHuman — 誤放</t>
        </is>
      </c>
      <c r="L19" s="6" t="inlineStr">
        <is>
          <t>https://openaccess.thecvf.com/content/CVPR2025/html/Huang_DEIM_DETR_with_Improved_Matching_for_Fast_Convergence_CVPR_2025_paper.html</t>
        </is>
      </c>
      <c r="M19" s="6" t="inlineStr">
        <is>
          <t>N/A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9"/>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t="inlineStr">
        <is>
          <t>General OD</t>
        </is>
      </c>
      <c r="B2" t="inlineStr">
        <is>
          <t>YOLOv9-E</t>
        </is>
      </c>
      <c r="C2" t="inlineStr">
        <is>
          <t>Chien et al. (YOLOv9 fracture)</t>
        </is>
      </c>
      <c r="D2" t="inlineStr">
        <is>
          <t>arXiv 2024</t>
        </is>
      </c>
      <c r="E2" t="inlineStr">
        <is>
          <t>2024-03</t>
        </is>
      </c>
      <c r="F2" t="inlineStr">
        <is>
          <t>已發表</t>
        </is>
      </c>
      <c r="G2" t="n">
        <v>65.45999999999999</v>
      </c>
      <c r="H2" t="inlineStr">
        <is>
          <t>mAP@0.5=65.46</t>
        </is>
      </c>
      <c r="K2" t="inlineStr">
        <is>
          <t>✅ verified (YOLOv9-fracture paper arxiv 2403.11249 comparison Table, input 640): YOLOv9-E GraZPEDWRI-DX mAP@0.5=65.46. 註：原 sheet 列的方法部分未在 GraZPEDWRI-DX 發表，已用此權威 benchmark 取代</t>
        </is>
      </c>
      <c r="L2" t="inlineStr">
        <is>
          <t>https://arxiv.org/abs/2403.11249</t>
        </is>
      </c>
    </row>
    <row r="3" ht="48" customHeight="1">
      <c r="A3" t="inlineStr">
        <is>
          <t>General OD</t>
        </is>
      </c>
      <c r="B3" t="inlineStr">
        <is>
          <t>YOLOv9-C</t>
        </is>
      </c>
      <c r="C3" t="inlineStr">
        <is>
          <t>Chien et al. (YOLOv9 fracture)</t>
        </is>
      </c>
      <c r="D3" t="inlineStr">
        <is>
          <t>arXiv 2024</t>
        </is>
      </c>
      <c r="E3" t="inlineStr">
        <is>
          <t>2024-03</t>
        </is>
      </c>
      <c r="F3" t="inlineStr">
        <is>
          <t>已發表</t>
        </is>
      </c>
      <c r="G3" t="n">
        <v>65.31</v>
      </c>
      <c r="H3" t="inlineStr">
        <is>
          <t>mAP@0.5=65.31</t>
        </is>
      </c>
      <c r="K3" t="inlineStr">
        <is>
          <t>✅ verified (YOLOv9-fracture paper arxiv 2403.11249 comparison Table, input 640): YOLOv9-C GraZPEDWRI-DX mAP@0.5=65.31. 註：原 sheet 列的方法部分未在 GraZPEDWRI-DX 發表，已用此權威 benchmark 取代</t>
        </is>
      </c>
      <c r="L3" t="inlineStr">
        <is>
          <t>https://arxiv.org/abs/2403.11249</t>
        </is>
      </c>
    </row>
    <row r="4" ht="48" customHeight="1">
      <c r="A4" t="inlineStr">
        <is>
          <t>General OD</t>
        </is>
      </c>
      <c r="B4" t="inlineStr">
        <is>
          <t>YOLOv8+SA</t>
        </is>
      </c>
      <c r="C4" t="inlineStr">
        <is>
          <t>Chien et al. (YOLOv9 fracture)</t>
        </is>
      </c>
      <c r="D4" t="inlineStr">
        <is>
          <t>arXiv 2024</t>
        </is>
      </c>
      <c r="E4" t="inlineStr">
        <is>
          <t>2024-03</t>
        </is>
      </c>
      <c r="F4" t="inlineStr">
        <is>
          <t>已發表</t>
        </is>
      </c>
      <c r="G4" t="n">
        <v>63.99</v>
      </c>
      <c r="H4" t="inlineStr">
        <is>
          <t>mAP@0.5=63.99</t>
        </is>
      </c>
      <c r="K4" t="inlineStr">
        <is>
          <t>✅ verified (YOLOv9-fracture paper arxiv 2403.11249 comparison Table, input 640): YOLOv8+SA GraZPEDWRI-DX mAP@0.5=63.99. 註：原 sheet 列的方法部分未在 GraZPEDWRI-DX 發表，已用此權威 benchmark 取代</t>
        </is>
      </c>
      <c r="L4" t="inlineStr">
        <is>
          <t>https://arxiv.org/abs/2403.11249</t>
        </is>
      </c>
    </row>
    <row r="5" ht="48" customHeight="1">
      <c r="A5" t="inlineStr">
        <is>
          <t>General OD</t>
        </is>
      </c>
      <c r="B5" t="inlineStr">
        <is>
          <t>YOLOv8+ResGAM</t>
        </is>
      </c>
      <c r="C5" t="inlineStr">
        <is>
          <t>Chien et al. (YOLOv9 fracture)</t>
        </is>
      </c>
      <c r="D5" t="inlineStr">
        <is>
          <t>arXiv 2024</t>
        </is>
      </c>
      <c r="E5" t="inlineStr">
        <is>
          <t>2024-03</t>
        </is>
      </c>
      <c r="F5" t="inlineStr">
        <is>
          <t>已發表</t>
        </is>
      </c>
      <c r="G5" t="n">
        <v>63.97</v>
      </c>
      <c r="H5" t="inlineStr">
        <is>
          <t>mAP@0.5=63.97</t>
        </is>
      </c>
      <c r="K5" t="inlineStr">
        <is>
          <t>✅ verified (YOLOv9-fracture paper arxiv 2403.11249 comparison Table, input 640): YOLOv8+ResGAM GraZPEDWRI-DX mAP@0.5=63.97. 註：原 sheet 列的方法部分未在 GraZPEDWRI-DX 發表，已用此權威 benchmark 取代</t>
        </is>
      </c>
      <c r="L5" t="inlineStr">
        <is>
          <t>https://arxiv.org/abs/2403.11249</t>
        </is>
      </c>
    </row>
    <row r="6" ht="48" customHeight="1">
      <c r="A6" t="inlineStr">
        <is>
          <t>General OD</t>
        </is>
      </c>
      <c r="B6" t="inlineStr">
        <is>
          <t>YOLOv8+GAM</t>
        </is>
      </c>
      <c r="C6" t="inlineStr">
        <is>
          <t>Chien et al. (YOLOv9 fracture)</t>
        </is>
      </c>
      <c r="D6" t="inlineStr">
        <is>
          <t>arXiv 2024</t>
        </is>
      </c>
      <c r="E6" t="inlineStr">
        <is>
          <t>2024-03</t>
        </is>
      </c>
      <c r="F6" t="inlineStr">
        <is>
          <t>已發表</t>
        </is>
      </c>
      <c r="G6" t="n">
        <v>63.32</v>
      </c>
      <c r="H6" t="inlineStr">
        <is>
          <t>mAP@0.5=63.32</t>
        </is>
      </c>
      <c r="K6" t="inlineStr">
        <is>
          <t>✅ verified (YOLOv9-fracture paper arxiv 2403.11249 comparison Table, input 640): YOLOv8+GAM GraZPEDWRI-DX mAP@0.5=63.32. 註：原 sheet 列的方法部分未在 GraZPEDWRI-DX 發表，已用此權威 benchmark 取代</t>
        </is>
      </c>
      <c r="L6" t="inlineStr">
        <is>
          <t>https://arxiv.org/abs/2403.11249</t>
        </is>
      </c>
    </row>
    <row r="7" ht="48" customHeight="1">
      <c r="A7" t="inlineStr">
        <is>
          <t>General OD</t>
        </is>
      </c>
      <c r="B7" t="inlineStr">
        <is>
          <t>YOLOv8+ResCBAM</t>
        </is>
      </c>
      <c r="C7" t="inlineStr">
        <is>
          <t>Chien et al. (YOLOv9 fracture)</t>
        </is>
      </c>
      <c r="D7" t="inlineStr">
        <is>
          <t>arXiv 2024</t>
        </is>
      </c>
      <c r="E7" t="inlineStr">
        <is>
          <t>2024-03</t>
        </is>
      </c>
      <c r="F7" t="inlineStr">
        <is>
          <t>已發表</t>
        </is>
      </c>
      <c r="G7" t="n">
        <v>62.95</v>
      </c>
      <c r="H7" t="inlineStr">
        <is>
          <t>mAP@0.5=62.95</t>
        </is>
      </c>
      <c r="K7" t="inlineStr">
        <is>
          <t>✅ verified (YOLOv9-fracture paper arxiv 2403.11249 comparison Table, input 640): YOLOv8+ResCBAM GraZPEDWRI-DX mAP@0.5=62.95. 註：原 sheet 列的方法部分未在 GraZPEDWRI-DX 發表，已用此權威 benchmark 取代</t>
        </is>
      </c>
      <c r="L7" t="inlineStr">
        <is>
          <t>https://arxiv.org/abs/2403.11249</t>
        </is>
      </c>
    </row>
    <row r="8" ht="48" customHeight="1">
      <c r="A8" t="inlineStr">
        <is>
          <t>General OD</t>
        </is>
      </c>
      <c r="B8" t="inlineStr">
        <is>
          <t>YOLOv8+ECA</t>
        </is>
      </c>
      <c r="C8" t="inlineStr">
        <is>
          <t>Chien et al. (YOLOv9 fracture)</t>
        </is>
      </c>
      <c r="D8" t="inlineStr">
        <is>
          <t>arXiv 2024</t>
        </is>
      </c>
      <c r="E8" t="inlineStr">
        <is>
          <t>2024-03</t>
        </is>
      </c>
      <c r="F8" t="inlineStr">
        <is>
          <t>已發表</t>
        </is>
      </c>
      <c r="G8" t="n">
        <v>62.64</v>
      </c>
      <c r="H8" t="inlineStr">
        <is>
          <t>mAP@0.5=62.64</t>
        </is>
      </c>
      <c r="K8" t="inlineStr">
        <is>
          <t>✅ verified (YOLOv9-fracture paper arxiv 2403.11249 comparison Table, input 640): YOLOv8+ECA GraZPEDWRI-DX mAP@0.5=62.64. 註：原 sheet 列的方法部分未在 GraZPEDWRI-DX 發表，已用此權威 benchmark 取代</t>
        </is>
      </c>
      <c r="L8" t="inlineStr">
        <is>
          <t>https://arxiv.org/abs/2403.11249</t>
        </is>
      </c>
    </row>
    <row r="9" ht="48" customHeight="1">
      <c r="A9" t="inlineStr">
        <is>
          <t>General OD</t>
        </is>
      </c>
      <c r="B9" t="inlineStr">
        <is>
          <t>YOLOv8 (base)</t>
        </is>
      </c>
      <c r="C9" t="inlineStr">
        <is>
          <t>Chien et al. (YOLOv9 fracture)</t>
        </is>
      </c>
      <c r="D9" t="inlineStr">
        <is>
          <t>arXiv 2024</t>
        </is>
      </c>
      <c r="E9" t="inlineStr">
        <is>
          <t>2024-03</t>
        </is>
      </c>
      <c r="F9" t="inlineStr">
        <is>
          <t>已發表</t>
        </is>
      </c>
      <c r="G9" t="n">
        <v>62.44</v>
      </c>
      <c r="H9" t="inlineStr">
        <is>
          <t>mAP@0.5=62.44</t>
        </is>
      </c>
      <c r="K9" t="inlineStr">
        <is>
          <t>✅ verified (YOLOv9-fracture paper arxiv 2403.11249 comparison Table, input 640): YOLOv8 (base) GraZPEDWRI-DX mAP@0.5=62.44. 註：原 sheet 列的方法部分未在 GraZPEDWRI-DX 發表，已用此權威 benchmark 取代</t>
        </is>
      </c>
      <c r="L9" t="inlineStr">
        <is>
          <t>https://arxiv.org/abs/2403.11249</t>
        </is>
      </c>
    </row>
    <row r="10" ht="48" customHeight="1"/>
    <row r="11" ht="48" customHeight="1"/>
    <row r="12" ht="48" customHeight="1"/>
  </sheetData>
  <autoFilter ref="A1:M12"/>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16"/>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t="inlineStr">
        <is>
          <t>General OD</t>
        </is>
      </c>
      <c r="B2" t="inlineStr">
        <is>
          <t>Double Heads</t>
        </is>
      </c>
      <c r="C2" t="inlineStr">
        <is>
          <t>CPPE-5 baselines (Dagli &amp; Shaikh)</t>
        </is>
      </c>
      <c r="D2" t="inlineStr">
        <is>
          <t>arXiv 2021</t>
        </is>
      </c>
      <c r="E2" t="inlineStr">
        <is>
          <t>2021-12</t>
        </is>
      </c>
      <c r="F2" t="inlineStr">
        <is>
          <t>已發表</t>
        </is>
      </c>
      <c r="G2" t="n">
        <v>87.3</v>
      </c>
      <c r="H2" t="inlineStr">
        <is>
          <t>AP=52.0 | AP50=87.3 | AP75=55.2 | APS=38.6 | APM=41.0 | APL=60.8</t>
        </is>
      </c>
      <c r="J2" t="inlineStr">
        <is>
          <t>148.7M</t>
        </is>
      </c>
      <c r="K2" t="inlineStr">
        <is>
          <t>✅ verified (CPPE-5 paper arxiv 2112.09569 baseline Table / Papers-with-Code CPPE-5 leaderboard): Double Heads mAP@0.5=87.3 box AP=52.0</t>
        </is>
      </c>
      <c r="L2" t="inlineStr">
        <is>
          <t>https://arxiv.org/abs/2112.09569</t>
        </is>
      </c>
    </row>
    <row r="3" ht="48" customHeight="1">
      <c r="A3" t="inlineStr">
        <is>
          <t>General OD</t>
        </is>
      </c>
      <c r="B3" t="inlineStr">
        <is>
          <t>Deformable Conv. Network (DCN)</t>
        </is>
      </c>
      <c r="C3" t="inlineStr">
        <is>
          <t>CPPE-5 baselines (Dagli &amp; Shaikh)</t>
        </is>
      </c>
      <c r="D3" t="inlineStr">
        <is>
          <t>arXiv 2021</t>
        </is>
      </c>
      <c r="E3" t="inlineStr">
        <is>
          <t>2021-12</t>
        </is>
      </c>
      <c r="F3" t="inlineStr">
        <is>
          <t>已發表</t>
        </is>
      </c>
      <c r="G3" t="n">
        <v>87.09999999999999</v>
      </c>
      <c r="H3" t="inlineStr">
        <is>
          <t>AP=51.6 | AP50=87.1 | AP75=55.9 | APS=36.3 | APM=41.4 | APL=61.3</t>
        </is>
      </c>
      <c r="J3" t="inlineStr">
        <is>
          <t>148.71M</t>
        </is>
      </c>
      <c r="K3" t="inlineStr">
        <is>
          <t>✅ verified (CPPE-5 paper arxiv 2112.09569 baseline Table / Papers-with-Code CPPE-5 leaderboard): Deformable Conv. Network (DCN) mAP@0.5=87.1 box AP=51.6</t>
        </is>
      </c>
      <c r="L3" t="inlineStr">
        <is>
          <t>https://arxiv.org/abs/2112.09569</t>
        </is>
      </c>
    </row>
    <row r="4" ht="48" customHeight="1">
      <c r="A4" t="inlineStr">
        <is>
          <t>General OD</t>
        </is>
      </c>
      <c r="B4" t="inlineStr">
        <is>
          <t>Empirical Attention</t>
        </is>
      </c>
      <c r="C4" t="inlineStr">
        <is>
          <t>CPPE-5 baselines (Dagli &amp; Shaikh)</t>
        </is>
      </c>
      <c r="D4" t="inlineStr">
        <is>
          <t>arXiv 2021</t>
        </is>
      </c>
      <c r="E4" t="inlineStr">
        <is>
          <t>2021-12</t>
        </is>
      </c>
      <c r="F4" t="inlineStr">
        <is>
          <t>已發表</t>
        </is>
      </c>
      <c r="G4" t="n">
        <v>86.5</v>
      </c>
      <c r="H4" t="inlineStr">
        <is>
          <t>AP=52.5 | AP50=86.5 | AP75=54.1 | APS=38.7 | APM=43.4 | APL=61.0</t>
        </is>
      </c>
      <c r="J4" t="inlineStr">
        <is>
          <t>47.63M</t>
        </is>
      </c>
      <c r="K4" t="inlineStr">
        <is>
          <t>✅ verified (CPPE-5 paper arxiv 2112.09569 baseline Table / Papers-with-Code CPPE-5 leaderboard): Empirical Attention mAP@0.5=86.5 box AP=52.5</t>
        </is>
      </c>
      <c r="L4" t="inlineStr">
        <is>
          <t>https://arxiv.org/abs/2112.09569</t>
        </is>
      </c>
    </row>
    <row r="5" ht="48" customHeight="1">
      <c r="A5" t="inlineStr">
        <is>
          <t>General OD</t>
        </is>
      </c>
      <c r="B5" t="inlineStr">
        <is>
          <t>RegNet</t>
        </is>
      </c>
      <c r="C5" t="inlineStr">
        <is>
          <t>CPPE-5 baselines (Dagli &amp; Shaikh)</t>
        </is>
      </c>
      <c r="D5" t="inlineStr">
        <is>
          <t>arXiv 2021</t>
        </is>
      </c>
      <c r="E5" t="inlineStr">
        <is>
          <t>2021-12</t>
        </is>
      </c>
      <c r="F5" t="inlineStr">
        <is>
          <t>已發表</t>
        </is>
      </c>
      <c r="G5" t="n">
        <v>85.3</v>
      </c>
      <c r="H5" t="inlineStr">
        <is>
          <t>AP=51.3 | AP50=85.3 | AP75=51.8 | APS=35.7 | APM=41.1 | APL=60.5</t>
        </is>
      </c>
      <c r="J5" t="inlineStr">
        <is>
          <t>31.5M</t>
        </is>
      </c>
      <c r="K5" t="inlineStr">
        <is>
          <t>✅ verified (CPPE-5 paper arxiv 2112.09569 baseline Table / Papers-with-Code CPPE-5 leaderboard): RegNet mAP@0.5=85.3 box AP=51.3</t>
        </is>
      </c>
      <c r="L5" t="inlineStr">
        <is>
          <t>https://arxiv.org/abs/2112.09569</t>
        </is>
      </c>
    </row>
    <row r="6" ht="48" customHeight="1">
      <c r="A6" t="inlineStr">
        <is>
          <t>General OD</t>
        </is>
      </c>
      <c r="B6" t="inlineStr">
        <is>
          <t>TridentNet</t>
        </is>
      </c>
      <c r="C6" t="inlineStr">
        <is>
          <t>CPPE-5 baselines (Dagli &amp; Shaikh)</t>
        </is>
      </c>
      <c r="D6" t="inlineStr">
        <is>
          <t>arXiv 2021</t>
        </is>
      </c>
      <c r="E6" t="inlineStr">
        <is>
          <t>2021-12</t>
        </is>
      </c>
      <c r="F6" t="inlineStr">
        <is>
          <t>已發表</t>
        </is>
      </c>
      <c r="G6" t="n">
        <v>85.09999999999999</v>
      </c>
      <c r="H6" t="inlineStr">
        <is>
          <t>AP=52.9 | AP50=85.1 | AP75=58.3 | APS=42.6 | APM=41.3 | APL=62.6</t>
        </is>
      </c>
      <c r="J6" t="inlineStr">
        <is>
          <t>32.8M</t>
        </is>
      </c>
      <c r="K6" t="inlineStr">
        <is>
          <t>✅ verified (CPPE-5 paper arxiv 2112.09569 baseline Table / Papers-with-Code CPPE-5 leaderboard): TridentNet mAP@0.5=85.1 box AP=52.9</t>
        </is>
      </c>
      <c r="L6" t="inlineStr">
        <is>
          <t>https://arxiv.org/abs/2112.09569</t>
        </is>
      </c>
    </row>
    <row r="7" ht="48" customHeight="1">
      <c r="A7" t="inlineStr">
        <is>
          <t>General OD</t>
        </is>
      </c>
      <c r="B7" t="inlineStr">
        <is>
          <t>FSAF</t>
        </is>
      </c>
      <c r="C7" t="inlineStr">
        <is>
          <t>CPPE-5 baselines (Dagli &amp; Shaikh)</t>
        </is>
      </c>
      <c r="D7" t="inlineStr">
        <is>
          <t>arXiv 2021</t>
        </is>
      </c>
      <c r="E7" t="inlineStr">
        <is>
          <t>2021-12</t>
        </is>
      </c>
      <c r="F7" t="inlineStr">
        <is>
          <t>已發表</t>
        </is>
      </c>
      <c r="G7" t="n">
        <v>84.7</v>
      </c>
      <c r="H7" t="inlineStr">
        <is>
          <t>AP=49.2 | AP50=84.7 | AP75=48.2 | APS=45.3 | APM=39.6 | APL=56.7</t>
        </is>
      </c>
      <c r="J7" t="inlineStr">
        <is>
          <t>93.75M</t>
        </is>
      </c>
      <c r="K7" t="inlineStr">
        <is>
          <t>✅ verified (CPPE-5 paper arxiv 2112.09569 baseline Table / Papers-with-Code CPPE-5 leaderboard): FSAF mAP@0.5=84.7 box AP=49.2</t>
        </is>
      </c>
      <c r="L7" t="inlineStr">
        <is>
          <t>https://arxiv.org/abs/2112.09569</t>
        </is>
      </c>
    </row>
    <row r="8" ht="48" customHeight="1">
      <c r="A8" t="inlineStr">
        <is>
          <t>General OD</t>
        </is>
      </c>
      <c r="B8" t="inlineStr">
        <is>
          <t>VarifocalNet</t>
        </is>
      </c>
      <c r="C8" t="inlineStr">
        <is>
          <t>CPPE-5 baselines (Dagli &amp; Shaikh)</t>
        </is>
      </c>
      <c r="D8" t="inlineStr">
        <is>
          <t>arXiv 2021</t>
        </is>
      </c>
      <c r="E8" t="inlineStr">
        <is>
          <t>2021-12</t>
        </is>
      </c>
      <c r="F8" t="inlineStr">
        <is>
          <t>已發表</t>
        </is>
      </c>
      <c r="G8" t="n">
        <v>82.59999999999999</v>
      </c>
      <c r="H8" t="inlineStr">
        <is>
          <t>AP=51.0 | AP50=82.6 | AP75=56.7 | APS=39.0 | APM=42.1 | APL=58.8</t>
        </is>
      </c>
      <c r="J8" t="inlineStr">
        <is>
          <t>53.54M</t>
        </is>
      </c>
      <c r="K8" t="inlineStr">
        <is>
          <t>✅ verified (CPPE-5 paper arxiv 2112.09569 baseline Table / Papers-with-Code CPPE-5 leaderboard): VarifocalNet mAP@0.5=82.6 box AP=51.0</t>
        </is>
      </c>
      <c r="L8" t="inlineStr">
        <is>
          <t>https://arxiv.org/abs/2112.09569</t>
        </is>
      </c>
    </row>
    <row r="9" ht="48" customHeight="1">
      <c r="A9" t="inlineStr">
        <is>
          <t>General OD</t>
        </is>
      </c>
      <c r="B9" t="inlineStr">
        <is>
          <t>FCOS</t>
        </is>
      </c>
      <c r="C9" t="inlineStr">
        <is>
          <t>CPPE-5 baselines (Dagli &amp; Shaikh)</t>
        </is>
      </c>
      <c r="D9" t="inlineStr">
        <is>
          <t>arXiv 2021</t>
        </is>
      </c>
      <c r="E9" t="inlineStr">
        <is>
          <t>2021-12</t>
        </is>
      </c>
      <c r="F9" t="inlineStr">
        <is>
          <t>已發表</t>
        </is>
      </c>
      <c r="G9" t="n">
        <v>79.5</v>
      </c>
      <c r="H9" t="inlineStr">
        <is>
          <t>AP=44.4 | AP50=79.5 | AP75=45.9 | APS=36.7 | APM=39.2 | APL=51.7</t>
        </is>
      </c>
      <c r="J9" t="inlineStr">
        <is>
          <t>50.8M</t>
        </is>
      </c>
      <c r="K9" t="inlineStr">
        <is>
          <t>✅ verified (CPPE-5 paper arxiv 2112.09569 baseline Table / Papers-with-Code CPPE-5 leaderboard): FCOS mAP@0.5=79.5 box AP=44.4</t>
        </is>
      </c>
      <c r="L9" t="inlineStr">
        <is>
          <t>https://arxiv.org/abs/2112.09569</t>
        </is>
      </c>
    </row>
    <row r="10" ht="48" customHeight="1">
      <c r="A10" t="inlineStr">
        <is>
          <t>General OD</t>
        </is>
      </c>
      <c r="B10" t="inlineStr">
        <is>
          <t>YOLOv3</t>
        </is>
      </c>
      <c r="C10" t="inlineStr">
        <is>
          <t>CPPE-5 baselines (Dagli &amp; Shaikh)</t>
        </is>
      </c>
      <c r="D10" t="inlineStr">
        <is>
          <t>arXiv 2021</t>
        </is>
      </c>
      <c r="E10" t="inlineStr">
        <is>
          <t>2021-12</t>
        </is>
      </c>
      <c r="F10" t="inlineStr">
        <is>
          <t>已發表</t>
        </is>
      </c>
      <c r="G10" t="n">
        <v>79.40000000000001</v>
      </c>
      <c r="H10" t="inlineStr">
        <is>
          <t>AP=38.5 | AP50=79.4 | AP75=35.3 | APS=23.1 | APM=28.4 | APL=49.0</t>
        </is>
      </c>
      <c r="J10" t="inlineStr">
        <is>
          <t>61.55M</t>
        </is>
      </c>
      <c r="K10" t="inlineStr">
        <is>
          <t>✅ verified (CPPE-5 paper arxiv 2112.09569 baseline Table / Papers-with-Code CPPE-5 leaderboard): YOLOv3 mAP@0.5=79.4 box AP=38.5</t>
        </is>
      </c>
      <c r="L10" t="inlineStr">
        <is>
          <t>https://arxiv.org/abs/2112.09569</t>
        </is>
      </c>
    </row>
    <row r="11" ht="48" customHeight="1">
      <c r="A11" t="inlineStr">
        <is>
          <t>General OD</t>
        </is>
      </c>
      <c r="B11" t="inlineStr">
        <is>
          <t>Grid R-CNN</t>
        </is>
      </c>
      <c r="C11" t="inlineStr">
        <is>
          <t>CPPE-5 baselines (Dagli &amp; Shaikh)</t>
        </is>
      </c>
      <c r="D11" t="inlineStr">
        <is>
          <t>arXiv 2021</t>
        </is>
      </c>
      <c r="E11" t="inlineStr">
        <is>
          <t>2021-12</t>
        </is>
      </c>
      <c r="F11" t="inlineStr">
        <is>
          <t>已發表</t>
        </is>
      </c>
      <c r="G11" t="n">
        <v>77.90000000000001</v>
      </c>
      <c r="H11" t="inlineStr">
        <is>
          <t>AP=47.5 | AP50=77.9 | AP75=50.6 | APS=43.4 | APM=37.2 | APL=54.4</t>
        </is>
      </c>
      <c r="J11" t="inlineStr">
        <is>
          <t>121.98M</t>
        </is>
      </c>
      <c r="K11" t="inlineStr">
        <is>
          <t>✅ verified (CPPE-5 paper arxiv 2112.09569 baseline Table / Papers-with-Code CPPE-5 leaderboard): Grid R-CNN mAP@0.5=77.9 box AP=47.5</t>
        </is>
      </c>
      <c r="L11" t="inlineStr">
        <is>
          <t>https://arxiv.org/abs/2112.09569</t>
        </is>
      </c>
    </row>
    <row r="12" ht="48" customHeight="1">
      <c r="A12" t="inlineStr">
        <is>
          <t>General OD</t>
        </is>
      </c>
      <c r="B12" t="inlineStr">
        <is>
          <t>Deformable DETR</t>
        </is>
      </c>
      <c r="C12" t="inlineStr">
        <is>
          <t>CPPE-5 baselines (Dagli &amp; Shaikh)</t>
        </is>
      </c>
      <c r="D12" t="inlineStr">
        <is>
          <t>arXiv 2021</t>
        </is>
      </c>
      <c r="E12" t="inlineStr">
        <is>
          <t>2021-12</t>
        </is>
      </c>
      <c r="F12" t="inlineStr">
        <is>
          <t>已發表</t>
        </is>
      </c>
      <c r="G12" t="n">
        <v>76.90000000000001</v>
      </c>
      <c r="H12" t="inlineStr">
        <is>
          <t>AP=48.0 | AP50=76.9 | AP75=52.8 | APS=36.4 | APM=35.2 | APL=53.9</t>
        </is>
      </c>
      <c r="J12" t="inlineStr">
        <is>
          <t>40.5M</t>
        </is>
      </c>
      <c r="K12" t="inlineStr">
        <is>
          <t>✅ verified (CPPE-5 paper arxiv 2112.09569 baseline Table / Papers-with-Code CPPE-5 leaderboard): Deformable DETR mAP@0.5=76.9 box AP=48.0</t>
        </is>
      </c>
      <c r="L12" t="inlineStr">
        <is>
          <t>https://arxiv.org/abs/2112.09569</t>
        </is>
      </c>
    </row>
    <row r="13">
      <c r="A13" t="inlineStr">
        <is>
          <t>General OD</t>
        </is>
      </c>
      <c r="B13" t="inlineStr">
        <is>
          <t>RepPoints</t>
        </is>
      </c>
      <c r="C13" t="inlineStr">
        <is>
          <t>CPPE-5 baselines (Dagli &amp; Shaikh)</t>
        </is>
      </c>
      <c r="D13" t="inlineStr">
        <is>
          <t>arXiv 2021</t>
        </is>
      </c>
      <c r="E13" t="inlineStr">
        <is>
          <t>2021-12</t>
        </is>
      </c>
      <c r="F13" t="inlineStr">
        <is>
          <t>已發表</t>
        </is>
      </c>
      <c r="G13" t="n">
        <v>75.90000000000001</v>
      </c>
      <c r="H13" t="inlineStr">
        <is>
          <t>AP=43.0 | AP50=75.9 | AP75=40.1 | APS=27.3 | APM=36.7 | APL=48.0</t>
        </is>
      </c>
      <c r="J13" t="inlineStr">
        <is>
          <t>36.6M</t>
        </is>
      </c>
      <c r="K13" t="inlineStr">
        <is>
          <t>✅ verified (CPPE-5 paper arxiv 2112.09569 baseline Table / Papers-with-Code CPPE-5 leaderboard): RepPoints mAP@0.5=75.9 box AP=43.0</t>
        </is>
      </c>
      <c r="L13" t="inlineStr">
        <is>
          <t>https://arxiv.org/abs/2112.09569</t>
        </is>
      </c>
    </row>
    <row r="14">
      <c r="A14" t="inlineStr">
        <is>
          <t>General OD</t>
        </is>
      </c>
      <c r="B14" t="inlineStr">
        <is>
          <t>Faster R-CNN</t>
        </is>
      </c>
      <c r="C14" t="inlineStr">
        <is>
          <t>CPPE-5 baselines (Dagli &amp; Shaikh)</t>
        </is>
      </c>
      <c r="D14" t="inlineStr">
        <is>
          <t>arXiv 2021</t>
        </is>
      </c>
      <c r="E14" t="inlineStr">
        <is>
          <t>2021-12</t>
        </is>
      </c>
      <c r="F14" t="inlineStr">
        <is>
          <t>已發表</t>
        </is>
      </c>
      <c r="G14" t="n">
        <v>73.8</v>
      </c>
      <c r="H14" t="inlineStr">
        <is>
          <t>AP=44.0 | AP50=73.8 | AP75=47.8 | APS=30.0 | APM=34.7 | APL=52.5</t>
        </is>
      </c>
      <c r="J14" t="inlineStr">
        <is>
          <t>60.14M</t>
        </is>
      </c>
      <c r="K14" t="inlineStr">
        <is>
          <t>✅ verified (CPPE-5 paper arxiv 2112.09569 baseline Table / Papers-with-Code CPPE-5 leaderboard): Faster R-CNN mAP@0.5=73.8 box AP=44.0</t>
        </is>
      </c>
      <c r="L14" t="inlineStr">
        <is>
          <t>https://arxiv.org/abs/2112.09569</t>
        </is>
      </c>
    </row>
    <row r="15">
      <c r="A15" t="inlineStr">
        <is>
          <t>General OD</t>
        </is>
      </c>
      <c r="B15" t="inlineStr">
        <is>
          <t>Sparse R-CNN</t>
        </is>
      </c>
      <c r="C15" t="inlineStr">
        <is>
          <t>CPPE-5 baselines (Dagli &amp; Shaikh)</t>
        </is>
      </c>
      <c r="D15" t="inlineStr">
        <is>
          <t>arXiv 2021</t>
        </is>
      </c>
      <c r="E15" t="inlineStr">
        <is>
          <t>2021-12</t>
        </is>
      </c>
      <c r="F15" t="inlineStr">
        <is>
          <t>已發表</t>
        </is>
      </c>
      <c r="G15" t="n">
        <v>69.59999999999999</v>
      </c>
      <c r="H15" t="inlineStr">
        <is>
          <t>AP=44.0 | AP50=69.6 | AP75=44.6 | APS=30.0 | APM=30.6 | APL=54.7</t>
        </is>
      </c>
      <c r="J15" t="inlineStr">
        <is>
          <t>124.99M</t>
        </is>
      </c>
      <c r="K15" t="inlineStr">
        <is>
          <t>✅ verified (CPPE-5 paper arxiv 2112.09569 baseline Table / Papers-with-Code CPPE-5 leaderboard): Sparse R-CNN mAP@0.5=69.6 box AP=44.0</t>
        </is>
      </c>
      <c r="L15" t="inlineStr">
        <is>
          <t>https://arxiv.org/abs/2112.09569</t>
        </is>
      </c>
    </row>
    <row r="16">
      <c r="A16" t="inlineStr">
        <is>
          <t>General OD</t>
        </is>
      </c>
      <c r="B16" t="inlineStr">
        <is>
          <t>SSD</t>
        </is>
      </c>
      <c r="C16" t="inlineStr">
        <is>
          <t>CPPE-5 baselines (Dagli &amp; Shaikh)</t>
        </is>
      </c>
      <c r="D16" t="inlineStr">
        <is>
          <t>arXiv 2021</t>
        </is>
      </c>
      <c r="E16" t="inlineStr">
        <is>
          <t>2021-12</t>
        </is>
      </c>
      <c r="F16" t="inlineStr">
        <is>
          <t>已發表</t>
        </is>
      </c>
      <c r="G16" t="n">
        <v>57</v>
      </c>
      <c r="H16" t="inlineStr">
        <is>
          <t>AP=29.5 | AP50=57.0 | AP75=24.9 | APS=32.1 | APM=23.1 | APL=34.6</t>
        </is>
      </c>
      <c r="J16" t="inlineStr">
        <is>
          <t>64.34M</t>
        </is>
      </c>
      <c r="K16" t="inlineStr">
        <is>
          <t>✅ verified (CPPE-5 paper arxiv 2112.09569 baseline Table / Papers-with-Code CPPE-5 leaderboard): SSD mAP@0.5=57.0 box AP=29.5</t>
        </is>
      </c>
      <c r="L16" t="inlineStr">
        <is>
          <t>https://arxiv.org/abs/2112.09569</t>
        </is>
      </c>
    </row>
  </sheetData>
  <autoFilter ref="A1:M12"/>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6"/>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t="inlineStr">
        <is>
          <t>General OD</t>
        </is>
      </c>
      <c r="B2" t="inlineStr">
        <is>
          <t>RW-TSDet</t>
        </is>
      </c>
      <c r="C2" t="inlineStr">
        <is>
          <t>Waymo Open Dataset Challenge 2020</t>
        </is>
      </c>
      <c r="D2" t="inlineStr">
        <is>
          <t>2D Detection Track</t>
        </is>
      </c>
      <c r="E2" t="inlineStr">
        <is>
          <t>2020</t>
        </is>
      </c>
      <c r="F2" t="inlineStr">
        <is>
          <t>Leaderboard</t>
        </is>
      </c>
      <c r="G2" t="n">
        <v>79.42</v>
      </c>
      <c r="H2" t="inlineStr">
        <is>
          <t>AP/L1=79.42 | AP/L2=74.43</t>
        </is>
      </c>
      <c r="K2" t="inlineStr">
        <is>
          <t>✅ verified (Waymo Open Dataset 2020 2D Detection Challenge 官方 leaderboard, 1st place; AP/L2 74.43 確認自論文 arxiv 2008.01365): RW-TSDet AP/L1=79.42 AP/L2=74.43. 註：原 sheet 列的 DETR/Co-DETR/DINO 等未在 Waymo 2D 發表，已用官方 challenge leaderboard 取代</t>
        </is>
      </c>
      <c r="L2" t="inlineStr">
        <is>
          <t>https://arxiv.org/abs/2008.01365</t>
        </is>
      </c>
    </row>
    <row r="3" ht="48" customHeight="1">
      <c r="A3" t="inlineStr">
        <is>
          <t>General OD</t>
        </is>
      </c>
      <c r="B3" t="inlineStr">
        <is>
          <t>HorizonDet</t>
        </is>
      </c>
      <c r="C3" t="inlineStr">
        <is>
          <t>Waymo Open Dataset Challenge 2020</t>
        </is>
      </c>
      <c r="D3" t="inlineStr">
        <is>
          <t>2D Detection Track</t>
        </is>
      </c>
      <c r="E3" t="inlineStr">
        <is>
          <t>2020</t>
        </is>
      </c>
      <c r="F3" t="inlineStr">
        <is>
          <t>Leaderboard</t>
        </is>
      </c>
      <c r="G3" t="n">
        <v>75.56</v>
      </c>
      <c r="H3" t="inlineStr">
        <is>
          <t>AP/L1=75.56 | AP/L2=70.28</t>
        </is>
      </c>
      <c r="K3" t="inlineStr">
        <is>
          <t>✅ verified (Waymo Open Dataset 2020 2D Detection Challenge 官方 leaderboard, 2020 2D Challenge leaderboard): HorizonDet AP/L1=75.56 AP/L2=70.28. 註：原 sheet 列的 DETR/Co-DETR/DINO 等未在 Waymo 2D 發表，已用官方 challenge leaderboard 取代</t>
        </is>
      </c>
      <c r="L3" t="inlineStr">
        <is>
          <t>https://arxiv.org/abs/2008.01365</t>
        </is>
      </c>
    </row>
    <row r="4" ht="48" customHeight="1">
      <c r="A4" t="inlineStr">
        <is>
          <t>General OD</t>
        </is>
      </c>
      <c r="B4" t="inlineStr">
        <is>
          <t>SPNAS-Noah</t>
        </is>
      </c>
      <c r="C4" t="inlineStr">
        <is>
          <t>Waymo Open Dataset Challenge 2020</t>
        </is>
      </c>
      <c r="D4" t="inlineStr">
        <is>
          <t>2D Detection Track</t>
        </is>
      </c>
      <c r="E4" t="inlineStr">
        <is>
          <t>2020</t>
        </is>
      </c>
      <c r="F4" t="inlineStr">
        <is>
          <t>Leaderboard</t>
        </is>
      </c>
      <c r="G4" t="n">
        <v>75.03</v>
      </c>
      <c r="H4" t="inlineStr">
        <is>
          <t>AP/L1=75.03 | AP/L2=69.43</t>
        </is>
      </c>
      <c r="K4" t="inlineStr">
        <is>
          <t>✅ verified (Waymo Open Dataset 2020 2D Detection Challenge 官方 leaderboard, 2020 2D Challenge leaderboard): SPNAS-Noah AP/L1=75.03 AP/L2=69.43. 註：原 sheet 列的 DETR/Co-DETR/DINO 等未在 Waymo 2D 發表，已用官方 challenge leaderboard 取代</t>
        </is>
      </c>
      <c r="L4" t="inlineStr">
        <is>
          <t>https://arxiv.org/abs/2008.01365</t>
        </is>
      </c>
    </row>
    <row r="5" ht="48" customHeight="1">
      <c r="A5" t="inlineStr">
        <is>
          <t>General OD</t>
        </is>
      </c>
      <c r="B5" t="inlineStr">
        <is>
          <t>dereyly_alex_2</t>
        </is>
      </c>
      <c r="C5" t="inlineStr">
        <is>
          <t>Waymo Open Dataset Challenge 2020</t>
        </is>
      </c>
      <c r="D5" t="inlineStr">
        <is>
          <t>2D Detection Track</t>
        </is>
      </c>
      <c r="E5" t="inlineStr">
        <is>
          <t>2020</t>
        </is>
      </c>
      <c r="F5" t="inlineStr">
        <is>
          <t>Leaderboard</t>
        </is>
      </c>
      <c r="G5" t="n">
        <v>74.61</v>
      </c>
      <c r="H5" t="inlineStr">
        <is>
          <t>AP/L1=74.61 | AP/L2=68.78</t>
        </is>
      </c>
      <c r="K5" t="inlineStr">
        <is>
          <t>✅ verified (Waymo Open Dataset 2020 2D Detection Challenge 官方 leaderboard, 2020 2D Challenge leaderboard): dereyly_alex_2 AP/L1=74.61 AP/L2=68.78. 註：原 sheet 列的 DETR/Co-DETR/DINO 等未在 Waymo 2D 發表，已用官方 challenge leaderboard 取代</t>
        </is>
      </c>
      <c r="L5" t="inlineStr">
        <is>
          <t>https://arxiv.org/abs/2008.01365</t>
        </is>
      </c>
    </row>
    <row r="6" ht="48" customHeight="1">
      <c r="A6" t="inlineStr">
        <is>
          <t>General OD</t>
        </is>
      </c>
      <c r="B6" t="inlineStr">
        <is>
          <t>dereyly_alex</t>
        </is>
      </c>
      <c r="C6" t="inlineStr">
        <is>
          <t>Waymo Open Dataset Challenge 2020</t>
        </is>
      </c>
      <c r="D6" t="inlineStr">
        <is>
          <t>2D Detection Track</t>
        </is>
      </c>
      <c r="E6" t="inlineStr">
        <is>
          <t>2020</t>
        </is>
      </c>
      <c r="F6" t="inlineStr">
        <is>
          <t>Leaderboard</t>
        </is>
      </c>
      <c r="G6" t="n">
        <v>74.09</v>
      </c>
      <c r="H6" t="inlineStr">
        <is>
          <t>AP/L1=74.09 | AP/L2=68.17</t>
        </is>
      </c>
      <c r="K6" t="inlineStr">
        <is>
          <t>✅ verified (Waymo Open Dataset 2020 2D Detection Challenge 官方 leaderboard, 2020 2D Challenge leaderboard): dereyly_alex AP/L1=74.09 AP/L2=68.17. 註：原 sheet 列的 DETR/Co-DETR/DINO 等未在 Waymo 2D 發表，已用官方 challenge leaderboard 取代</t>
        </is>
      </c>
      <c r="L6" t="inlineStr">
        <is>
          <t>https://arxiv.org/abs/2008.01365</t>
        </is>
      </c>
    </row>
    <row r="7" ht="48" customHeight="1"/>
    <row r="8" ht="48" customHeight="1"/>
    <row r="9" ht="48" customHeight="1"/>
    <row r="10" ht="48" customHeight="1"/>
    <row r="11" ht="48" customHeight="1"/>
    <row r="12" ht="48" customHeight="1"/>
  </sheetData>
  <autoFilter ref="A1:M12"/>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Full-Stack Val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Full-Stack Val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Full-Stack Val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Full-Stack Val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Full-Stack Val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Full-Stack Val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Full-Stack Val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Full-Stack Val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Full-Stack Val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Full-Stack Val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Full-Stack Val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12"/>
  <sheetViews>
    <sheetView workbookViewId="0">
      <pane ySplit="1" topLeftCell="A5" activePane="bottomLeft" state="frozen"/>
      <selection pane="bottomLeft" activeCell="L10" sqref="L10"/>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Detection-Only Val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Detection-Only Val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Detection-Only Val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Detection-Only Val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Detection-Only Val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Detection-Only Val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Detection-Only Val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Detection-Only Val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Detection-Only Val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Detection-Only Val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Detection-Only Val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Detection-Only Test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Detection-Only Test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Detection-Only Test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Detection-Only Test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Detection-Only Test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Detection-Only Test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Detection-Only Test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Detection-Only Test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Detection-Only Test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Detection-Only Test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Detection-Only Test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Full-Stack Test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Full-Stack Test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Full-Stack Test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Full-Stack Test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Full-Stack Test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Full-Stack Test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Full-Stack Test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Full-Stack Test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Full-Stack Test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Full-Stack Test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Full-Stack Test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0.944</v>
      </c>
      <c r="H2" s="4" t="inlineStr">
        <is>
          <t>Sα 0.944 / Fmax 0.943 / Em 0.962 / MAE 0.018 (BiRefNet TR=D,H,U, paper Table 5)</t>
        </is>
      </c>
      <c r="I2" s="4" t="inlineStr">
        <is>
          <t>≈14</t>
        </is>
      </c>
      <c r="J2" s="4" t="inlineStr">
        <is>
          <t>≈220M</t>
        </is>
      </c>
      <c r="K2" s="4" t="inlineStr">
        <is>
          <t>✅ verified (BiRefNet ECCV24 paper Table 5): DUTS-TE Sα=0.944</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0.931</v>
      </c>
      <c r="H3" s="4" t="inlineStr">
        <is>
          <t>Sα 0.931 / Fmax 0.927 / MAE 0.024 (InSPyReNet SwinB, paper Table 2)</t>
        </is>
      </c>
      <c r="I3" s="4" t="inlineStr">
        <is>
          <t>≈14</t>
        </is>
      </c>
      <c r="J3" s="4" t="inlineStr">
        <is>
          <t>58.7M</t>
        </is>
      </c>
      <c r="K3" s="4" t="inlineStr">
        <is>
          <t>✅ verified (InSPyReNet ACCV22 paper Tables 2-3 (SwinB backbone)): DUTS-TE Sα=0.931</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DUTS-TE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0.927</v>
      </c>
      <c r="H5" s="4" t="inlineStr">
        <is>
          <t>Sα 0.927 / MAE 0.024 / Em 0.960 / Fw 0.902</t>
        </is>
      </c>
      <c r="I5" s="4" t="inlineStr">
        <is>
          <t>20</t>
        </is>
      </c>
      <c r="J5" s="4" t="inlineStr">
        <is>
          <t>79M</t>
        </is>
      </c>
      <c r="K5" s="4" t="inlineStr">
        <is>
          <t>✅ verified (M3Net-S SwinB 384², M3Net arxiv 2309.08365 Table I/III): DUTS-TE Sα=0.927</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0.917</v>
      </c>
      <c r="H6" s="4" t="inlineStr">
        <is>
          <t>Sα 0.917 / MAE 0.025 / Em 0.960 / Fw 0.886</t>
        </is>
      </c>
      <c r="I6" s="4" t="inlineStr">
        <is>
          <t>23</t>
        </is>
      </c>
      <c r="J6" s="4" t="inlineStr">
        <is>
          <t>94M</t>
        </is>
      </c>
      <c r="K6" s="4" t="inlineStr">
        <is>
          <t>✅ verified (ICON-S Swin-B, M3Net arxiv 2309.08365 Table I): DUTS-TE Sα=0.917</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0.896</v>
      </c>
      <c r="H7" s="4" t="inlineStr">
        <is>
          <t>Sα 0.896 / Fmax 0.878 / MAE 0.037 (VST T2T-ViT-14, cited in InSPyReNet Table 2)</t>
        </is>
      </c>
      <c r="I7" s="4" t="inlineStr">
        <is>
          <t>18</t>
        </is>
      </c>
      <c r="J7" s="4" t="inlineStr">
        <is>
          <t>44M</t>
        </is>
      </c>
      <c r="K7" s="4" t="inlineStr">
        <is>
          <t>✅ verified (VST ICCV21, values cited in InSPyReNet Table 2): DUTS-TE Sα=0.896</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0.892</v>
      </c>
      <c r="H8" s="4" t="inlineStr">
        <is>
          <t>Sα 0.892 / Fm 0.893 / Em 0.933</t>
        </is>
      </c>
      <c r="I8" s="4" t="inlineStr">
        <is>
          <t>22</t>
        </is>
      </c>
      <c r="J8" s="4" t="inlineStr">
        <is>
          <t>42M</t>
        </is>
      </c>
      <c r="K8" s="4" t="inlineStr">
        <is>
          <t>✅ verified (EDN TIP22, Samba+ arxiv 2602.01593 Table I): DUTS-TE Sα=0.892</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0.89</v>
      </c>
      <c r="H9" s="4" t="inlineStr">
        <is>
          <t>Sα 0.890 / MAE 0.039 / Fβ 0.894</t>
        </is>
      </c>
      <c r="I9" s="4" t="inlineStr">
        <is>
          <t>32</t>
        </is>
      </c>
      <c r="J9" s="4" t="inlineStr">
        <is>
          <t>68.3M</t>
        </is>
      </c>
      <c r="K9" s="4" t="inlineStr">
        <is>
          <t>✅ verified (PoolNet-R+ ResNet50, PoolNet+ TPAMI22 Table 5): DUTS-TE Sα=0.89</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0.884</v>
      </c>
      <c r="H10" s="4" t="inlineStr">
        <is>
          <t>Sα 0.884 / MAE 0.037 / Em 0.927 / Fw 0.825</t>
        </is>
      </c>
      <c r="I10" s="4" t="inlineStr">
        <is>
          <t>30</t>
        </is>
      </c>
      <c r="J10" s="4" t="inlineStr">
        <is>
          <t>162M</t>
        </is>
      </c>
      <c r="K10" s="4" t="inlineStr">
        <is>
          <t>✅ verified (MINet-R ResNet50, M3Net arxiv 2309.08365 Table I): DUTS-TE Sα=0.884</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0.873</v>
      </c>
      <c r="H11" s="4" t="inlineStr">
        <is>
          <t>Sα 0.873 / MAE 0.047 / Fβ 0.842 (U²-Net 176MB model)</t>
        </is>
      </c>
      <c r="I11" s="4" t="inlineStr">
        <is>
          <t>30</t>
        </is>
      </c>
      <c r="J11" s="4" t="inlineStr">
        <is>
          <t>44M</t>
        </is>
      </c>
      <c r="K11" s="4" t="inlineStr">
        <is>
          <t>✅ verified (U²-Net PR 2020 Table 2): DUTS-TE Sα=0.873</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0.866</v>
      </c>
      <c r="H12" s="4" t="inlineStr">
        <is>
          <t>Sα 0.866 / Fmax 0.838 / MAE 0.048 (BASNet ResNet-34, cited in InSPyReNet Table 2)</t>
        </is>
      </c>
      <c r="I12" s="4" t="inlineStr">
        <is>
          <t>25</t>
        </is>
      </c>
      <c r="J12" s="4" t="inlineStr">
        <is>
          <t>87.1M</t>
        </is>
      </c>
      <c r="K12" s="4" t="inlineStr">
        <is>
          <t>✅ verified (BASNet CVPR19, values cited in InSPyReNet Table 2): DUTS-TE Sα=0.866</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inlineStr">
        <is>
          <t>N/A</t>
        </is>
      </c>
      <c r="H14" s="4" t="inlineStr">
        <is>
          <t>S 0.938 / Fm 0.937 / Em 0.962 / MAE 0.020</t>
        </is>
      </c>
      <c r="I14" s="4" t="n"/>
      <c r="J14" s="4" t="n"/>
      <c r="K14" s="4" t="inlineStr">
        <is>
          <t>✅ 已驗證 (S3OD arXiv25 Table 2, S3ODNet trained on S3OD)：DUTS-TE Sα=0.938 [Synthetic-trained SOD]</t>
        </is>
      </c>
      <c r="L14" s="7" t="inlineStr">
        <is>
          <t>https://arxiv.org/abs/2510.21605</t>
        </is>
      </c>
      <c r="M14" s="7" t="inlineStr">
        <is>
          <t>https://github.com/</t>
        </is>
      </c>
    </row>
    <row r="15">
      <c r="A15" s="4" t="inlineStr">
        <is>
          <t>RGB Salient OD</t>
        </is>
      </c>
      <c r="B15" s="4" t="inlineStr">
        <is>
          <t>VSCode</t>
        </is>
      </c>
      <c r="C15" s="4" t="inlineStr">
        <is>
          <t>Luo et al.</t>
        </is>
      </c>
      <c r="D15" s="4" t="inlineStr">
        <is>
          <t>CVPR</t>
        </is>
      </c>
      <c r="E15" s="4" t="inlineStr">
        <is>
          <t>2024-06</t>
        </is>
      </c>
      <c r="F15" s="4" t="inlineStr">
        <is>
          <t>Preprint</t>
        </is>
      </c>
      <c r="G15" s="4" t="inlineStr">
        <is>
          <t>N/A</t>
        </is>
      </c>
      <c r="H15" s="4" t="inlineStr">
        <is>
          <t>S 0.926 / Fm 0.922 / Em 0.960</t>
        </is>
      </c>
      <c r="I15" s="4" t="n"/>
      <c r="J15" s="4" t="n"/>
      <c r="K15" s="4" t="inlineStr">
        <is>
          <t>✅ 已驗證 (VSCode CVPR24 Table 3, Swin-S)：DUTS-TE Sα=0.926 [Multi-modal SOD unified]</t>
        </is>
      </c>
      <c r="L15" s="7" t="inlineStr">
        <is>
          <t>https://arxiv.org/abs/2311.15011</t>
        </is>
      </c>
      <c r="M15" s="7" t="inlineStr">
        <is>
          <t>https://github.com/Sssssuperior/VSCode</t>
        </is>
      </c>
    </row>
    <row r="16">
      <c r="A16" s="4" t="inlineStr">
        <is>
          <t>RGB Salient OD</t>
        </is>
      </c>
      <c r="B16" s="4" t="inlineStr">
        <is>
          <t>CPD-R</t>
        </is>
      </c>
      <c r="C16" s="4" t="inlineStr">
        <is>
          <t>Wu et al.</t>
        </is>
      </c>
      <c r="D16" s="4" t="inlineStr">
        <is>
          <t>CVPR</t>
        </is>
      </c>
      <c r="E16" s="4" t="inlineStr">
        <is>
          <t>2019-06</t>
        </is>
      </c>
      <c r="F16" s="4" t="inlineStr">
        <is>
          <t>Preprint</t>
        </is>
      </c>
      <c r="G16" s="4" t="inlineStr">
        <is>
          <t>N/A</t>
        </is>
      </c>
      <c r="H16" s="4" t="inlineStr">
        <is>
          <t>S 0.865 / Fβ 0.805 / MAE 0.043</t>
        </is>
      </c>
      <c r="I16" s="4" t="n"/>
      <c r="J16" s="4" t="n"/>
      <c r="K16" s="4" t="inlineStr">
        <is>
          <t>✅ 已驗證 (CPD CVPR19 Table 1, ResNet50)：Cascaded Partial Decoder for fast SOD；S 0.865 / Fβ 0.805 / MAE 0.043 [SOD]</t>
        </is>
      </c>
      <c r="L16" s="7" t="inlineStr">
        <is>
          <t>https://arxiv.org/abs/1904.08739</t>
        </is>
      </c>
      <c r="M16" s="7" t="inlineStr">
        <is>
          <t>https://github.com/wuzhe71/CPD</t>
        </is>
      </c>
    </row>
    <row r="17">
      <c r="A17" s="4" t="inlineStr">
        <is>
          <t>RGB Salient OD</t>
        </is>
      </c>
      <c r="B17" s="4" t="inlineStr">
        <is>
          <t>Samba</t>
        </is>
      </c>
      <c r="C17" s="4" t="inlineStr">
        <is>
          <t>—</t>
        </is>
      </c>
      <c r="D17" s="4" t="inlineStr">
        <is>
          <t>CVPR 2025</t>
        </is>
      </c>
      <c r="E17" s="4" t="inlineStr">
        <is>
          <t>2025-06</t>
        </is>
      </c>
      <c r="F17" s="4" t="inlineStr">
        <is>
          <t>Preprint</t>
        </is>
      </c>
      <c r="G17" s="4" t="n">
        <v>0.9320000000000001</v>
      </c>
      <c r="H17" s="4" t="inlineStr">
        <is>
          <t>Sα 0.932 / Fm 0.935 / Em 0.958</t>
        </is>
      </c>
      <c r="I17" s="4" t="n"/>
      <c r="J17" s="4" t="n"/>
      <c r="K17" s="4" t="inlineStr">
        <is>
          <t>✅ verified (Samba CVPR25, Samba+ arxiv 2602.01593 Table I): DUTS-TE Sα=0.932</t>
        </is>
      </c>
      <c r="L17" s="7" t="inlineStr">
        <is>
          <t>https://openaccess.thecvf.com/content/CVPR2025/html/He_Samba_A_Unified_Mamba-based_Framework_for_General_Salient_Object_Detection_CVPR_2025_paper.html</t>
        </is>
      </c>
      <c r="M17" s="7"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15"/>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0.882</v>
      </c>
      <c r="H2" s="4" t="inlineStr">
        <is>
          <t>Sα 0.882 / Fmax 0.839 / Em 0.896 / MAE 0.038 (BiRefNet TR=D,H,U, paper Table 5)</t>
        </is>
      </c>
      <c r="I2" s="4" t="inlineStr">
        <is>
          <t>≈14</t>
        </is>
      </c>
      <c r="J2" s="4" t="inlineStr">
        <is>
          <t>≈220M</t>
        </is>
      </c>
      <c r="K2" s="4" t="inlineStr">
        <is>
          <t>✅ verified (BiRefNet ECCV24 paper Table 5): DUT-OMRON Sα=0.882</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0.875</v>
      </c>
      <c r="H3" s="4" t="inlineStr">
        <is>
          <t>Sα 0.875 / Fmax 0.832 / MAE 0.045 (InSPyReNet SwinB, paper Table 2)</t>
        </is>
      </c>
      <c r="I3" s="4" t="inlineStr">
        <is>
          <t>≈14</t>
        </is>
      </c>
      <c r="J3" s="4" t="inlineStr">
        <is>
          <t>58.7M</t>
        </is>
      </c>
      <c r="K3" s="4" t="inlineStr">
        <is>
          <t>✅ verified (InSPyReNet ACCV22 paper Tables 2-3 (SwinB backbone)): DUT-OMRON Sα=0.875</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DUT-OMRON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0.872</v>
      </c>
      <c r="H5" s="4" t="inlineStr">
        <is>
          <t>Sα 0.872 / MAE 0.045 / Em 0.903 / Fw 0.811</t>
        </is>
      </c>
      <c r="I5" s="4" t="inlineStr">
        <is>
          <t>20</t>
        </is>
      </c>
      <c r="J5" s="4" t="inlineStr">
        <is>
          <t>79M</t>
        </is>
      </c>
      <c r="K5" s="4" t="inlineStr">
        <is>
          <t>✅ verified (M3Net-S SwinB 384², M3Net arxiv 2309.08365 Table I/III): DUT-OMRON Sα=0.872</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0.869</v>
      </c>
      <c r="H6" s="4" t="inlineStr">
        <is>
          <t>Sα 0.869 / MAE 0.043 / Em 0.906 / Fw 0.804</t>
        </is>
      </c>
      <c r="I6" s="4" t="inlineStr">
        <is>
          <t>23</t>
        </is>
      </c>
      <c r="J6" s="4" t="inlineStr">
        <is>
          <t>94M</t>
        </is>
      </c>
      <c r="K6" s="4" t="inlineStr">
        <is>
          <t>✅ verified (ICON-S Swin-B, M3Net arxiv 2309.08365 Table I): DUT-OMRON Sα=0.869</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0.85</v>
      </c>
      <c r="H7" s="4" t="inlineStr">
        <is>
          <t>Sα 0.850 / Fmax 0.800 / MAE 0.058 (VST T2T-ViT-14, cited in InSPyReNet Table 2)</t>
        </is>
      </c>
      <c r="I7" s="4" t="inlineStr">
        <is>
          <t>18</t>
        </is>
      </c>
      <c r="J7" s="4" t="inlineStr">
        <is>
          <t>44M</t>
        </is>
      </c>
      <c r="K7" s="4" t="inlineStr">
        <is>
          <t>✅ verified (VST ICCV21, values cited in InSPyReNet Table 2): DUT-OMRON Sα=0.85</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0.849</v>
      </c>
      <c r="H8" s="4" t="inlineStr">
        <is>
          <t>Sα 0.849 / Fm 0.821 / Em 0.884</t>
        </is>
      </c>
      <c r="I8" s="4" t="inlineStr">
        <is>
          <t>22</t>
        </is>
      </c>
      <c r="J8" s="4" t="inlineStr">
        <is>
          <t>42M</t>
        </is>
      </c>
      <c r="K8" s="4" t="inlineStr">
        <is>
          <t>✅ verified (EDN TIP22, Samba+ arxiv 2602.01593 Table I): DUT-OMRON Sα=0.849</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0.842</v>
      </c>
      <c r="H9" s="4" t="inlineStr">
        <is>
          <t>Sα 0.842 / MAE 0.056 / Fβ 0.831</t>
        </is>
      </c>
      <c r="I9" s="4" t="inlineStr">
        <is>
          <t>32</t>
        </is>
      </c>
      <c r="J9" s="4" t="inlineStr">
        <is>
          <t>68.3M</t>
        </is>
      </c>
      <c r="K9" s="4" t="inlineStr">
        <is>
          <t>✅ verified (PoolNet-R+ ResNet50, PoolNet+ TPAMI22 Table 5): DUT-OMRON Sα=0.842</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0.833</v>
      </c>
      <c r="H10" s="4" t="inlineStr">
        <is>
          <t>Sα 0.833 / MAE 0.056 / Em 0.869 / Fw 0.738</t>
        </is>
      </c>
      <c r="I10" s="4" t="inlineStr">
        <is>
          <t>30</t>
        </is>
      </c>
      <c r="J10" s="4" t="inlineStr">
        <is>
          <t>162M</t>
        </is>
      </c>
      <c r="K10" s="4" t="inlineStr">
        <is>
          <t>✅ verified (MINet-R ResNet50, M3Net arxiv 2309.08365 Table I): DUT-OMRON Sα=0.833</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0.844</v>
      </c>
      <c r="H11" s="4" t="inlineStr">
        <is>
          <t>Sα 0.844 / MAE 0.054 / Fβ 0.779</t>
        </is>
      </c>
      <c r="I11" s="4" t="inlineStr">
        <is>
          <t>30</t>
        </is>
      </c>
      <c r="J11" s="4" t="inlineStr">
        <is>
          <t>44M</t>
        </is>
      </c>
      <c r="K11" s="4" t="inlineStr">
        <is>
          <t>✅ verified (U²-Net PR 2020 Table 2): DUT-OMRON Sα=0.844</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0.836</v>
      </c>
      <c r="H12" s="4" t="inlineStr">
        <is>
          <t>Sα 0.836 / Fmax 0.779 / MAE 0.056 (BASNet ResNet-34, cited in InSPyReNet Table 2)</t>
        </is>
      </c>
      <c r="I12" s="4" t="inlineStr">
        <is>
          <t>25</t>
        </is>
      </c>
      <c r="J12" s="4" t="inlineStr">
        <is>
          <t>87.1M</t>
        </is>
      </c>
      <c r="K12" s="4" t="inlineStr">
        <is>
          <t>✅ verified (BASNet CVPR19, values cited in InSPyReNet Table 2): DUT-OMRON Sα=0.836</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DUT-OMRON</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inlineStr">
        <is>
          <t>N/A</t>
        </is>
      </c>
      <c r="H14" s="4" t="inlineStr">
        <is>
          <t>S 0.887 / Fm 0.860 / Em 0.911 / MAE 0.040</t>
        </is>
      </c>
      <c r="I14" s="4" t="n"/>
      <c r="J14" s="4" t="n"/>
      <c r="K14" s="4" t="inlineStr">
        <is>
          <t>✅ 已驗證 (S3OD arXiv25 Table 2)：DUT-OMRON Sα=0.887 [Synthetic-trained SOD]</t>
        </is>
      </c>
      <c r="L14" s="7" t="inlineStr">
        <is>
          <t>https://arxiv.org/abs/2510.21605</t>
        </is>
      </c>
      <c r="M14" s="7" t="inlineStr">
        <is>
          <t>https://github.com/</t>
        </is>
      </c>
    </row>
    <row r="15">
      <c r="A15" s="4" t="inlineStr">
        <is>
          <t>RGB Salient OD</t>
        </is>
      </c>
      <c r="B15" s="4" t="inlineStr">
        <is>
          <t>CPD-R</t>
        </is>
      </c>
      <c r="C15" s="4" t="inlineStr">
        <is>
          <t>Wu et al.</t>
        </is>
      </c>
      <c r="D15" s="4" t="inlineStr">
        <is>
          <t>CVPR</t>
        </is>
      </c>
      <c r="E15" s="4" t="inlineStr">
        <is>
          <t>2019-06</t>
        </is>
      </c>
      <c r="F15" s="4" t="inlineStr">
        <is>
          <t>Preprint</t>
        </is>
      </c>
      <c r="G15" s="4" t="inlineStr">
        <is>
          <t>N/A</t>
        </is>
      </c>
      <c r="H15" s="4" t="inlineStr">
        <is>
          <t>S 0.797 / Fβ 0.747 / MAE 0.056</t>
        </is>
      </c>
      <c r="I15" s="4" t="n"/>
      <c r="J15" s="4" t="n"/>
      <c r="K15" s="4" t="inlineStr">
        <is>
          <t>✅ 已驗證 (CPD CVPR19 Table 1, ResNet50)：Cascaded Partial Decoder for fast SOD；S 0.797 / Fβ 0.747 / MAE 0.056 [SOD]</t>
        </is>
      </c>
      <c r="L15" s="7" t="inlineStr">
        <is>
          <t>https://arxiv.org/abs/1904.08739</t>
        </is>
      </c>
      <c r="M15" s="7" t="inlineStr">
        <is>
          <t>https://github.com/wuzhe71/CPD</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H2" sqref="H2"/>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(not evaluated in BiRefNet ECCV24 paper Table 5)</t>
        </is>
      </c>
      <c r="I2" s="4" t="inlineStr">
        <is>
          <t>≈14</t>
        </is>
      </c>
      <c r="J2" s="4" t="inlineStr">
        <is>
          <t>≈220M</t>
        </is>
      </c>
      <c r="K2" s="4" t="inlineStr">
        <is>
          <t>⚠️ BiRefNet does not report on ECSSD in its paper. BiRefNet ECCV24 paper Table 5 covers other datasets only</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0.949</v>
      </c>
      <c r="H3" s="4" t="inlineStr">
        <is>
          <t>Sα 0.949 / Fmax 0.960 / MAE 0.023 (InSPyReNet SwinB, paper Table 2)</t>
        </is>
      </c>
      <c r="I3" s="4" t="inlineStr">
        <is>
          <t>≈14</t>
        </is>
      </c>
      <c r="J3" s="4" t="inlineStr">
        <is>
          <t>58.7M</t>
        </is>
      </c>
      <c r="K3" s="4" t="inlineStr">
        <is>
          <t>✅ verified (InSPyReNet ACCV22 paper Tables 2-3 (SwinB backbone)): ECSSD Sα=0.949</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ECSSD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0.948</v>
      </c>
      <c r="H5" s="4" t="inlineStr">
        <is>
          <t>Sα 0.948 / MAE 0.021 / Em 0.974 / Fw 0.947</t>
        </is>
      </c>
      <c r="I5" s="4" t="inlineStr">
        <is>
          <t>20</t>
        </is>
      </c>
      <c r="J5" s="4" t="inlineStr">
        <is>
          <t>79M</t>
        </is>
      </c>
      <c r="K5" s="4" t="inlineStr">
        <is>
          <t>✅ verified (M3Net-S SwinB 384², M3Net arxiv 2309.08365 Table I/III): ECSSD Sα=0.948</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0.9409999999999999</v>
      </c>
      <c r="H6" s="4" t="inlineStr">
        <is>
          <t>Sα 0.941 / MAE 0.023 / Em 0.972 / Fw 0.936</t>
        </is>
      </c>
      <c r="I6" s="4" t="inlineStr">
        <is>
          <t>23</t>
        </is>
      </c>
      <c r="J6" s="4" t="inlineStr">
        <is>
          <t>94M</t>
        </is>
      </c>
      <c r="K6" s="4" t="inlineStr">
        <is>
          <t>✅ verified (ICON-S Swin-B, M3Net arxiv 2309.08365 Table I): ECSSD Sα=0.941</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0.9320000000000001</v>
      </c>
      <c r="H7" s="4" t="inlineStr">
        <is>
          <t>Sα 0.932 / Fmax 0.944 / MAE 0.033 (VST T2T-ViT-14, cited in InSPyReNet Table 2)</t>
        </is>
      </c>
      <c r="I7" s="4" t="inlineStr">
        <is>
          <t>18</t>
        </is>
      </c>
      <c r="J7" s="4" t="inlineStr">
        <is>
          <t>44M</t>
        </is>
      </c>
      <c r="K7" s="4" t="inlineStr">
        <is>
          <t>✅ verified (VST ICCV21, values cited in InSPyReNet Table 2): ECSSD Sα=0.932</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0.927</v>
      </c>
      <c r="H8" s="4" t="inlineStr">
        <is>
          <t>Sα 0.927 / Fm 0.950 / Em 0.957</t>
        </is>
      </c>
      <c r="I8" s="4" t="inlineStr">
        <is>
          <t>22</t>
        </is>
      </c>
      <c r="J8" s="4" t="inlineStr">
        <is>
          <t>42M</t>
        </is>
      </c>
      <c r="K8" s="4" t="inlineStr">
        <is>
          <t>✅ verified (EDN TIP22, Samba+ arxiv 2602.01593 Table I): ECSSD Sα=0.927</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0.925</v>
      </c>
      <c r="H9" s="4" t="inlineStr">
        <is>
          <t>Sα 0.925 / MAE 0.040 / Fβ 0.949</t>
        </is>
      </c>
      <c r="I9" s="4" t="inlineStr">
        <is>
          <t>32</t>
        </is>
      </c>
      <c r="J9" s="4" t="inlineStr">
        <is>
          <t>68.3M</t>
        </is>
      </c>
      <c r="K9" s="4" t="inlineStr">
        <is>
          <t>✅ verified (PoolNet-R+ ResNet50, PoolNet+ TPAMI22 Table 5): ECSSD Sα=0.925</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0.925</v>
      </c>
      <c r="H10" s="4" t="inlineStr">
        <is>
          <t>Sα 0.925 / MAE 0.033 / Em 0.957 / Fw 0.911</t>
        </is>
      </c>
      <c r="I10" s="4" t="inlineStr">
        <is>
          <t>30</t>
        </is>
      </c>
      <c r="J10" s="4" t="inlineStr">
        <is>
          <t>162M</t>
        </is>
      </c>
      <c r="K10" s="4" t="inlineStr">
        <is>
          <t>✅ verified (MINet-R ResNet50, M3Net arxiv 2309.08365 Table I): ECSSD Sα=0.925</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0.923</v>
      </c>
      <c r="H11" s="4" t="inlineStr">
        <is>
          <t>Sα 0.923 / MAE 0.041 / Fβ 0.931</t>
        </is>
      </c>
      <c r="I11" s="4" t="inlineStr">
        <is>
          <t>30</t>
        </is>
      </c>
      <c r="J11" s="4" t="inlineStr">
        <is>
          <t>44M</t>
        </is>
      </c>
      <c r="K11" s="4" t="inlineStr">
        <is>
          <t>✅ verified (U²-Net PR 2020 Table 2): ECSSD Sα=0.923</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0.916</v>
      </c>
      <c r="H12" s="4" t="inlineStr">
        <is>
          <t>Sα 0.916 / Fmax 0.931 / MAE 0.037 (BASNet ResNet-34, cited in InSPyReNet Table 2)</t>
        </is>
      </c>
      <c r="I12" s="4" t="inlineStr">
        <is>
          <t>25</t>
        </is>
      </c>
      <c r="J12" s="4" t="inlineStr">
        <is>
          <t>87.1M</t>
        </is>
      </c>
      <c r="K12" s="4" t="inlineStr">
        <is>
          <t>✅ verified (BASNet CVPR19, values cited in InSPyReNet Table 2): ECSSD Sα=0.916</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ECSSD</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n"/>
      <c r="H14" s="4" t="n"/>
      <c r="I14" s="4" t="n"/>
      <c r="J14" s="4" t="n"/>
      <c r="K14" s="4" t="inlineStr">
        <is>
          <t>⚠️ S3OD (ICLR 2026, arxiv 2510.21605) evaluates on DIS subsets and HR-SOD benchmarks (DAVIS-S, HRSOD-TE, UHRSD-TE, DUTS-TE, DUT-OMRON). It does NOT report ECSSD or HKU-IS results in its paper. This entry is misplaced in this sheet.</t>
        </is>
      </c>
      <c r="L14" s="7" t="inlineStr">
        <is>
          <t>https://arxiv.org/abs/2510.21605</t>
        </is>
      </c>
      <c r="M14" s="7" t="inlineStr">
        <is>
          <t>https://github.com/</t>
        </is>
      </c>
    </row>
    <row r="15">
      <c r="A15" s="4" t="inlineStr">
        <is>
          <t>RGB Salient OD</t>
        </is>
      </c>
      <c r="B15" s="4" t="inlineStr">
        <is>
          <t>VSCode</t>
        </is>
      </c>
      <c r="C15" s="4" t="inlineStr">
        <is>
          <t>Luo et al.</t>
        </is>
      </c>
      <c r="D15" s="4" t="inlineStr">
        <is>
          <t>CVPR</t>
        </is>
      </c>
      <c r="E15" s="4" t="inlineStr">
        <is>
          <t>2024-06</t>
        </is>
      </c>
      <c r="F15" s="4" t="inlineStr">
        <is>
          <t>Preprint</t>
        </is>
      </c>
      <c r="G15" s="4" t="inlineStr">
        <is>
          <t>N/A</t>
        </is>
      </c>
      <c r="H15" s="4" t="inlineStr">
        <is>
          <t>S 0.949 / Fm 0.959 / Em 0.974</t>
        </is>
      </c>
      <c r="I15" s="4" t="n"/>
      <c r="J15" s="4" t="n"/>
      <c r="K15" s="4" t="inlineStr">
        <is>
          <t>✅ 已驗證 (VSCode CVPR24 Table 3, Swin-S)：ECSSD Sα=0.949 [SOD]</t>
        </is>
      </c>
      <c r="L15" s="7" t="inlineStr">
        <is>
          <t>https://arxiv.org/abs/2311.15011</t>
        </is>
      </c>
      <c r="M15" s="7" t="inlineStr">
        <is>
          <t>https://github.com/Sssssuperior/VSCode</t>
        </is>
      </c>
    </row>
    <row r="16">
      <c r="A16" s="4" t="inlineStr">
        <is>
          <t>RGB Salient OD</t>
        </is>
      </c>
      <c r="B16" s="4" t="inlineStr">
        <is>
          <t>CPD-R</t>
        </is>
      </c>
      <c r="C16" s="4" t="inlineStr">
        <is>
          <t>Wu et al.</t>
        </is>
      </c>
      <c r="D16" s="4" t="inlineStr">
        <is>
          <t>CVPR</t>
        </is>
      </c>
      <c r="E16" s="4" t="inlineStr">
        <is>
          <t>2019-06</t>
        </is>
      </c>
      <c r="F16" s="4" t="inlineStr">
        <is>
          <t>Preprint</t>
        </is>
      </c>
      <c r="G16" s="4" t="inlineStr">
        <is>
          <t>N/A</t>
        </is>
      </c>
      <c r="H16" s="4" t="inlineStr">
        <is>
          <t>S 0.939 / Fβ 0.917 / MAE 0.037</t>
        </is>
      </c>
      <c r="I16" s="4" t="n"/>
      <c r="J16" s="4" t="n"/>
      <c r="K16" s="4" t="inlineStr">
        <is>
          <t>✅ 已驗證 (CPD CVPR19 Table 1, ResNet50)：Cascaded Partial Decoder for fast SOD；S 0.939 / Fβ 0.917 / MAE 0.037 [SOD]</t>
        </is>
      </c>
      <c r="L16" s="7" t="inlineStr">
        <is>
          <t>https://arxiv.org/abs/1904.08739</t>
        </is>
      </c>
      <c r="M16" s="7" t="inlineStr">
        <is>
          <t>https://github.com/wuzhe71/CPD</t>
        </is>
      </c>
    </row>
    <row r="17">
      <c r="A17" s="4" t="inlineStr">
        <is>
          <t>RGB Salient OD</t>
        </is>
      </c>
      <c r="B17" s="4" t="inlineStr">
        <is>
          <t>Samba</t>
        </is>
      </c>
      <c r="C17" s="4" t="inlineStr">
        <is>
          <t>—</t>
        </is>
      </c>
      <c r="D17" s="4" t="inlineStr">
        <is>
          <t>CVPR 2025</t>
        </is>
      </c>
      <c r="E17" s="4" t="inlineStr">
        <is>
          <t>2025-06</t>
        </is>
      </c>
      <c r="F17" s="4" t="inlineStr">
        <is>
          <t>Preprint</t>
        </is>
      </c>
      <c r="G17" s="4" t="n">
        <v>0.953</v>
      </c>
      <c r="H17" s="4" t="inlineStr">
        <is>
          <t>Sα 0.953 / Fm 0.965 / Em 0.975</t>
        </is>
      </c>
      <c r="I17" s="4" t="n"/>
      <c r="J17" s="4" t="n"/>
      <c r="K17" s="4" t="inlineStr">
        <is>
          <t>✅ verified (Samba CVPR25, Samba+ arxiv 2602.01593 Table I): ECSSD Sα=0.953</t>
        </is>
      </c>
      <c r="L17" s="7" t="inlineStr">
        <is>
          <t>https://openaccess.thecvf.com/content/CVPR2025/html/He_Samba_A_Unified_Mamba-based_Framework_for_General_Salient_Object_Detection_CVPR_2025_paper.html</t>
        </is>
      </c>
      <c r="M17" s="7"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(not evaluated in BiRefNet ECCV24 paper Table 5)</t>
        </is>
      </c>
      <c r="I2" s="4" t="inlineStr">
        <is>
          <t>≈14</t>
        </is>
      </c>
      <c r="J2" s="4" t="inlineStr">
        <is>
          <t>≈220M</t>
        </is>
      </c>
      <c r="K2" s="4" t="inlineStr">
        <is>
          <t>⚠️ BiRefNet does not report on HKU-IS in its paper. BiRefNet ECCV24 paper Table 5 covers other datasets only</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0.944</v>
      </c>
      <c r="H3" s="4" t="inlineStr">
        <is>
          <t>Sα 0.944 / Fmax 0.955 / MAE 0.021 (InSPyReNet SwinB, paper Table 2)</t>
        </is>
      </c>
      <c r="I3" s="4" t="inlineStr">
        <is>
          <t>≈14</t>
        </is>
      </c>
      <c r="J3" s="4" t="inlineStr">
        <is>
          <t>58.7M</t>
        </is>
      </c>
      <c r="K3" s="4" t="inlineStr">
        <is>
          <t>✅ verified (InSPyReNet ACCV22 paper Tables 2-3 (SwinB backbone)): HKU-IS Sα=0.944</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HKU-IS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0.9429999999999999</v>
      </c>
      <c r="H5" s="4" t="inlineStr">
        <is>
          <t>Sα 0.943 / MAE 0.019 / Em 0.977 / Fw 0.937</t>
        </is>
      </c>
      <c r="I5" s="4" t="inlineStr">
        <is>
          <t>20</t>
        </is>
      </c>
      <c r="J5" s="4" t="inlineStr">
        <is>
          <t>79M</t>
        </is>
      </c>
      <c r="K5" s="4" t="inlineStr">
        <is>
          <t>✅ verified (M3Net-S SwinB 384², M3Net arxiv 2309.08365 Table I/III): HKU-IS Sα=0.943</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0.9350000000000001</v>
      </c>
      <c r="H6" s="4" t="inlineStr">
        <is>
          <t>Sα 0.935 / MAE 0.022 / Em 0.974 / Fw 0.925</t>
        </is>
      </c>
      <c r="I6" s="4" t="inlineStr">
        <is>
          <t>23</t>
        </is>
      </c>
      <c r="J6" s="4" t="inlineStr">
        <is>
          <t>94M</t>
        </is>
      </c>
      <c r="K6" s="4" t="inlineStr">
        <is>
          <t>✅ verified (ICON-S Swin-B, M3Net arxiv 2309.08365 Table I): HKU-IS Sα=0.935</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0.928</v>
      </c>
      <c r="H7" s="4" t="inlineStr">
        <is>
          <t>Sα 0.928 / Fmax 0.937 / MAE 0.029 (VST T2T-ViT-14, cited in InSPyReNet Table 2)</t>
        </is>
      </c>
      <c r="I7" s="4" t="inlineStr">
        <is>
          <t>18</t>
        </is>
      </c>
      <c r="J7" s="4" t="inlineStr">
        <is>
          <t>44M</t>
        </is>
      </c>
      <c r="K7" s="4" t="inlineStr">
        <is>
          <t>✅ verified (VST ICCV21, values cited in InSPyReNet Table 2): HKU-IS Sα=0.928</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0.924</v>
      </c>
      <c r="H8" s="4" t="inlineStr">
        <is>
          <t>Sα 0.924 / Fm 0.940 / Em 0.963</t>
        </is>
      </c>
      <c r="I8" s="4" t="inlineStr">
        <is>
          <t>22</t>
        </is>
      </c>
      <c r="J8" s="4" t="inlineStr">
        <is>
          <t>42M</t>
        </is>
      </c>
      <c r="K8" s="4" t="inlineStr">
        <is>
          <t>✅ verified (EDN TIP22, Samba+ arxiv 2602.01593 Table I): HKU-IS Sα=0.924</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0.921</v>
      </c>
      <c r="H9" s="4" t="inlineStr">
        <is>
          <t>Sα 0.921 / MAE 0.034 / Fβ 0.941</t>
        </is>
      </c>
      <c r="I9" s="4" t="inlineStr">
        <is>
          <t>32</t>
        </is>
      </c>
      <c r="J9" s="4" t="inlineStr">
        <is>
          <t>68.3M</t>
        </is>
      </c>
      <c r="K9" s="4" t="inlineStr">
        <is>
          <t>✅ verified (PoolNet-R+ ResNet50, PoolNet+ TPAMI22 Table 5): HKU-IS Sα=0.921</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0.919</v>
      </c>
      <c r="H10" s="4" t="inlineStr">
        <is>
          <t>Sα 0.919 / MAE 0.029 / Em 0.960 / Fw 0.897</t>
        </is>
      </c>
      <c r="I10" s="4" t="inlineStr">
        <is>
          <t>30</t>
        </is>
      </c>
      <c r="J10" s="4" t="inlineStr">
        <is>
          <t>162M</t>
        </is>
      </c>
      <c r="K10" s="4" t="inlineStr">
        <is>
          <t>✅ verified (MINet-R ResNet50, M3Net arxiv 2309.08365 Table I): HKU-IS Sα=0.919</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0.916</v>
      </c>
      <c r="H11" s="4" t="inlineStr">
        <is>
          <t>Sα 0.916 / MAE 0.035 / Fβ 0.919</t>
        </is>
      </c>
      <c r="I11" s="4" t="inlineStr">
        <is>
          <t>30</t>
        </is>
      </c>
      <c r="J11" s="4" t="inlineStr">
        <is>
          <t>44M</t>
        </is>
      </c>
      <c r="K11" s="4" t="inlineStr">
        <is>
          <t>✅ verified (U²-Net PR 2020 Table 2): HKU-IS Sα=0.916</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0.909</v>
      </c>
      <c r="H12" s="4" t="inlineStr">
        <is>
          <t>Sα 0.909 / Fmax 0.919 / MAE 0.032 (BASNet ResNet-34, cited in InSPyReNet Table 2)</t>
        </is>
      </c>
      <c r="I12" s="4" t="inlineStr">
        <is>
          <t>25</t>
        </is>
      </c>
      <c r="J12" s="4" t="inlineStr">
        <is>
          <t>87.1M</t>
        </is>
      </c>
      <c r="K12" s="4" t="inlineStr">
        <is>
          <t>✅ verified (BASNet CVPR19, values cited in InSPyReNet Table 2): HKU-IS Sα=0.909</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HKU-IS</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n"/>
      <c r="H14" s="4" t="n"/>
      <c r="I14" s="4" t="n"/>
      <c r="J14" s="4" t="n"/>
      <c r="K14" s="4" t="inlineStr">
        <is>
          <t>⚠️ S3OD (ICLR 2026, arxiv 2510.21605) evaluates on DIS subsets and HR-SOD benchmarks (DAVIS-S, HRSOD-TE, UHRSD-TE, DUTS-TE, DUT-OMRON). It does NOT report ECSSD or HKU-IS results in its paper. This entry is misplaced in this sheet.</t>
        </is>
      </c>
      <c r="L14" s="7" t="inlineStr">
        <is>
          <t>https://arxiv.org/abs/2510.21605</t>
        </is>
      </c>
      <c r="M14" s="7" t="inlineStr">
        <is>
          <t>https://github.com/</t>
        </is>
      </c>
    </row>
    <row r="15">
      <c r="A15" s="4" t="inlineStr">
        <is>
          <t>RGB Salient OD</t>
        </is>
      </c>
      <c r="B15" s="4" t="inlineStr">
        <is>
          <t>VSCode</t>
        </is>
      </c>
      <c r="C15" s="4" t="inlineStr">
        <is>
          <t>Luo et al.</t>
        </is>
      </c>
      <c r="D15" s="4" t="inlineStr">
        <is>
          <t>CVPR</t>
        </is>
      </c>
      <c r="E15" s="4" t="inlineStr">
        <is>
          <t>2024-06</t>
        </is>
      </c>
      <c r="F15" s="4" t="inlineStr">
        <is>
          <t>Preprint</t>
        </is>
      </c>
      <c r="G15" s="4" t="inlineStr">
        <is>
          <t>N/A</t>
        </is>
      </c>
      <c r="H15" s="4" t="inlineStr">
        <is>
          <t>S 0.940 / Fm 0.951 / Em 0.974</t>
        </is>
      </c>
      <c r="I15" s="4" t="n"/>
      <c r="J15" s="4" t="n"/>
      <c r="K15" s="4" t="inlineStr">
        <is>
          <t>✅ 已驗證 (VSCode CVPR24 Table 3, Swin-S)：HKU-IS Sα=0.940 [SOD]</t>
        </is>
      </c>
      <c r="L15" s="7" t="inlineStr">
        <is>
          <t>https://arxiv.org/abs/2311.15011</t>
        </is>
      </c>
      <c r="M15" s="7" t="inlineStr">
        <is>
          <t>https://github.com/Sssssuperior/VSCode</t>
        </is>
      </c>
    </row>
    <row r="16">
      <c r="A16" s="4" t="inlineStr">
        <is>
          <t>RGB Salient OD</t>
        </is>
      </c>
      <c r="B16" s="4" t="inlineStr">
        <is>
          <t>CPD-R</t>
        </is>
      </c>
      <c r="C16" s="4" t="inlineStr">
        <is>
          <t>Wu et al.</t>
        </is>
      </c>
      <c r="D16" s="4" t="inlineStr">
        <is>
          <t>CVPR</t>
        </is>
      </c>
      <c r="E16" s="4" t="inlineStr">
        <is>
          <t>2019-06</t>
        </is>
      </c>
      <c r="F16" s="4" t="inlineStr">
        <is>
          <t>Preprint</t>
        </is>
      </c>
      <c r="G16" s="4" t="inlineStr">
        <is>
          <t>N/A</t>
        </is>
      </c>
      <c r="H16" s="4" t="inlineStr">
        <is>
          <t>S 0.925 / Fβ 0.891 / MAE 0.034</t>
        </is>
      </c>
      <c r="I16" s="4" t="n"/>
      <c r="J16" s="4" t="n"/>
      <c r="K16" s="4" t="inlineStr">
        <is>
          <t>✅ 已驗證 (CPD CVPR19 Table 1, ResNet50)：Cascaded Partial Decoder for fast SOD；S 0.925 / Fβ 0.891 / MAE 0.034 [SOD]</t>
        </is>
      </c>
      <c r="L16" s="7" t="inlineStr">
        <is>
          <t>https://arxiv.org/abs/1904.08739</t>
        </is>
      </c>
      <c r="M16" s="7" t="inlineStr">
        <is>
          <t>https://github.com/wuzhe71/CPD</t>
        </is>
      </c>
    </row>
    <row r="17">
      <c r="A17" s="4" t="inlineStr">
        <is>
          <t>RGB Salient OD</t>
        </is>
      </c>
      <c r="B17" s="4" t="inlineStr">
        <is>
          <t>Samba</t>
        </is>
      </c>
      <c r="C17" s="4" t="inlineStr">
        <is>
          <t>—</t>
        </is>
      </c>
      <c r="D17" s="4" t="inlineStr">
        <is>
          <t>CVPR 2025</t>
        </is>
      </c>
      <c r="E17" s="4" t="inlineStr">
        <is>
          <t>2025-06</t>
        </is>
      </c>
      <c r="F17" s="4" t="inlineStr">
        <is>
          <t>Preprint</t>
        </is>
      </c>
      <c r="G17" s="4" t="n">
        <v>0.945</v>
      </c>
      <c r="H17" s="4" t="inlineStr">
        <is>
          <t>Sα 0.945 / Fm 0.958 / Em 0.975</t>
        </is>
      </c>
      <c r="I17" s="4" t="n"/>
      <c r="J17" s="4" t="n"/>
      <c r="K17" s="4" t="inlineStr">
        <is>
          <t>✅ verified (Samba CVPR25, Samba+ arxiv 2602.01593 Table I): HKU-IS Sα=0.945</t>
        </is>
      </c>
      <c r="L17" s="7" t="inlineStr">
        <is>
          <t>https://openaccess.thecvf.com/content/CVPR2025/html/He_Samba_A_Unified_Mamba-based_Framework_for_General_Salient_Object_Detection_CVPR_2025_paper.html</t>
        </is>
      </c>
      <c r="M17" s="7"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(not evaluated in BiRefNet ECCV24 paper Table 5)</t>
        </is>
      </c>
      <c r="I2" s="4" t="inlineStr">
        <is>
          <t>≈14</t>
        </is>
      </c>
      <c r="J2" s="4" t="inlineStr">
        <is>
          <t>≈220M</t>
        </is>
      </c>
      <c r="K2" s="4" t="inlineStr">
        <is>
          <t>⚠️ BiRefNet does not report on PASCAL-S in its paper. BiRefNet ECCV24 paper Table 5 covers other datasets only</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0.893</v>
      </c>
      <c r="H3" s="4" t="inlineStr">
        <is>
          <t>Sα 0.893 / Fmax 0.893 / MAE 0.048 (InSPyReNet SwinB, paper Table 2)</t>
        </is>
      </c>
      <c r="I3" s="4" t="inlineStr">
        <is>
          <t>≈14</t>
        </is>
      </c>
      <c r="J3" s="4" t="inlineStr">
        <is>
          <t>58.7M</t>
        </is>
      </c>
      <c r="K3" s="4" t="inlineStr">
        <is>
          <t>✅ verified (InSPyReNet ACCV22 paper Tables 2-3 (SwinB backbone)): PASCAL-S Sα=0.893</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PASCAL-S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0.889</v>
      </c>
      <c r="H5" s="4" t="inlineStr">
        <is>
          <t>Sα 0.889 / MAE 0.047 / Em 0.932 / Fw 0.864</t>
        </is>
      </c>
      <c r="I5" s="4" t="inlineStr">
        <is>
          <t>20</t>
        </is>
      </c>
      <c r="J5" s="4" t="inlineStr">
        <is>
          <t>79M</t>
        </is>
      </c>
      <c r="K5" s="4" t="inlineStr">
        <is>
          <t>✅ verified (M3Net-S SwinB 384², M3Net arxiv 2309.08365 Table I/III): PASCAL-S Sα=0.889</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0.885</v>
      </c>
      <c r="H6" s="4" t="inlineStr">
        <is>
          <t>Sα 0.885 / MAE 0.048 / Em 0.930 / Fw 0.854</t>
        </is>
      </c>
      <c r="I6" s="4" t="inlineStr">
        <is>
          <t>23</t>
        </is>
      </c>
      <c r="J6" s="4" t="inlineStr">
        <is>
          <t>94M</t>
        </is>
      </c>
      <c r="K6" s="4" t="inlineStr">
        <is>
          <t>✅ verified (ICON-S Swin-B, M3Net arxiv 2309.08365 Table I): PASCAL-S Sα=0.885</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0.872</v>
      </c>
      <c r="H7" s="4" t="inlineStr">
        <is>
          <t>Sα 0.872 / Fmax 0.864 / MAE 0.061 (VST T2T-ViT-14, cited in InSPyReNet Table 2)</t>
        </is>
      </c>
      <c r="I7" s="4" t="inlineStr">
        <is>
          <t>18</t>
        </is>
      </c>
      <c r="J7" s="4" t="inlineStr">
        <is>
          <t>44M</t>
        </is>
      </c>
      <c r="K7" s="4" t="inlineStr">
        <is>
          <t>✅ verified (VST ICCV21, values cited in InSPyReNet Table 2): PASCAL-S Sα=0.872</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0.864</v>
      </c>
      <c r="H8" s="4" t="inlineStr">
        <is>
          <t>Sα 0.864 / Fm 0.879 / Em 0.907</t>
        </is>
      </c>
      <c r="I8" s="4" t="inlineStr">
        <is>
          <t>22</t>
        </is>
      </c>
      <c r="J8" s="4" t="inlineStr">
        <is>
          <t>42M</t>
        </is>
      </c>
      <c r="K8" s="4" t="inlineStr">
        <is>
          <t>✅ verified (EDN TIP22, Samba+ arxiv 2602.01593 Table I): PASCAL-S Sα=0.864</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0.864</v>
      </c>
      <c r="H9" s="4" t="inlineStr">
        <is>
          <t>Sα 0.864 / MAE 0.068 / Fβ 0.879</t>
        </is>
      </c>
      <c r="I9" s="4" t="inlineStr">
        <is>
          <t>32</t>
        </is>
      </c>
      <c r="J9" s="4" t="inlineStr">
        <is>
          <t>68.3M</t>
        </is>
      </c>
      <c r="K9" s="4" t="inlineStr">
        <is>
          <t>✅ verified (PoolNet-R+ ResNet50, PoolNet+ TPAMI22 Table 5): PASCAL-S Sα=0.864</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0.856</v>
      </c>
      <c r="H10" s="4" t="inlineStr">
        <is>
          <t>Sα 0.856 / MAE 0.064 / Em 0.903 / Fw 0.809</t>
        </is>
      </c>
      <c r="I10" s="4" t="inlineStr">
        <is>
          <t>30</t>
        </is>
      </c>
      <c r="J10" s="4" t="inlineStr">
        <is>
          <t>162M</t>
        </is>
      </c>
      <c r="K10" s="4" t="inlineStr">
        <is>
          <t>✅ verified (MINet-R ResNet50, M3Net arxiv 2309.08365 Table I): PASCAL-S Sα=0.856</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0.843</v>
      </c>
      <c r="H11" s="4" t="inlineStr">
        <is>
          <t>Sα 0.843 / MAE 0.074 / Fβ 0.835</t>
        </is>
      </c>
      <c r="I11" s="4" t="inlineStr">
        <is>
          <t>30</t>
        </is>
      </c>
      <c r="J11" s="4" t="inlineStr">
        <is>
          <t>44M</t>
        </is>
      </c>
      <c r="K11" s="4" t="inlineStr">
        <is>
          <t>✅ verified (U²-Net PR 2020 Table 2): PASCAL-S Sα=0.843</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0.838</v>
      </c>
      <c r="H12" s="4" t="inlineStr">
        <is>
          <t>Sα 0.838 / Fmax 0.835 / MAE 0.076 (BASNet ResNet-34, cited in InSPyReNet Table 2)</t>
        </is>
      </c>
      <c r="I12" s="4" t="inlineStr">
        <is>
          <t>25</t>
        </is>
      </c>
      <c r="J12" s="4" t="inlineStr">
        <is>
          <t>87.1M</t>
        </is>
      </c>
      <c r="K12" s="4" t="inlineStr">
        <is>
          <t>✅ verified (BASNet CVPR19, values cited in InSPyReNet Table 2): PASCAL-S Sα=0.838</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PASCAL-S</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0.962</v>
      </c>
      <c r="H2" s="4" t="inlineStr">
        <is>
          <t>Sα 0.962 / Fmax 0.961 / Em 0.973 / MAE 0.013 (BiRefNet TR=D,H,U, paper Table 5 HRSOD-TE)</t>
        </is>
      </c>
      <c r="I2" s="4" t="inlineStr">
        <is>
          <t>≈14</t>
        </is>
      </c>
      <c r="J2" s="4" t="inlineStr">
        <is>
          <t>≈220M</t>
        </is>
      </c>
      <c r="K2" s="4" t="inlineStr">
        <is>
          <t>✅ verified (BiRefNet ECCV24 paper Table 5): HRSOD Sα=0.962</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0.93</v>
      </c>
      <c r="H3" s="4" t="inlineStr">
        <is>
          <t>Sα 0.930 / Fmax 0.926 / MAE 0.025 (InSPyReNet SwinB, paper Table 3 HRSOD-TE, TR=D)</t>
        </is>
      </c>
      <c r="I3" s="4" t="inlineStr">
        <is>
          <t>≈14</t>
        </is>
      </c>
      <c r="J3" s="4" t="inlineStr">
        <is>
          <t>58.7M</t>
        </is>
      </c>
      <c r="K3" s="4" t="inlineStr">
        <is>
          <t>✅ verified (InSPyReNet ACCV22 paper Tables 2-3 (SwinB backbone)): HRSOD Sα=0.93</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HRSOD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S 0.918 / Fβ 0.917 / E 0.950 / MAE 0.024 | HRSOD</t>
        </is>
      </c>
      <c r="I5" s="4" t="inlineStr">
        <is>
          <t>20</t>
        </is>
      </c>
      <c r="J5" s="4" t="inlineStr">
        <is>
          <t>79M</t>
        </is>
      </c>
      <c r="K5" s="4" t="inlineStr">
        <is>
          <t>⚠️ M3Net does not evaluate on HRSOD in its original paper. HRSOD is a High-Resolution SOD benchmark; M3Net reports only on standard SOD benchmarks (DUTS-TE/DUT-OMRON/ECSSD/HKU-IS/PASCAL-S).</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S 0.917 / Fβ 0.911 / E 0.954 / MAE 0.025 | HRSOD</t>
        </is>
      </c>
      <c r="I6" s="4" t="inlineStr">
        <is>
          <t>23</t>
        </is>
      </c>
      <c r="J6" s="4" t="inlineStr">
        <is>
          <t>94M</t>
        </is>
      </c>
      <c r="K6" s="4" t="inlineStr">
        <is>
          <t>⚠️ ICON-S does not evaluate on HRSOD in its original paper. HRSOD is a High-Resolution SOD benchmark; ICON-S reports only on standard SOD benchmarks (DUTS-TE/DUT-OMRON/ECSSD/HKU-IS/PASCAL-S).</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(not evaluated in VST ICCV21, values cited in InSPyReNet Table 2)</t>
        </is>
      </c>
      <c r="I7" s="4" t="inlineStr">
        <is>
          <t>18</t>
        </is>
      </c>
      <c r="J7" s="4" t="inlineStr">
        <is>
          <t>44M</t>
        </is>
      </c>
      <c r="K7" s="4" t="inlineStr">
        <is>
          <t>⚠️ VST does not report on HRSOD in its paper. VST ICCV21, values cited in InSPyReNet Table 2 covers other datasets only</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HRSOD</t>
        </is>
      </c>
      <c r="I8" s="4" t="inlineStr">
        <is>
          <t>22</t>
        </is>
      </c>
      <c r="J8" s="4" t="inlineStr">
        <is>
          <t>42M</t>
        </is>
      </c>
      <c r="K8" s="4" t="inlineStr">
        <is>
          <t>⚠️ EDN does not evaluate on HRSOD in its original paper. HRSOD is a High-Resolution SOD benchmark; EDN reports only on standard SOD benchmarks (DUTS-TE/DUT-OMRON/ECSSD/HKU-IS/PASCAL-S).</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S 0.886 / Fβ 0.880 / MAE 0.038 | HRSOD</t>
        </is>
      </c>
      <c r="I9" s="4" t="inlineStr">
        <is>
          <t>32</t>
        </is>
      </c>
      <c r="J9" s="4" t="inlineStr">
        <is>
          <t>68.3M</t>
        </is>
      </c>
      <c r="K9" s="4" t="inlineStr">
        <is>
          <t>⚠️ PoolNet+ does not evaluate on HRSOD in its original paper. HRSOD is a High-Resolution SOD benchmark; PoolNet+ reports only on standard SOD benchmarks (DUTS-TE/DUT-OMRON/ECSSD/HKU-IS/PASCAL-S).</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S 0.884 / Fβ 0.876 / MAE 0.037 | HRSOD</t>
        </is>
      </c>
      <c r="I10" s="4" t="inlineStr">
        <is>
          <t>30</t>
        </is>
      </c>
      <c r="J10" s="4" t="inlineStr">
        <is>
          <t>162M</t>
        </is>
      </c>
      <c r="K10" s="4" t="inlineStr">
        <is>
          <t>⚠️ MINet does not evaluate on HRSOD in its original paper. HRSOD is a High-Resolution SOD benchmark; MINet reports only on standard SOD benchmarks (DUTS-TE/DUT-OMRON/ECSSD/HKU-IS/PASCAL-S).</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S 0.874 / Fβ 0.873 / MAE 0.045 | HRSOD</t>
        </is>
      </c>
      <c r="I11" s="4" t="inlineStr">
        <is>
          <t>30</t>
        </is>
      </c>
      <c r="J11" s="4" t="inlineStr">
        <is>
          <t>44M</t>
        </is>
      </c>
      <c r="K11" s="4" t="inlineStr">
        <is>
          <t>⚠️ U^2-Net does not evaluate on HRSOD in its original paper. HRSOD is a High-Resolution SOD benchmark; U^2-Net reports only on standard SOD benchmarks (DUTS-TE/DUT-OMRON/ECSSD/HKU-IS/PASCAL-S).</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(not evaluated in BASNet CVPR19, values cited in InSPyReNet Table 2)</t>
        </is>
      </c>
      <c r="I12" s="4" t="inlineStr">
        <is>
          <t>25</t>
        </is>
      </c>
      <c r="J12" s="4" t="inlineStr">
        <is>
          <t>87.1M</t>
        </is>
      </c>
      <c r="K12" s="4" t="inlineStr">
        <is>
          <t>⚠️ BASNet does not report on HRSOD in its paper. BASNet CVPR19, values cited in InSPyReNet Table 2 covers other datasets only</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HRSOD</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0.975</v>
      </c>
      <c r="H2" s="4" t="inlineStr">
        <is>
          <t>Sα 0.975 / Fmax 0.979 / Em 0.989 / MAE 0.006 (BiRefNet TR=D,H,U, paper Table 5)</t>
        </is>
      </c>
      <c r="I2" s="4" t="inlineStr">
        <is>
          <t>≈14</t>
        </is>
      </c>
      <c r="J2" s="4" t="inlineStr">
        <is>
          <t>≈220M</t>
        </is>
      </c>
      <c r="K2" s="4" t="inlineStr">
        <is>
          <t>✅ verified (BiRefNet ECCV24 paper Table 5): DAVIS-S Sα=0.975</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0.946</v>
      </c>
      <c r="H3" s="4" t="inlineStr">
        <is>
          <t>Sα 0.946 / Fmax 0.940 / MAE 0.014 (InSPyReNet SwinB, paper Table 3, TR=D)</t>
        </is>
      </c>
      <c r="I3" s="4" t="inlineStr">
        <is>
          <t>≈14</t>
        </is>
      </c>
      <c r="J3" s="4" t="inlineStr">
        <is>
          <t>58.7M</t>
        </is>
      </c>
      <c r="K3" s="4" t="inlineStr">
        <is>
          <t>✅ verified (InSPyReNet ACCV22 paper Tables 2-3 (SwinB backbone)): DAVIS-S Sα=0.946</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DAVIS-S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S 0.918 / Fβ 0.917 / E 0.950 / MAE 0.024 | DAVIS-S</t>
        </is>
      </c>
      <c r="I5" s="4" t="inlineStr">
        <is>
          <t>20</t>
        </is>
      </c>
      <c r="J5" s="4" t="inlineStr">
        <is>
          <t>79M</t>
        </is>
      </c>
      <c r="K5" s="4" t="inlineStr">
        <is>
          <t>⚠️ M3Net does not evaluate on DAVIS-S in its original paper. DAVIS-S is a High-Resolution SOD benchmark; M3Net reports only on standard SOD benchmarks (DUTS-TE/DUT-OMRON/ECSSD/HKU-IS/PASCAL-S).</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S 0.917 / Fβ 0.911 / E 0.954 / MAE 0.025 | DAVIS-S</t>
        </is>
      </c>
      <c r="I6" s="4" t="inlineStr">
        <is>
          <t>23</t>
        </is>
      </c>
      <c r="J6" s="4" t="inlineStr">
        <is>
          <t>94M</t>
        </is>
      </c>
      <c r="K6" s="4" t="inlineStr">
        <is>
          <t>⚠️ ICON-S does not evaluate on DAVIS-S in its original paper. DAVIS-S is a High-Resolution SOD benchmark; ICON-S reports only on standard SOD benchmarks (DUTS-TE/DUT-OMRON/ECSSD/HKU-IS/PASCAL-S).</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(not evaluated in VST ICCV21, values cited in InSPyReNet Table 2)</t>
        </is>
      </c>
      <c r="I7" s="4" t="inlineStr">
        <is>
          <t>18</t>
        </is>
      </c>
      <c r="J7" s="4" t="inlineStr">
        <is>
          <t>44M</t>
        </is>
      </c>
      <c r="K7" s="4" t="inlineStr">
        <is>
          <t>⚠️ VST does not report on DAVIS-S in its paper. VST ICCV21, values cited in InSPyReNet Table 2 covers other datasets only</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DAVIS-S</t>
        </is>
      </c>
      <c r="I8" s="4" t="inlineStr">
        <is>
          <t>22</t>
        </is>
      </c>
      <c r="J8" s="4" t="inlineStr">
        <is>
          <t>42M</t>
        </is>
      </c>
      <c r="K8" s="4" t="inlineStr">
        <is>
          <t>⚠️ EDN does not evaluate on DAVIS-S in its original paper. DAVIS-S is a High-Resolution SOD benchmark; EDN reports only on standard SOD benchmarks (DUTS-TE/DUT-OMRON/ECSSD/HKU-IS/PASCAL-S).</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S 0.886 / Fβ 0.880 / MAE 0.038 | DAVIS-S</t>
        </is>
      </c>
      <c r="I9" s="4" t="inlineStr">
        <is>
          <t>32</t>
        </is>
      </c>
      <c r="J9" s="4" t="inlineStr">
        <is>
          <t>68.3M</t>
        </is>
      </c>
      <c r="K9" s="4" t="inlineStr">
        <is>
          <t>⚠️ PoolNet+ does not evaluate on DAVIS-S in its original paper. DAVIS-S is a High-Resolution SOD benchmark; PoolNet+ reports only on standard SOD benchmarks (DUTS-TE/DUT-OMRON/ECSSD/HKU-IS/PASCAL-S).</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S 0.884 / Fβ 0.876 / MAE 0.037 | DAVIS-S</t>
        </is>
      </c>
      <c r="I10" s="4" t="inlineStr">
        <is>
          <t>30</t>
        </is>
      </c>
      <c r="J10" s="4" t="inlineStr">
        <is>
          <t>162M</t>
        </is>
      </c>
      <c r="K10" s="4" t="inlineStr">
        <is>
          <t>⚠️ MINet does not evaluate on DAVIS-S in its original paper. DAVIS-S is a High-Resolution SOD benchmark; MINet reports only on standard SOD benchmarks (DUTS-TE/DUT-OMRON/ECSSD/HKU-IS/PASCAL-S).</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S 0.874 / Fβ 0.873 / MAE 0.045 | DAVIS-S</t>
        </is>
      </c>
      <c r="I11" s="4" t="inlineStr">
        <is>
          <t>30</t>
        </is>
      </c>
      <c r="J11" s="4" t="inlineStr">
        <is>
          <t>44M</t>
        </is>
      </c>
      <c r="K11" s="4" t="inlineStr">
        <is>
          <t>⚠️ U^2-Net does not evaluate on DAVIS-S in its original paper. DAVIS-S is a High-Resolution SOD benchmark; U^2-Net reports only on standard SOD benchmarks (DUTS-TE/DUT-OMRON/ECSSD/HKU-IS/PASCAL-S).</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(not evaluated in BASNet CVPR19, values cited in InSPyReNet Table 2)</t>
        </is>
      </c>
      <c r="I12" s="4" t="inlineStr">
        <is>
          <t>25</t>
        </is>
      </c>
      <c r="J12" s="4" t="inlineStr">
        <is>
          <t>87.1M</t>
        </is>
      </c>
      <c r="K12" s="4" t="inlineStr">
        <is>
          <t>⚠️ BASNet does not report on DAVIS-S in its paper. BASNet CVPR19, values cited in InSPyReNet Table 2 covers other datasets only</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DAVIS-S</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0.957</v>
      </c>
      <c r="H2" s="4" t="inlineStr">
        <is>
          <t>Sα 0.957 / Fmax 0.963 / Em 0.969 / MAE 0.016 (BiRefNet TR=D,H,U, paper Table 5 UHRSD-TE)</t>
        </is>
      </c>
      <c r="I2" s="4" t="inlineStr">
        <is>
          <t>≈14</t>
        </is>
      </c>
      <c r="J2" s="4" t="inlineStr">
        <is>
          <t>≈220M</t>
        </is>
      </c>
      <c r="K2" s="4" t="inlineStr">
        <is>
          <t>✅ verified (BiRefNet ECCV24 paper Table 5): UHRSD Sα=0.957</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0.925</v>
      </c>
      <c r="H3" s="4" t="inlineStr">
        <is>
          <t>Sα 0.925 / Fmax 0.931 / MAE 0.029 (InSPyReNet SwinB, paper Table 3 UHRSD-TE, TR=D)</t>
        </is>
      </c>
      <c r="I3" s="4" t="inlineStr">
        <is>
          <t>≈14</t>
        </is>
      </c>
      <c r="J3" s="4" t="inlineStr">
        <is>
          <t>58.7M</t>
        </is>
      </c>
      <c r="K3" s="4" t="inlineStr">
        <is>
          <t>✅ verified (InSPyReNet ACCV22 paper Tables 2-3 (SwinB backbone)): UHRSD Sα=0.925</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UHRSD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S 0.918 / Fβ 0.917 / E 0.950 / MAE 0.024 | UHRSD</t>
        </is>
      </c>
      <c r="I5" s="4" t="inlineStr">
        <is>
          <t>20</t>
        </is>
      </c>
      <c r="J5" s="4" t="inlineStr">
        <is>
          <t>79M</t>
        </is>
      </c>
      <c r="K5" s="4" t="inlineStr">
        <is>
          <t>⚠️ M3Net does not evaluate on UHRSD in its original paper. UHRSD is a High-Resolution SOD benchmark; M3Net reports only on standard SOD benchmarks (DUTS-TE/DUT-OMRON/ECSSD/HKU-IS/PASCAL-S).</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S 0.917 / Fβ 0.911 / E 0.954 / MAE 0.025 | UHRSD</t>
        </is>
      </c>
      <c r="I6" s="4" t="inlineStr">
        <is>
          <t>23</t>
        </is>
      </c>
      <c r="J6" s="4" t="inlineStr">
        <is>
          <t>94M</t>
        </is>
      </c>
      <c r="K6" s="4" t="inlineStr">
        <is>
          <t>⚠️ ICON-S does not evaluate on UHRSD in its original paper. UHRSD is a High-Resolution SOD benchmark; ICON-S reports only on standard SOD benchmarks (DUTS-TE/DUT-OMRON/ECSSD/HKU-IS/PASCAL-S).</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(not evaluated in VST ICCV21, values cited in InSPyReNet Table 2)</t>
        </is>
      </c>
      <c r="I7" s="4" t="inlineStr">
        <is>
          <t>18</t>
        </is>
      </c>
      <c r="J7" s="4" t="inlineStr">
        <is>
          <t>44M</t>
        </is>
      </c>
      <c r="K7" s="4" t="inlineStr">
        <is>
          <t>⚠️ VST does not report on UHRSD in its paper. VST ICCV21, values cited in InSPyReNet Table 2 covers other datasets only</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UHRSD</t>
        </is>
      </c>
      <c r="I8" s="4" t="inlineStr">
        <is>
          <t>22</t>
        </is>
      </c>
      <c r="J8" s="4" t="inlineStr">
        <is>
          <t>42M</t>
        </is>
      </c>
      <c r="K8" s="4" t="inlineStr">
        <is>
          <t>⚠️ EDN does not evaluate on UHRSD in its original paper. UHRSD is a High-Resolution SOD benchmark; EDN reports only on standard SOD benchmarks (DUTS-TE/DUT-OMRON/ECSSD/HKU-IS/PASCAL-S).</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S 0.886 / Fβ 0.880 / MAE 0.038 | UHRSD</t>
        </is>
      </c>
      <c r="I9" s="4" t="inlineStr">
        <is>
          <t>32</t>
        </is>
      </c>
      <c r="J9" s="4" t="inlineStr">
        <is>
          <t>68.3M</t>
        </is>
      </c>
      <c r="K9" s="4" t="inlineStr">
        <is>
          <t>⚠️ PoolNet+ does not evaluate on UHRSD in its original paper. UHRSD is a High-Resolution SOD benchmark; PoolNet+ reports only on standard SOD benchmarks (DUTS-TE/DUT-OMRON/ECSSD/HKU-IS/PASCAL-S).</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S 0.884 / Fβ 0.876 / MAE 0.037 | UHRSD</t>
        </is>
      </c>
      <c r="I10" s="4" t="inlineStr">
        <is>
          <t>30</t>
        </is>
      </c>
      <c r="J10" s="4" t="inlineStr">
        <is>
          <t>162M</t>
        </is>
      </c>
      <c r="K10" s="4" t="inlineStr">
        <is>
          <t>⚠️ MINet does not evaluate on UHRSD in its original paper. UHRSD is a High-Resolution SOD benchmark; MINet reports only on standard SOD benchmarks (DUTS-TE/DUT-OMRON/ECSSD/HKU-IS/PASCAL-S).</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S 0.874 / Fβ 0.873 / MAE 0.045 | UHRSD</t>
        </is>
      </c>
      <c r="I11" s="4" t="inlineStr">
        <is>
          <t>30</t>
        </is>
      </c>
      <c r="J11" s="4" t="inlineStr">
        <is>
          <t>44M</t>
        </is>
      </c>
      <c r="K11" s="4" t="inlineStr">
        <is>
          <t>⚠️ U^2-Net does not evaluate on UHRSD in its original paper. UHRSD is a High-Resolution SOD benchmark; U^2-Net reports only on standard SOD benchmarks (DUTS-TE/DUT-OMRON/ECSSD/HKU-IS/PASCAL-S).</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(not evaluated in BASNet CVPR19, values cited in InSPyReNet Table 2)</t>
        </is>
      </c>
      <c r="I12" s="4" t="inlineStr">
        <is>
          <t>25</t>
        </is>
      </c>
      <c r="J12" s="4" t="inlineStr">
        <is>
          <t>87.1M</t>
        </is>
      </c>
      <c r="K12" s="4" t="inlineStr">
        <is>
          <t>⚠️ BASNet does not report on UHRSD in its paper. BASNet CVPR19, values cited in InSPyReNet Table 2 covers other datasets only</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UHRSD</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(out-of-domain: shadow detection benchmark, not SOD)</t>
        </is>
      </c>
      <c r="I2" s="4" t="inlineStr">
        <is>
          <t>≈14</t>
        </is>
      </c>
      <c r="J2" s="4" t="inlineStr">
        <is>
          <t>≈220M</t>
        </is>
      </c>
      <c r="K2" s="4" t="inlineStr">
        <is>
          <t>⚠️ SBU-Refine is a SHADOW DETECTION dataset (Hu et al. 2021), not SOD. The SOD methods listed (BiRefNet/InSPyReNet/MVANet/etc.) do not evaluate on SBU-Refine — sheet needs reclassification to shadow detection or removal. (Method "BiRefNet" is SOD, not applicable here)</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inlineStr">
        <is>
          <t>N/A</t>
        </is>
      </c>
      <c r="H3" s="4" t="inlineStr">
        <is>
          <t>N/A (out-of-domain: shadow detection benchmark, not SOD)</t>
        </is>
      </c>
      <c r="I3" s="4" t="inlineStr">
        <is>
          <t>≈14</t>
        </is>
      </c>
      <c r="J3" s="4" t="inlineStr">
        <is>
          <t>58.7M</t>
        </is>
      </c>
      <c r="K3" s="4" t="inlineStr">
        <is>
          <t>⚠️ SBU-Refine is a SHADOW DETECTION dataset (Hu et al. 2021), not SOD. The SOD methods listed (BiRefNet/InSPyReNet/MVANet/etc.) do not evaluate on SBU-Refine — sheet needs reclassification to shadow detection or removal. (Method "InSPyReNet" is SOD, not applicable here)</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inlineStr">
        <is>
          <t>N/A</t>
        </is>
      </c>
      <c r="H4" s="4" t="inlineStr">
        <is>
          <t>N/A (out-of-domain: shadow detection benchmark, not SOD)</t>
        </is>
      </c>
      <c r="I4" s="4" t="inlineStr">
        <is>
          <t>To verify</t>
        </is>
      </c>
      <c r="J4" s="4" t="inlineStr">
        <is>
          <t>To verify</t>
        </is>
      </c>
      <c r="K4" s="4" t="inlineStr">
        <is>
          <t>⚠️ SBU-Refine is a SHADOW DETECTION dataset (Hu et al. 2021), not SOD. The SOD methods listed (BiRefNet/InSPyReNet/MVANet/etc.) do not evaluate on SBU-Refine — sheet needs reclassification to shadow detection or removal. (Method "MVANet" is SOD, not applicable here)</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N/A (out-of-domain: shadow detection benchmark, not SOD)</t>
        </is>
      </c>
      <c r="I5" s="4" t="inlineStr">
        <is>
          <t>20</t>
        </is>
      </c>
      <c r="J5" s="4" t="inlineStr">
        <is>
          <t>79M</t>
        </is>
      </c>
      <c r="K5" s="4" t="inlineStr">
        <is>
          <t>⚠️ SBU-Refine is a SHADOW DETECTION dataset (Hu et al. 2021), not SOD. The SOD methods listed (BiRefNet/InSPyReNet/MVANet/etc.) do not evaluate on SBU-Refine — sheet needs reclassification to shadow detection or removal. (Method "M3Net" is SOD, not applicable here)</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N/A (out-of-domain: shadow detection benchmark, not SOD)</t>
        </is>
      </c>
      <c r="I6" s="4" t="inlineStr">
        <is>
          <t>23</t>
        </is>
      </c>
      <c r="J6" s="4" t="inlineStr">
        <is>
          <t>94M</t>
        </is>
      </c>
      <c r="K6" s="4" t="inlineStr">
        <is>
          <t>⚠️ SBU-Refine is a SHADOW DETECTION dataset (Hu et al. 2021), not SOD. The SOD methods listed (BiRefNet/InSPyReNet/MVANet/etc.) do not evaluate on SBU-Refine — sheet needs reclassification to shadow detection or removal. (Method "ICON-S" is SOD, not applicable here)</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(out-of-domain: shadow detection benchmark, not SOD)</t>
        </is>
      </c>
      <c r="I7" s="4" t="inlineStr">
        <is>
          <t>18</t>
        </is>
      </c>
      <c r="J7" s="4" t="inlineStr">
        <is>
          <t>44M</t>
        </is>
      </c>
      <c r="K7" s="4" t="inlineStr">
        <is>
          <t>⚠️ SBU-Refine is a SHADOW DETECTION dataset (Hu et al. 2021), not SOD. The SOD methods listed (BiRefNet/InSPyReNet/MVANet/etc.) do not evaluate on SBU-Refine — sheet needs reclassification to shadow detection or removal. (Method "VST" is SOD, not applicable here)</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SBU/SBU-Refine</t>
        </is>
      </c>
      <c r="I8" s="4" t="inlineStr">
        <is>
          <t>22</t>
        </is>
      </c>
      <c r="J8" s="4" t="inlineStr">
        <is>
          <t>42M</t>
        </is>
      </c>
      <c r="K8" s="4" t="inlineStr">
        <is>
          <t>⚠️ SBU-Refine is a SHADOW DETECTION dataset (Hu et al. 2021), not SOD. The SOD methods listed (BiRefNet/InSPyReNet/MVANet/etc.) do not evaluate on SBU-Refine — sheet needs reclassification to shadow detection or removal. (Method "EDN" is SOD, not applicable here)</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N/A (out-of-domain: shadow detection benchmark, not SOD)</t>
        </is>
      </c>
      <c r="I9" s="4" t="inlineStr">
        <is>
          <t>32</t>
        </is>
      </c>
      <c r="J9" s="4" t="inlineStr">
        <is>
          <t>68.3M</t>
        </is>
      </c>
      <c r="K9" s="4" t="inlineStr">
        <is>
          <t>⚠️ SBU-Refine is a SHADOW DETECTION dataset (Hu et al. 2021), not SOD. The SOD methods listed (BiRefNet/InSPyReNet/MVANet/etc.) do not evaluate on SBU-Refine — sheet needs reclassification to shadow detection or removal. (Method "PoolNet+" is SOD, not applicable here)</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N/A (out-of-domain: shadow detection benchmark, not SOD)</t>
        </is>
      </c>
      <c r="I10" s="4" t="inlineStr">
        <is>
          <t>30</t>
        </is>
      </c>
      <c r="J10" s="4" t="inlineStr">
        <is>
          <t>162M</t>
        </is>
      </c>
      <c r="K10" s="4" t="inlineStr">
        <is>
          <t>⚠️ SBU-Refine is a SHADOW DETECTION dataset (Hu et al. 2021), not SOD. The SOD methods listed (BiRefNet/InSPyReNet/MVANet/etc.) do not evaluate on SBU-Refine — sheet needs reclassification to shadow detection or removal. (Method "MINet" is SOD, not applicable here)</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N/A (out-of-domain: shadow detection benchmark, not SOD)</t>
        </is>
      </c>
      <c r="I11" s="4" t="inlineStr">
        <is>
          <t>30</t>
        </is>
      </c>
      <c r="J11" s="4" t="inlineStr">
        <is>
          <t>44M</t>
        </is>
      </c>
      <c r="K11" s="4" t="inlineStr">
        <is>
          <t>⚠️ SBU-Refine is a SHADOW DETECTION dataset (Hu et al. 2021), not SOD. The SOD methods listed (BiRefNet/InSPyReNet/MVANet/etc.) do not evaluate on SBU-Refine — sheet needs reclassification to shadow detection or removal. (Method "U^2-Net" is SOD, not applicable here)</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(out-of-domain: shadow detection benchmark, not SOD)</t>
        </is>
      </c>
      <c r="I12" s="4" t="inlineStr">
        <is>
          <t>25</t>
        </is>
      </c>
      <c r="J12" s="4" t="inlineStr">
        <is>
          <t>87.1M</t>
        </is>
      </c>
      <c r="K12" s="4" t="inlineStr">
        <is>
          <t>⚠️ SBU-Refine is a SHADOW DETECTION dataset (Hu et al. 2021), not SOD. The SOD methods listed (BiRefNet/InSPyReNet/MVANet/etc.) do not evaluate on SBU-Refine — sheet needs reclassification to shadow detection or removal. (Method "BASNet" is SOD, not applicable here)</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SBU/SBU-Refine</t>
        </is>
      </c>
      <c r="I13" s="4" t="inlineStr">
        <is>
          <t>To verify</t>
        </is>
      </c>
      <c r="J13" s="4" t="inlineStr">
        <is>
          <t>To verify</t>
        </is>
      </c>
      <c r="K13" s="4" t="inlineStr">
        <is>
          <t>⚠️ SBU-Refine is a SHADOW DETECTION dataset (Hu et al. 2021), not SOD. The SOD methods listed (BiRefNet/InSPyReNet/MVANet/etc.) do not evaluate on SBU-Refine — sheet needs reclassification to shadow detection or removal. (Method "UGRAN" is SOD, not applicable here)</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(out-of-domain: shadow detection benchmark, not SOD)</t>
        </is>
      </c>
      <c r="I2" s="4" t="inlineStr">
        <is>
          <t>≈14</t>
        </is>
      </c>
      <c r="J2" s="4" t="inlineStr">
        <is>
          <t>≈220M</t>
        </is>
      </c>
      <c r="K2" s="4" t="inlineStr">
        <is>
          <t>⚠️ ISTD (Image Shadow Triplets Dataset, Wang et al. CVPR18) is a SHADOW DETECTION dataset, not SOD. The SOD methods listed do not evaluate on ISTD — sheet needs reclassification or removal. (Method "BiRefNet" is SOD, not applicable here)</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inlineStr">
        <is>
          <t>N/A</t>
        </is>
      </c>
      <c r="H3" s="4" t="inlineStr">
        <is>
          <t>N/A (out-of-domain: shadow detection benchmark, not SOD)</t>
        </is>
      </c>
      <c r="I3" s="4" t="inlineStr">
        <is>
          <t>≈14</t>
        </is>
      </c>
      <c r="J3" s="4" t="inlineStr">
        <is>
          <t>58.7M</t>
        </is>
      </c>
      <c r="K3" s="4" t="inlineStr">
        <is>
          <t>⚠️ ISTD (Image Shadow Triplets Dataset, Wang et al. CVPR18) is a SHADOW DETECTION dataset, not SOD. The SOD methods listed do not evaluate on ISTD — sheet needs reclassification or removal. (Method "InSPyReNet" is SOD, not applicable here)</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inlineStr">
        <is>
          <t>N/A</t>
        </is>
      </c>
      <c r="H4" s="4" t="inlineStr">
        <is>
          <t>N/A (out-of-domain: shadow detection benchmark, not SOD)</t>
        </is>
      </c>
      <c r="I4" s="4" t="inlineStr">
        <is>
          <t>To verify</t>
        </is>
      </c>
      <c r="J4" s="4" t="inlineStr">
        <is>
          <t>To verify</t>
        </is>
      </c>
      <c r="K4" s="4" t="inlineStr">
        <is>
          <t>⚠️ ISTD (Image Shadow Triplets Dataset, Wang et al. CVPR18) is a SHADOW DETECTION dataset, not SOD. The SOD methods listed do not evaluate on ISTD — sheet needs reclassification or removal. (Method "MVANet" is SOD, not applicable here)</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N/A (out-of-domain: shadow detection benchmark, not SOD)</t>
        </is>
      </c>
      <c r="I5" s="4" t="inlineStr">
        <is>
          <t>20</t>
        </is>
      </c>
      <c r="J5" s="4" t="inlineStr">
        <is>
          <t>79M</t>
        </is>
      </c>
      <c r="K5" s="4" t="inlineStr">
        <is>
          <t>⚠️ ISTD (Image Shadow Triplets Dataset, Wang et al. CVPR18) is a SHADOW DETECTION dataset, not SOD. The SOD methods listed do not evaluate on ISTD — sheet needs reclassification or removal. (Method "M3Net" is SOD, not applicable here)</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N/A (out-of-domain: shadow detection benchmark, not SOD)</t>
        </is>
      </c>
      <c r="I6" s="4" t="inlineStr">
        <is>
          <t>23</t>
        </is>
      </c>
      <c r="J6" s="4" t="inlineStr">
        <is>
          <t>94M</t>
        </is>
      </c>
      <c r="K6" s="4" t="inlineStr">
        <is>
          <t>⚠️ ISTD (Image Shadow Triplets Dataset, Wang et al. CVPR18) is a SHADOW DETECTION dataset, not SOD. The SOD methods listed do not evaluate on ISTD — sheet needs reclassification or removal. (Method "ICON-S" is SOD, not applicable here)</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(out-of-domain: shadow detection benchmark, not SOD)</t>
        </is>
      </c>
      <c r="I7" s="4" t="inlineStr">
        <is>
          <t>18</t>
        </is>
      </c>
      <c r="J7" s="4" t="inlineStr">
        <is>
          <t>44M</t>
        </is>
      </c>
      <c r="K7" s="4" t="inlineStr">
        <is>
          <t>⚠️ ISTD (Image Shadow Triplets Dataset, Wang et al. CVPR18) is a SHADOW DETECTION dataset, not SOD. The SOD methods listed do not evaluate on ISTD — sheet needs reclassification or removal. (Method "VST" is SOD, not applicable here)</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ISTD</t>
        </is>
      </c>
      <c r="I8" s="4" t="inlineStr">
        <is>
          <t>22</t>
        </is>
      </c>
      <c r="J8" s="4" t="inlineStr">
        <is>
          <t>42M</t>
        </is>
      </c>
      <c r="K8" s="4" t="inlineStr">
        <is>
          <t>⚠️ ISTD (Image Shadow Triplets Dataset, Wang et al. CVPR18) is a SHADOW DETECTION dataset, not SOD. The SOD methods listed do not evaluate on ISTD — sheet needs reclassification or removal. (Method "EDN" is SOD, not applicable here)</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N/A (out-of-domain: shadow detection benchmark, not SOD)</t>
        </is>
      </c>
      <c r="I9" s="4" t="inlineStr">
        <is>
          <t>32</t>
        </is>
      </c>
      <c r="J9" s="4" t="inlineStr">
        <is>
          <t>68.3M</t>
        </is>
      </c>
      <c r="K9" s="4" t="inlineStr">
        <is>
          <t>⚠️ ISTD (Image Shadow Triplets Dataset, Wang et al. CVPR18) is a SHADOW DETECTION dataset, not SOD. The SOD methods listed do not evaluate on ISTD — sheet needs reclassification or removal. (Method "PoolNet+" is SOD, not applicable here)</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N/A (out-of-domain: shadow detection benchmark, not SOD)</t>
        </is>
      </c>
      <c r="I10" s="4" t="inlineStr">
        <is>
          <t>30</t>
        </is>
      </c>
      <c r="J10" s="4" t="inlineStr">
        <is>
          <t>162M</t>
        </is>
      </c>
      <c r="K10" s="4" t="inlineStr">
        <is>
          <t>⚠️ ISTD (Image Shadow Triplets Dataset, Wang et al. CVPR18) is a SHADOW DETECTION dataset, not SOD. The SOD methods listed do not evaluate on ISTD — sheet needs reclassification or removal. (Method "MINet" is SOD, not applicable here)</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N/A (out-of-domain: shadow detection benchmark, not SOD)</t>
        </is>
      </c>
      <c r="I11" s="4" t="inlineStr">
        <is>
          <t>30</t>
        </is>
      </c>
      <c r="J11" s="4" t="inlineStr">
        <is>
          <t>44M</t>
        </is>
      </c>
      <c r="K11" s="4" t="inlineStr">
        <is>
          <t>⚠️ ISTD (Image Shadow Triplets Dataset, Wang et al. CVPR18) is a SHADOW DETECTION dataset, not SOD. The SOD methods listed do not evaluate on ISTD — sheet needs reclassification or removal. (Method "U^2-Net" is SOD, not applicable here)</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(out-of-domain: shadow detection benchmark, not SOD)</t>
        </is>
      </c>
      <c r="I12" s="4" t="inlineStr">
        <is>
          <t>25</t>
        </is>
      </c>
      <c r="J12" s="4" t="inlineStr">
        <is>
          <t>87.1M</t>
        </is>
      </c>
      <c r="K12" s="4" t="inlineStr">
        <is>
          <t>⚠️ ISTD (Image Shadow Triplets Dataset, Wang et al. CVPR18) is a SHADOW DETECTION dataset, not SOD. The SOD methods listed do not evaluate on ISTD — sheet needs reclassification or removal. (Method "BASNet" is SOD, not applicable here)</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ISTD</t>
        </is>
      </c>
      <c r="I13" s="4" t="inlineStr">
        <is>
          <t>To verify</t>
        </is>
      </c>
      <c r="J13" s="4" t="inlineStr">
        <is>
          <t>To verify</t>
        </is>
      </c>
      <c r="K13" s="4" t="inlineStr">
        <is>
          <t>⚠️ ISTD (Image Shadow Triplets Dataset, Wang et al. CVPR18) is a SHADOW DETECTION dataset, not SOD. The SOD methods listed do not evaluate on ISTD — sheet needs reclassification or removal. (Method "UGRAN" is SOD, not applicable here)</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CD-ViTO</t>
        </is>
      </c>
      <c r="C2" s="4" t="inlineStr">
        <is>
          <t>Fu et al.</t>
        </is>
      </c>
      <c r="D2" s="4" t="inlineStr">
        <is>
          <t>ECCV</t>
        </is>
      </c>
      <c r="E2" s="4" t="inlineStr">
        <is>
          <t>2024-10</t>
        </is>
      </c>
      <c r="F2" s="4" t="inlineStr">
        <is>
          <t>Published</t>
        </is>
      </c>
      <c r="G2" s="4" t="inlineStr">
        <is>
          <t>N/A</t>
        </is>
      </c>
      <c r="H2" s="4" t="inlineStr">
        <is>
          <t>CAMO-FS 10-shot novel AP To verify</t>
        </is>
      </c>
      <c r="I2" s="4" t="inlineStr">
        <is>
          <t>N/A</t>
        </is>
      </c>
      <c r="J2" s="4" t="inlineStr">
        <is>
          <t>N/A</t>
        </is>
      </c>
      <c r="K2" s="4" t="inlineStr">
        <is>
          <t>⚠️ workbook 列為 "RGB Salient OD"，但方法多為 CD-FSOD（Cross-Domain Few-Shot OD）；CAMO-FS 資料集名稱可能誤植，CD-ViTO ECCV24 Table 1 測試 ArTaxOr/Clipart1k/DIOR/DeepFish/NEU-DET/UODD（無 CAMO）。需確認 dataset 命名 + 對應的 NTIRE 2025 challenge paper</t>
        </is>
      </c>
      <c r="L2" s="7" t="inlineStr">
        <is>
          <t>https://arxiv.org/abs/2402.03094</t>
        </is>
      </c>
      <c r="M2" s="7" t="inlineStr">
        <is>
          <t>https://github.com/lovelyqian/CDFSOD-benchmark</t>
        </is>
      </c>
    </row>
    <row r="3" ht="48" customHeight="1">
      <c r="A3" s="4" t="inlineStr">
        <is>
          <t>RGB Salient OD</t>
        </is>
      </c>
      <c r="B3" s="4" t="inlineStr">
        <is>
          <t>DE-ViT</t>
        </is>
      </c>
      <c r="C3" s="4" t="inlineStr">
        <is>
          <t>Various</t>
        </is>
      </c>
      <c r="D3" s="4" t="inlineStr">
        <is>
          <t>CVPR</t>
        </is>
      </c>
      <c r="E3" s="4" t="inlineStr">
        <is>
          <t>2024-06</t>
        </is>
      </c>
      <c r="F3" s="4" t="inlineStr">
        <is>
          <t>Published</t>
        </is>
      </c>
      <c r="G3" s="4" t="inlineStr">
        <is>
          <t>N/A</t>
        </is>
      </c>
      <c r="H3" s="4" t="inlineStr">
        <is>
          <t>CAMO-FS To verify</t>
        </is>
      </c>
      <c r="I3" s="4" t="inlineStr">
        <is>
          <t>N/A</t>
        </is>
      </c>
      <c r="J3" s="4" t="inlineStr">
        <is>
          <t>N/A</t>
        </is>
      </c>
      <c r="K3" s="4" t="inlineStr">
        <is>
          <t>⚠️ workbook 列為 "RGB Salient OD"，但方法多為 CD-FSOD（Cross-Domain Few-Shot OD）；CAMO-FS 資料集名稱可能誤植，CD-ViTO ECCV24 Table 1 測試 ArTaxOr/Clipart1k/DIOR/DeepFish/NEU-DET/UODD（無 CAMO）。需確認 dataset 命名 + 對應的 NTIRE 2025 challenge paper</t>
        </is>
      </c>
      <c r="L3" s="7" t="inlineStr">
        <is>
          <t>https://arxiv.org/abs/2304.00000</t>
        </is>
      </c>
      <c r="M3" s="7" t="inlineStr">
        <is>
          <t>https://github.com/</t>
        </is>
      </c>
    </row>
    <row r="4" ht="48" customHeight="1">
      <c r="A4" s="4" t="inlineStr">
        <is>
          <t>RGB Salient OD</t>
        </is>
      </c>
      <c r="B4" s="4" t="inlineStr">
        <is>
          <t>Meta-RCNN</t>
        </is>
      </c>
      <c r="C4" s="4" t="inlineStr">
        <is>
          <t>Yan et al.</t>
        </is>
      </c>
      <c r="D4" s="4" t="inlineStr">
        <is>
          <t>ICCV</t>
        </is>
      </c>
      <c r="E4" s="4" t="inlineStr">
        <is>
          <t>2019-10</t>
        </is>
      </c>
      <c r="F4" s="4" t="inlineStr">
        <is>
          <t>Reproduced</t>
        </is>
      </c>
      <c r="G4" s="4" t="inlineStr">
        <is>
          <t>N/A</t>
        </is>
      </c>
      <c r="H4" s="4" t="inlineStr">
        <is>
          <t>CAMO-FS To verify</t>
        </is>
      </c>
      <c r="I4" s="4" t="inlineStr">
        <is>
          <t>N/A</t>
        </is>
      </c>
      <c r="J4" s="4" t="inlineStr">
        <is>
          <t>42M</t>
        </is>
      </c>
      <c r="K4" s="4" t="inlineStr">
        <is>
          <t>⚠️ workbook 列為 "RGB Salient OD"，但方法多為 CD-FSOD（Cross-Domain Few-Shot OD）；CAMO-FS 資料集名稱可能誤植，CD-ViTO ECCV24 Table 1 測試 ArTaxOr/Clipart1k/DIOR/DeepFish/NEU-DET/UODD（無 CAMO）。需確認 dataset 命名 + 對應的 NTIRE 2025 challenge paper</t>
        </is>
      </c>
      <c r="L4" s="7" t="inlineStr">
        <is>
          <t>https://arxiv.org/abs/1909.13032</t>
        </is>
      </c>
      <c r="M4" s="7" t="inlineStr">
        <is>
          <t>https://github.com/yanxp/MetaR-CNN</t>
        </is>
      </c>
    </row>
    <row r="5" ht="48" customHeight="1">
      <c r="A5" s="4" t="inlineStr">
        <is>
          <t>RGB Salient OD</t>
        </is>
      </c>
      <c r="B5" s="4" t="inlineStr">
        <is>
          <t>ViTDeT-FT</t>
        </is>
      </c>
      <c r="C5" s="4" t="inlineStr">
        <is>
          <t>Various</t>
        </is>
      </c>
      <c r="D5" s="4" t="inlineStr">
        <is>
          <t>Reproduction</t>
        </is>
      </c>
      <c r="E5" s="4" t="inlineStr">
        <is>
          <t>2024-04</t>
        </is>
      </c>
      <c r="F5" s="4" t="inlineStr">
        <is>
          <t>Reproduced</t>
        </is>
      </c>
      <c r="G5" s="4" t="inlineStr">
        <is>
          <t>N/A</t>
        </is>
      </c>
      <c r="H5" s="4" t="inlineStr">
        <is>
          <t>CAMO-FS To verify</t>
        </is>
      </c>
      <c r="I5" s="4" t="inlineStr">
        <is>
          <t>N/A</t>
        </is>
      </c>
      <c r="J5" s="4" t="inlineStr">
        <is>
          <t>N/A</t>
        </is>
      </c>
      <c r="K5" s="4" t="inlineStr">
        <is>
          <t>⚠️ workbook 列為 "RGB Salient OD"，但方法多為 CD-FSOD（Cross-Domain Few-Shot OD）；CAMO-FS 資料集名稱可能誤植，CD-ViTO ECCV24 Table 1 測試 ArTaxOr/Clipart1k/DIOR/DeepFish/NEU-DET/UODD（無 CAMO）。需確認 dataset 命名 + 對應的 NTIRE 2025 challenge paper</t>
        </is>
      </c>
      <c r="L5" s="7" t="inlineStr">
        <is>
          <t>https://github.com/lovelyqian/CDFSOD-benchmark</t>
        </is>
      </c>
      <c r="M5" s="7" t="inlineStr">
        <is>
          <t>https://github.com/lovelyqian/CDFSOD-benchmark</t>
        </is>
      </c>
    </row>
    <row r="6" ht="48" customHeight="1">
      <c r="A6" s="4" t="inlineStr">
        <is>
          <t>RGB Salient OD</t>
        </is>
      </c>
      <c r="B6" s="4" t="inlineStr">
        <is>
          <t>Detic-FT</t>
        </is>
      </c>
      <c r="C6" s="4" t="inlineStr">
        <is>
          <t>Zhou et al.</t>
        </is>
      </c>
      <c r="D6" s="4" t="inlineStr">
        <is>
          <t>ECCV</t>
        </is>
      </c>
      <c r="E6" s="4" t="inlineStr">
        <is>
          <t>2022-10</t>
        </is>
      </c>
      <c r="F6" s="4" t="inlineStr">
        <is>
          <t>Reproduced</t>
        </is>
      </c>
      <c r="G6" s="4" t="inlineStr">
        <is>
          <t>N/A</t>
        </is>
      </c>
      <c r="H6" s="4" t="inlineStr">
        <is>
          <t>CAMO-FS To verify</t>
        </is>
      </c>
      <c r="I6" s="4" t="inlineStr">
        <is>
          <t>N/A</t>
        </is>
      </c>
      <c r="J6" s="4" t="inlineStr">
        <is>
          <t>N/A</t>
        </is>
      </c>
      <c r="K6" s="4" t="inlineStr">
        <is>
          <t>⚠️ workbook 列為 "RGB Salient OD"，但方法多為 CD-FSOD（Cross-Domain Few-Shot OD）；CAMO-FS 資料集名稱可能誤植，CD-ViTO ECCV24 Table 1 測試 ArTaxOr/Clipart1k/DIOR/DeepFish/NEU-DET/UODD（無 CAMO）。需確認 dataset 命名 + 對應的 NTIRE 2025 challenge paper</t>
        </is>
      </c>
      <c r="L6" s="7" t="inlineStr">
        <is>
          <t>https://arxiv.org/abs/2201.02605</t>
        </is>
      </c>
      <c r="M6" s="7" t="inlineStr">
        <is>
          <t>https://github.com/facebookresearch/Detic</t>
        </is>
      </c>
    </row>
    <row r="7" ht="48" customHeight="1">
      <c r="A7" s="4" t="inlineStr">
        <is>
          <t>RGB Salient OD</t>
        </is>
      </c>
      <c r="B7" s="4" t="inlineStr">
        <is>
          <t>Grounding DINO (zero-shot)</t>
        </is>
      </c>
      <c r="C7" s="4" t="inlineStr">
        <is>
          <t>Liu et al.</t>
        </is>
      </c>
      <c r="D7" s="4" t="inlineStr">
        <is>
          <t>ECCV</t>
        </is>
      </c>
      <c r="E7" s="4" t="inlineStr">
        <is>
          <t>2024-10</t>
        </is>
      </c>
      <c r="F7" s="4" t="inlineStr">
        <is>
          <t>Published</t>
        </is>
      </c>
      <c r="G7" s="4" t="inlineStr">
        <is>
          <t>N/A</t>
        </is>
      </c>
      <c r="H7" s="4" t="inlineStr">
        <is>
          <t>CAMO-FS To verify</t>
        </is>
      </c>
      <c r="I7" s="4" t="inlineStr">
        <is>
          <t>N/A</t>
        </is>
      </c>
      <c r="J7" s="4" t="inlineStr">
        <is>
          <t>≈173M</t>
        </is>
      </c>
      <c r="K7" s="4" t="inlineStr">
        <is>
          <t>⚠️ workbook 列為 "RGB Salient OD"，但方法多為 CD-FSOD（Cross-Domain Few-Shot OD）；CAMO-FS 資料集名稱可能誤植，CD-ViTO ECCV24 Table 1 測試 ArTaxOr/Clipart1k/DIOR/DeepFish/NEU-DET/UODD（無 CAMO）。需確認 dataset 命名 + 對應的 NTIRE 2025 challenge paper</t>
        </is>
      </c>
      <c r="L7" s="7" t="inlineStr">
        <is>
          <t>https://arxiv.org/abs/2303.05499</t>
        </is>
      </c>
      <c r="M7" s="7" t="inlineStr">
        <is>
          <t>https://github.com/IDEA-Research/GroundingDINO</t>
        </is>
      </c>
    </row>
    <row r="8" ht="48" customHeight="1">
      <c r="A8" s="4" t="inlineStr">
        <is>
          <t>RGB Salient OD</t>
        </is>
      </c>
      <c r="B8" s="4" t="inlineStr">
        <is>
          <t>NTIRE 2025 winners</t>
        </is>
      </c>
      <c r="C8" s="4" t="inlineStr">
        <is>
          <t>Various</t>
        </is>
      </c>
      <c r="D8" s="4" t="inlineStr">
        <is>
          <t>CVPR Workshop</t>
        </is>
      </c>
      <c r="E8" s="4" t="inlineStr">
        <is>
          <t>2025-06</t>
        </is>
      </c>
      <c r="F8" s="4" t="inlineStr">
        <is>
          <t>Published</t>
        </is>
      </c>
      <c r="G8" s="4" t="inlineStr">
        <is>
          <t>N/A</t>
        </is>
      </c>
      <c r="H8" s="4" t="inlineStr">
        <is>
          <t>To verify</t>
        </is>
      </c>
      <c r="I8" s="4" t="inlineStr">
        <is>
          <t>N/A</t>
        </is>
      </c>
      <c r="J8" s="4" t="inlineStr">
        <is>
          <t>N/A</t>
        </is>
      </c>
      <c r="K8" s="4" t="inlineStr">
        <is>
          <t>⚠️ workbook 列為 "RGB Salient OD"，但方法多為 CD-FSOD（Cross-Domain Few-Shot OD）；CAMO-FS 資料集名稱可能誤植，CD-ViTO ECCV24 Table 1 測試 ArTaxOr/Clipart1k/DIOR/DeepFish/NEU-DET/UODD（無 CAMO）。需確認 dataset 命名 + 對應的 NTIRE 2025 challenge paper</t>
        </is>
      </c>
      <c r="L8" s="7" t="inlineStr">
        <is>
          <t>https://arxiv.org/abs/2504.10685</t>
        </is>
      </c>
      <c r="M8" s="7" t="inlineStr">
        <is>
          <t>https://github.com/lovelyqian/NTIRE2025_CDFSOD</t>
        </is>
      </c>
    </row>
    <row r="9" ht="48" customHeight="1">
      <c r="A9" s="4" t="inlineStr">
        <is>
          <t>RGB Salient OD</t>
        </is>
      </c>
      <c r="B9" s="4" t="inlineStr">
        <is>
          <t>DeFRCN</t>
        </is>
      </c>
      <c r="C9" s="4" t="inlineStr">
        <is>
          <t>Qiao et al.</t>
        </is>
      </c>
      <c r="D9" s="4" t="inlineStr">
        <is>
          <t>ICCV</t>
        </is>
      </c>
      <c r="E9" s="4" t="inlineStr">
        <is>
          <t>2021-10</t>
        </is>
      </c>
      <c r="F9" s="4" t="inlineStr">
        <is>
          <t>Reproduced</t>
        </is>
      </c>
      <c r="G9" s="4" t="inlineStr">
        <is>
          <t>N/A</t>
        </is>
      </c>
      <c r="H9" s="4" t="inlineStr">
        <is>
          <t>CAMO-FS To verify</t>
        </is>
      </c>
      <c r="I9" s="4" t="inlineStr">
        <is>
          <t>N/A</t>
        </is>
      </c>
      <c r="J9" s="4" t="inlineStr">
        <is>
          <t>≈45M</t>
        </is>
      </c>
      <c r="K9" s="4" t="inlineStr">
        <is>
          <t>⚠️ workbook 列為 "RGB Salient OD"，但方法多為 CD-FSOD（Cross-Domain Few-Shot OD）；CAMO-FS 資料集名稱可能誤植，CD-ViTO ECCV24 Table 1 測試 ArTaxOr/Clipart1k/DIOR/DeepFish/NEU-DET/UODD（無 CAMO）。需確認 dataset 命名 + 對應的 NTIRE 2025 challenge paper</t>
        </is>
      </c>
      <c r="L9" s="7" t="inlineStr">
        <is>
          <t>https://arxiv.org/abs/2108.09017</t>
        </is>
      </c>
      <c r="M9" s="7" t="inlineStr">
        <is>
          <t>https://github.com/er-muyue/DeFRCN</t>
        </is>
      </c>
    </row>
    <row r="10" ht="48" customHeight="1">
      <c r="A10" s="4" t="inlineStr">
        <is>
          <t>RGB Salient OD</t>
        </is>
      </c>
      <c r="B10" s="4" t="inlineStr">
        <is>
          <t>FSCE</t>
        </is>
      </c>
      <c r="C10" s="4" t="inlineStr">
        <is>
          <t>Sun et al.</t>
        </is>
      </c>
      <c r="D10" s="4" t="inlineStr">
        <is>
          <t>CVPR</t>
        </is>
      </c>
      <c r="E10" s="4" t="inlineStr">
        <is>
          <t>2021-06</t>
        </is>
      </c>
      <c r="F10" s="4" t="inlineStr">
        <is>
          <t>Reproduced</t>
        </is>
      </c>
      <c r="G10" s="4" t="inlineStr">
        <is>
          <t>N/A</t>
        </is>
      </c>
      <c r="H10" s="4" t="inlineStr">
        <is>
          <t>CAMO-FS To verify</t>
        </is>
      </c>
      <c r="I10" s="4" t="inlineStr">
        <is>
          <t>N/A</t>
        </is>
      </c>
      <c r="J10" s="4" t="inlineStr">
        <is>
          <t>≈42M</t>
        </is>
      </c>
      <c r="K10" s="4" t="inlineStr">
        <is>
          <t>⚠️ workbook 列為 "RGB Salient OD"，但方法多為 CD-FSOD（Cross-Domain Few-Shot OD）；CAMO-FS 資料集名稱可能誤植，CD-ViTO ECCV24 Table 1 測試 ArTaxOr/Clipart1k/DIOR/DeepFish/NEU-DET/UODD（無 CAMO）。需確認 dataset 命名 + 對應的 NTIRE 2025 challenge paper</t>
        </is>
      </c>
      <c r="L10" s="7" t="inlineStr">
        <is>
          <t>https://arxiv.org/abs/2103.05950</t>
        </is>
      </c>
      <c r="M10" s="7" t="inlineStr">
        <is>
          <t>https://github.com/megvii-research/FSCE</t>
        </is>
      </c>
    </row>
    <row r="11" ht="48" customHeight="1">
      <c r="A11" s="4" t="inlineStr">
        <is>
          <t>RGB Salient OD</t>
        </is>
      </c>
      <c r="B11" s="4" t="inlineStr">
        <is>
          <t>FII-DETR</t>
        </is>
      </c>
      <c r="C11" s="4" t="inlineStr">
        <is>
          <t>Various</t>
        </is>
      </c>
      <c r="D11" s="4" t="inlineStr">
        <is>
          <t>Information Fusion</t>
        </is>
      </c>
      <c r="E11" s="4" t="inlineStr">
        <is>
          <t>2025-01</t>
        </is>
      </c>
      <c r="F11" s="4" t="inlineStr">
        <is>
          <t>Published</t>
        </is>
      </c>
      <c r="G11" s="4" t="inlineStr">
        <is>
          <t>N/A</t>
        </is>
      </c>
      <c r="H11" s="4" t="inlineStr">
        <is>
          <t>CAMO-FS To verify</t>
        </is>
      </c>
      <c r="I11" s="4" t="inlineStr">
        <is>
          <t>N/A</t>
        </is>
      </c>
      <c r="J11" s="4" t="inlineStr">
        <is>
          <t>N/A</t>
        </is>
      </c>
      <c r="K11" s="4" t="inlineStr">
        <is>
          <t>⚠️ workbook 列為 "RGB Salient OD"，但方法多為 CD-FSOD（Cross-Domain Few-Shot OD）；CAMO-FS 資料集名稱可能誤植，CD-ViTO ECCV24 Table 1 測試 ArTaxOr/Clipart1k/DIOR/DeepFish/NEU-DET/UODD（無 CAMO）。需確認 dataset 命名 + 對應的 NTIRE 2025 challenge paper</t>
        </is>
      </c>
      <c r="L11" s="7" t="inlineStr">
        <is>
          <t>https://www.sciencedirect.com/science/article/abs/pii/S1566253525007900</t>
        </is>
      </c>
      <c r="M11" s="7" t="inlineStr">
        <is>
          <t>https://github.com/</t>
        </is>
      </c>
    </row>
    <row r="12" ht="48" customHeight="1">
      <c r="A12" s="4" t="inlineStr">
        <is>
          <t>RGB Salient OD</t>
        </is>
      </c>
      <c r="B12" s="4" t="inlineStr">
        <is>
          <t>CD-ViTO + Domain Prompter</t>
        </is>
      </c>
      <c r="C12" s="4" t="inlineStr">
        <is>
          <t>Fu et al.</t>
        </is>
      </c>
      <c r="D12" s="4" t="inlineStr">
        <is>
          <t>ECCV</t>
        </is>
      </c>
      <c r="E12" s="4" t="inlineStr">
        <is>
          <t>2024-10</t>
        </is>
      </c>
      <c r="F12" s="4" t="inlineStr">
        <is>
          <t>Published</t>
        </is>
      </c>
      <c r="G12" s="4" t="inlineStr">
        <is>
          <t>N/A</t>
        </is>
      </c>
      <c r="H12" s="4" t="inlineStr">
        <is>
          <t>CAMO-FS To verify</t>
        </is>
      </c>
      <c r="I12" s="4" t="inlineStr">
        <is>
          <t>N/A</t>
        </is>
      </c>
      <c r="J12" s="4" t="inlineStr">
        <is>
          <t>N/A</t>
        </is>
      </c>
      <c r="K12" s="4" t="inlineStr">
        <is>
          <t>⚠️ workbook 列為 "RGB Salient OD"，但方法多為 CD-FSOD（Cross-Domain Few-Shot OD）；CAMO-FS 資料集名稱可能誤植，CD-ViTO ECCV24 Table 1 測試 ArTaxOr/Clipart1k/DIOR/DeepFish/NEU-DET/UODD（無 CAMO）。需確認 dataset 命名 + 對應的 NTIRE 2025 challenge paper</t>
        </is>
      </c>
      <c r="L12" s="7" t="inlineStr">
        <is>
          <t>https://arxiv.org/abs/2402.03094</t>
        </is>
      </c>
      <c r="M12" s="7" t="inlineStr">
        <is>
          <t>https://github.com/lovelyqian/CDFSOD-benchmark</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MMA</t>
        </is>
      </c>
      <c r="C2" s="5" t="inlineStr">
        <is>
          <t>Cermelli et al.</t>
        </is>
      </c>
      <c r="D2" s="5" t="inlineStr">
        <is>
          <t>CVPR</t>
        </is>
      </c>
      <c r="E2" s="5" t="inlineStr">
        <is>
          <t>2022-06</t>
        </is>
      </c>
      <c r="F2" s="5" t="inlineStr">
        <is>
          <t>Published</t>
        </is>
      </c>
      <c r="G2" s="5" t="inlineStr">
        <is>
          <t>To verify</t>
        </is>
      </c>
      <c r="H2" s="5" t="inlineStr">
        <is>
          <t>VOC 15+5 mAP To verify</t>
        </is>
      </c>
      <c r="I2" s="5" t="inlineStr">
        <is>
          <t>N/A</t>
        </is>
      </c>
      <c r="J2" s="5" t="inlineStr">
        <is>
          <t>N/A</t>
        </is>
      </c>
      <c r="K2" s="5" t="inlineStr">
        <is>
          <t>⚠️ MMA class-incremental OD 方法，使用 PASCAL VOC 15+5 incremental setting (前 15 類 base + 後 5 類 new)；各 paper 報告 Old/New/All mAP at task t1/t2/etc，格式不一。需逐 paper PDF 對讀</t>
        </is>
      </c>
      <c r="L2" s="8" t="inlineStr">
        <is>
          <t>https://arxiv.org/abs/2204.05507</t>
        </is>
      </c>
      <c r="M2" s="8" t="inlineStr">
        <is>
          <t>https://github.com/fcdl94/MMA</t>
        </is>
      </c>
    </row>
    <row r="3" ht="48" customHeight="1">
      <c r="A3" s="5" t="inlineStr">
        <is>
          <t>Few-Shot OD</t>
        </is>
      </c>
      <c r="B3" s="5" t="inlineStr">
        <is>
          <t>ABR</t>
        </is>
      </c>
      <c r="C3" s="5" t="inlineStr">
        <is>
          <t>Liu et al.</t>
        </is>
      </c>
      <c r="D3" s="5" t="inlineStr">
        <is>
          <t>TPAMI</t>
        </is>
      </c>
      <c r="E3" s="5" t="inlineStr">
        <is>
          <t>2023-08</t>
        </is>
      </c>
      <c r="F3" s="5" t="inlineStr">
        <is>
          <t>Published</t>
        </is>
      </c>
      <c r="G3" s="5" t="inlineStr">
        <is>
          <t>To verify</t>
        </is>
      </c>
      <c r="H3" s="5" t="inlineStr">
        <is>
          <t>VOC 15+5 mAP To verify</t>
        </is>
      </c>
      <c r="I3" s="5" t="inlineStr">
        <is>
          <t>N/A</t>
        </is>
      </c>
      <c r="J3" s="5" t="inlineStr">
        <is>
          <t>N/A</t>
        </is>
      </c>
      <c r="K3" s="5" t="inlineStr">
        <is>
          <t>⚠️ ABR class-incremental OD 方法，使用 PASCAL VOC 15+5 incremental setting (前 15 類 base + 後 5 類 new)；各 paper 報告 Old/New/All mAP at task t1/t2/etc，格式不一。需逐 paper PDF 對讀</t>
        </is>
      </c>
      <c r="L3" s="8" t="inlineStr">
        <is>
          <t>https://arxiv.org/abs/2305.18068</t>
        </is>
      </c>
      <c r="M3" s="8" t="inlineStr">
        <is>
          <t>https://github.com/Yiyao-Liu/ABR</t>
        </is>
      </c>
    </row>
    <row r="4" ht="48" customHeight="1">
      <c r="A4" s="5" t="inlineStr">
        <is>
          <t>Few-Shot OD</t>
        </is>
      </c>
      <c r="B4" s="5" t="inlineStr">
        <is>
          <t>ERD</t>
        </is>
      </c>
      <c r="C4" s="5" t="inlineStr">
        <is>
          <t>Feng et al.</t>
        </is>
      </c>
      <c r="D4" s="5" t="inlineStr">
        <is>
          <t>CVPR</t>
        </is>
      </c>
      <c r="E4" s="5" t="inlineStr">
        <is>
          <t>2022-06</t>
        </is>
      </c>
      <c r="F4" s="5" t="inlineStr">
        <is>
          <t>Published</t>
        </is>
      </c>
      <c r="G4" s="5" t="inlineStr">
        <is>
          <t>To verify</t>
        </is>
      </c>
      <c r="H4" s="5" t="inlineStr">
        <is>
          <t>VOC 15+5 mAP To verify</t>
        </is>
      </c>
      <c r="I4" s="5" t="inlineStr">
        <is>
          <t>N/A</t>
        </is>
      </c>
      <c r="J4" s="5" t="inlineStr">
        <is>
          <t>N/A</t>
        </is>
      </c>
      <c r="K4" s="5" t="inlineStr">
        <is>
          <t>⚠️ ERD class-incremental OD 方法，使用 PASCAL VOC 15+5 incremental setting (前 15 類 base + 後 5 類 new)；各 paper 報告 Old/New/All mAP at task t1/t2/etc，格式不一。需逐 paper PDF 對讀</t>
        </is>
      </c>
      <c r="L4" s="8" t="inlineStr">
        <is>
          <t>https://arxiv.org/abs/2204.02136</t>
        </is>
      </c>
      <c r="M4" s="8" t="inlineStr">
        <is>
          <t>https://github.com/Hi-FT/ERD</t>
        </is>
      </c>
    </row>
    <row r="5" ht="48" customHeight="1">
      <c r="A5" s="5" t="inlineStr">
        <is>
          <t>Few-Shot OD</t>
        </is>
      </c>
      <c r="B5" s="5" t="inlineStr">
        <is>
          <t>CL-DETR</t>
        </is>
      </c>
      <c r="C5" s="5" t="inlineStr">
        <is>
          <t>Liu et al.</t>
        </is>
      </c>
      <c r="D5" s="5" t="inlineStr">
        <is>
          <t>CVPR</t>
        </is>
      </c>
      <c r="E5" s="5" t="inlineStr">
        <is>
          <t>2023-06</t>
        </is>
      </c>
      <c r="F5" s="5" t="inlineStr">
        <is>
          <t>Published</t>
        </is>
      </c>
      <c r="G5" s="5" t="inlineStr">
        <is>
          <t>To verify</t>
        </is>
      </c>
      <c r="H5" s="5" t="inlineStr">
        <is>
          <t>VOC 15+5 mAP To verify</t>
        </is>
      </c>
      <c r="I5" s="5" t="inlineStr">
        <is>
          <t>N/A</t>
        </is>
      </c>
      <c r="J5" s="5" t="inlineStr">
        <is>
          <t>N/A</t>
        </is>
      </c>
      <c r="K5" s="5" t="inlineStr">
        <is>
          <t>⚠️ CL-DETR class-incremental OD 方法，使用 PASCAL VOC 15+5 incremental setting (前 15 類 base + 後 5 類 new)；各 paper 報告 Old/New/All mAP at task t1/t2/etc，格式不一。需逐 paper PDF 對讀</t>
        </is>
      </c>
      <c r="L5" s="8" t="inlineStr">
        <is>
          <t>https://arxiv.org/abs/2304.03110</t>
        </is>
      </c>
      <c r="M5" s="8" t="inlineStr">
        <is>
          <t>https://github.com/yaoyao-liu/CL-DETR</t>
        </is>
      </c>
    </row>
    <row r="6" ht="48" customHeight="1">
      <c r="A6" s="5" t="inlineStr">
        <is>
          <t>Few-Shot OD</t>
        </is>
      </c>
      <c r="B6" s="5" t="inlineStr">
        <is>
          <t>PROB</t>
        </is>
      </c>
      <c r="C6" s="5" t="inlineStr">
        <is>
          <t>Zohar et al.</t>
        </is>
      </c>
      <c r="D6" s="5" t="inlineStr">
        <is>
          <t>CVPR</t>
        </is>
      </c>
      <c r="E6" s="5" t="inlineStr">
        <is>
          <t>2023-06</t>
        </is>
      </c>
      <c r="F6" s="5" t="inlineStr">
        <is>
          <t>Published</t>
        </is>
      </c>
      <c r="G6" s="5" t="inlineStr">
        <is>
          <t>To verify</t>
        </is>
      </c>
      <c r="H6" s="5" t="inlineStr">
        <is>
          <t>VOC 15+5 mAP To verify</t>
        </is>
      </c>
      <c r="I6" s="5" t="inlineStr">
        <is>
          <t>N/A</t>
        </is>
      </c>
      <c r="J6" s="5" t="inlineStr">
        <is>
          <t>N/A</t>
        </is>
      </c>
      <c r="K6" s="5" t="inlineStr">
        <is>
          <t>⚠️ PROB class-incremental OD 方法，使用 PASCAL VOC 15+5 incremental setting (前 15 類 base + 後 5 類 new)；各 paper 報告 Old/New/All mAP at task t1/t2/etc，格式不一。需逐 paper PDF 對讀</t>
        </is>
      </c>
      <c r="L6" s="8" t="inlineStr">
        <is>
          <t>https://arxiv.org/abs/2212.01424</t>
        </is>
      </c>
      <c r="M6" s="8" t="inlineStr">
        <is>
          <t>https://github.com/orrzohar/PROB</t>
        </is>
      </c>
    </row>
    <row r="7" ht="48" customHeight="1">
      <c r="A7" s="5" t="inlineStr">
        <is>
          <t>Few-Shot OD</t>
        </is>
      </c>
      <c r="B7" s="5" t="inlineStr">
        <is>
          <t>LwF (baseline)</t>
        </is>
      </c>
      <c r="C7" s="5" t="inlineStr">
        <is>
          <t>Li &amp; Hoiem</t>
        </is>
      </c>
      <c r="D7" s="5" t="inlineStr">
        <is>
          <t>ECCV</t>
        </is>
      </c>
      <c r="E7" s="5" t="inlineStr">
        <is>
          <t>2016-09</t>
        </is>
      </c>
      <c r="F7" s="5" t="inlineStr">
        <is>
          <t>Published</t>
        </is>
      </c>
      <c r="G7" s="5" t="inlineStr">
        <is>
          <t>To verify</t>
        </is>
      </c>
      <c r="H7" s="5" t="inlineStr">
        <is>
          <t>VOC 15+5 mAP To verify</t>
        </is>
      </c>
      <c r="I7" s="5" t="inlineStr">
        <is>
          <t>N/A</t>
        </is>
      </c>
      <c r="J7" s="5" t="inlineStr">
        <is>
          <t>N/A</t>
        </is>
      </c>
      <c r="K7" s="5" t="inlineStr">
        <is>
          <t>⚠️ LwF (baseline) class-incremental OD 方法，使用 PASCAL VOC 15+5 incremental setting (前 15 類 base + 後 5 類 new)；各 paper 報告 Old/New/All mAP at task t1/t2/etc，格式不一。需逐 paper PDF 對讀</t>
        </is>
      </c>
      <c r="L7" s="8" t="inlineStr">
        <is>
          <t>https://arxiv.org/abs/1606.09282</t>
        </is>
      </c>
      <c r="M7" s="8" t="inlineStr">
        <is>
          <t>https://github.com/lhyfst/LwF</t>
        </is>
      </c>
    </row>
    <row r="8" ht="48" customHeight="1">
      <c r="A8" s="5" t="inlineStr">
        <is>
          <t>Few-Shot OD</t>
        </is>
      </c>
      <c r="B8" s="5" t="inlineStr">
        <is>
          <t>Faster ILOD</t>
        </is>
      </c>
      <c r="C8" s="5" t="inlineStr">
        <is>
          <t>Peng et al.</t>
        </is>
      </c>
      <c r="D8" s="5" t="inlineStr">
        <is>
          <t>Neurocomp.</t>
        </is>
      </c>
      <c r="E8" s="5" t="inlineStr">
        <is>
          <t>2020-06</t>
        </is>
      </c>
      <c r="F8" s="5" t="inlineStr">
        <is>
          <t>Published</t>
        </is>
      </c>
      <c r="G8" s="5" t="inlineStr">
        <is>
          <t>To verify</t>
        </is>
      </c>
      <c r="H8" s="5" t="inlineStr">
        <is>
          <t>VOC 15+5 mAP To verify</t>
        </is>
      </c>
      <c r="I8" s="5" t="inlineStr">
        <is>
          <t>N/A</t>
        </is>
      </c>
      <c r="J8" s="5" t="inlineStr">
        <is>
          <t>N/A</t>
        </is>
      </c>
      <c r="K8" s="5" t="inlineStr">
        <is>
          <t>⚠️ Faster ILOD class-incremental OD 方法，使用 PASCAL VOC 15+5 incremental setting (前 15 類 base + 後 5 類 new)；各 paper 報告 Old/New/All mAP at task t1/t2/etc，格式不一。需逐 paper PDF 對讀</t>
        </is>
      </c>
      <c r="L8" s="8" t="inlineStr">
        <is>
          <t>https://arxiv.org/abs/2003.03901</t>
        </is>
      </c>
      <c r="M8" s="8" t="inlineStr">
        <is>
          <t>https://github.com/JosephKJ/iOD</t>
        </is>
      </c>
    </row>
    <row r="9" ht="48" customHeight="1">
      <c r="A9" s="5" t="inlineStr">
        <is>
          <t>Few-Shot OD</t>
        </is>
      </c>
      <c r="B9" s="5" t="inlineStr">
        <is>
          <t>ORE</t>
        </is>
      </c>
      <c r="C9" s="5" t="inlineStr">
        <is>
          <t>Joseph et al.</t>
        </is>
      </c>
      <c r="D9" s="5" t="inlineStr">
        <is>
          <t>CVPR</t>
        </is>
      </c>
      <c r="E9" s="5" t="inlineStr">
        <is>
          <t>2021-06</t>
        </is>
      </c>
      <c r="F9" s="5" t="inlineStr">
        <is>
          <t>Published</t>
        </is>
      </c>
      <c r="G9" s="5" t="inlineStr">
        <is>
          <t>To verify</t>
        </is>
      </c>
      <c r="H9" s="5" t="inlineStr">
        <is>
          <t>VOC 15+5 mAP To verify</t>
        </is>
      </c>
      <c r="I9" s="5" t="inlineStr">
        <is>
          <t>N/A</t>
        </is>
      </c>
      <c r="J9" s="5" t="inlineStr">
        <is>
          <t>N/A</t>
        </is>
      </c>
      <c r="K9" s="5" t="inlineStr">
        <is>
          <t>⚠️ ORE class-incremental OD 方法，使用 PASCAL VOC 15+5 incremental setting (前 15 類 base + 後 5 類 new)；各 paper 報告 Old/New/All mAP at task t1/t2/etc，格式不一。需逐 paper PDF 對讀</t>
        </is>
      </c>
      <c r="L9" s="8" t="inlineStr">
        <is>
          <t>https://arxiv.org/abs/2103.02603</t>
        </is>
      </c>
      <c r="M9" s="8" t="inlineStr">
        <is>
          <t>https://github.com/JosephKJ/OWOD</t>
        </is>
      </c>
    </row>
    <row r="10" ht="48" customHeight="1">
      <c r="A10" s="5" t="inlineStr">
        <is>
          <t>Few-Shot OD</t>
        </is>
      </c>
      <c r="B10" s="5" t="inlineStr">
        <is>
          <t>OW-DETR</t>
        </is>
      </c>
      <c r="C10" s="5" t="inlineStr">
        <is>
          <t>Gupta et al.</t>
        </is>
      </c>
      <c r="D10" s="5" t="inlineStr">
        <is>
          <t>CVPR</t>
        </is>
      </c>
      <c r="E10" s="5" t="inlineStr">
        <is>
          <t>2022-06</t>
        </is>
      </c>
      <c r="F10" s="5" t="inlineStr">
        <is>
          <t>Published</t>
        </is>
      </c>
      <c r="G10" s="5" t="inlineStr">
        <is>
          <t>To verify</t>
        </is>
      </c>
      <c r="H10" s="5" t="inlineStr">
        <is>
          <t>VOC 15+5 mAP To verify</t>
        </is>
      </c>
      <c r="I10" s="5" t="inlineStr">
        <is>
          <t>N/A</t>
        </is>
      </c>
      <c r="J10" s="5" t="inlineStr">
        <is>
          <t>N/A</t>
        </is>
      </c>
      <c r="K10" s="5" t="inlineStr">
        <is>
          <t>⚠️ OW-DETR class-incremental OD 方法，使用 PASCAL VOC 15+5 incremental setting (前 15 類 base + 後 5 類 new)；各 paper 報告 Old/New/All mAP at task t1/t2/etc，格式不一。需逐 paper PDF 對讀</t>
        </is>
      </c>
      <c r="L10" s="8" t="inlineStr">
        <is>
          <t>https://arxiv.org/abs/2112.01513</t>
        </is>
      </c>
      <c r="M10" s="8" t="inlineStr">
        <is>
          <t>https://github.com/akshitac8/OW-DETR</t>
        </is>
      </c>
    </row>
    <row r="11" ht="48" customHeight="1">
      <c r="A11" s="5" t="inlineStr">
        <is>
          <t>Few-Shot OD</t>
        </is>
      </c>
      <c r="B11" s="5" t="inlineStr">
        <is>
          <t>RILOD</t>
        </is>
      </c>
      <c r="C11" s="5" t="inlineStr">
        <is>
          <t>Various</t>
        </is>
      </c>
      <c r="D11" s="5" t="inlineStr">
        <is>
          <t>arXiv</t>
        </is>
      </c>
      <c r="E11" s="5" t="inlineStr">
        <is>
          <t>2024-04</t>
        </is>
      </c>
      <c r="F11" s="5" t="inlineStr">
        <is>
          <t>Preprint</t>
        </is>
      </c>
      <c r="G11" s="5" t="inlineStr">
        <is>
          <t>To verify</t>
        </is>
      </c>
      <c r="H11" s="5" t="inlineStr">
        <is>
          <t>VOC 15+5 mAP To verify</t>
        </is>
      </c>
      <c r="I11" s="5" t="inlineStr">
        <is>
          <t>N/A</t>
        </is>
      </c>
      <c r="J11" s="5" t="inlineStr">
        <is>
          <t>N/A</t>
        </is>
      </c>
      <c r="K11" s="5" t="inlineStr">
        <is>
          <t>⚠️ RILOD class-incremental OD 方法，使用 PASCAL VOC 15+5 incremental setting (前 15 類 base + 後 5 類 new)；各 paper 報告 Old/New/All mAP at task t1/t2/etc，格式不一。需逐 paper PDF 對讀</t>
        </is>
      </c>
      <c r="L11" s="8" t="inlineStr">
        <is>
          <t>https://arxiv.org/abs/2404.00000</t>
        </is>
      </c>
      <c r="M11" s="8" t="inlineStr">
        <is>
          <t>https://github.com/</t>
        </is>
      </c>
    </row>
    <row r="12" ht="48" customHeight="1">
      <c r="A12" s="5" t="inlineStr">
        <is>
          <t>Few-Shot OD</t>
        </is>
      </c>
      <c r="B12" s="5" t="inlineStr">
        <is>
          <t>Faster R-CNN baseline</t>
        </is>
      </c>
      <c r="C12" s="5" t="inlineStr">
        <is>
          <t>Reproduction</t>
        </is>
      </c>
      <c r="D12" s="5" t="inlineStr">
        <is>
          <t>Reproduction</t>
        </is>
      </c>
      <c r="E12" s="5" t="inlineStr">
        <is>
          <t>2022-04</t>
        </is>
      </c>
      <c r="F12" s="5" t="inlineStr">
        <is>
          <t>Reproduced</t>
        </is>
      </c>
      <c r="G12" s="5" t="inlineStr">
        <is>
          <t>To verify</t>
        </is>
      </c>
      <c r="H12" s="5" t="inlineStr">
        <is>
          <t>VOC 15+5 mAP baseline</t>
        </is>
      </c>
      <c r="I12" s="5" t="inlineStr">
        <is>
          <t>N/A</t>
        </is>
      </c>
      <c r="J12" s="5" t="inlineStr">
        <is>
          <t>42M</t>
        </is>
      </c>
      <c r="K12" s="5" t="inlineStr">
        <is>
          <t>⚠️ Faster R-CNN baseline class-incremental OD 方法，使用 PASCAL VOC 15+5 incremental setting (前 15 類 base + 後 5 類 new)；各 paper 報告 Old/New/All mAP at task t1/t2/etc，格式不一。需逐 paper PDF 對讀</t>
        </is>
      </c>
      <c r="L12" s="8" t="inlineStr">
        <is>
          <t>https://arxiv.org/abs/1506.01497</t>
        </is>
      </c>
      <c r="M12" s="8" t="inlineStr">
        <is>
          <t>https://github.com/rbgirshick/py-faster-rcnn</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(1-shot)</t>
        </is>
      </c>
      <c r="C2" s="5" t="inlineStr">
        <is>
          <t>Zhang et al.</t>
        </is>
      </c>
      <c r="D2" s="5" t="inlineStr">
        <is>
          <t>TPAMI</t>
        </is>
      </c>
      <c r="E2" s="5" t="inlineStr">
        <is>
          <t>2022-08</t>
        </is>
      </c>
      <c r="F2" s="5" t="inlineStr">
        <is>
          <t>Published</t>
        </is>
      </c>
      <c r="G2" s="5" t="n">
        <v>7.5</v>
      </c>
      <c r="H2" s="5" t="inlineStr">
        <is>
          <t>novel AP 7.5 (AP50 12.5, AP75 7.7) MS-COCO 1-shot</t>
        </is>
      </c>
      <c r="I2" s="5" t="inlineStr">
        <is>
          <t>N/A</t>
        </is>
      </c>
      <c r="J2" s="5" t="inlineStr">
        <is>
          <t>41M</t>
        </is>
      </c>
      <c r="K2" s="5" t="inlineStr">
        <is>
          <t>✅ verified (Meta-DETR TPAMI22 Table 3): MS-COCO 1-shot novel AP=7.5</t>
        </is>
      </c>
      <c r="L2" s="8" t="inlineStr">
        <is>
          <t>https://arxiv.org/abs/2208.00219</t>
        </is>
      </c>
      <c r="M2" s="8" t="inlineStr">
        <is>
          <t>https://github.com/ZhangGongjie/Meta-DETR</t>
        </is>
      </c>
    </row>
    <row r="3" ht="48" customHeight="1">
      <c r="A3" s="5" t="inlineStr">
        <is>
          <t>Few-Shot OD</t>
        </is>
      </c>
      <c r="B3" s="5" t="inlineStr">
        <is>
          <t>DeFRCN (1-shot)</t>
        </is>
      </c>
      <c r="C3" s="5" t="inlineStr">
        <is>
          <t>Qiao et al.</t>
        </is>
      </c>
      <c r="D3" s="5" t="inlineStr">
        <is>
          <t>ICCV</t>
        </is>
      </c>
      <c r="E3" s="5" t="inlineStr">
        <is>
          <t>2021-10</t>
        </is>
      </c>
      <c r="F3" s="5" t="inlineStr">
        <is>
          <t>Published</t>
        </is>
      </c>
      <c r="G3" s="5" t="n">
        <v>9.300000000000001</v>
      </c>
      <c r="H3" s="5" t="inlineStr">
        <is>
          <t>novel AP 9.3 MS-COCO 1-shot</t>
        </is>
      </c>
      <c r="I3" s="5" t="inlineStr">
        <is>
          <t>N/A</t>
        </is>
      </c>
      <c r="J3" s="5" t="inlineStr">
        <is>
          <t>≈45M</t>
        </is>
      </c>
      <c r="K3" s="5" t="inlineStr">
        <is>
          <t>✅ verified (DeFRCN ICCV21 Table 2 (without w/G)): MS-COCO 1-shot novel AP=9.3</t>
        </is>
      </c>
      <c r="L3" s="8" t="inlineStr">
        <is>
          <t>https://arxiv.org/abs/2108.09017</t>
        </is>
      </c>
      <c r="M3" s="8" t="inlineStr">
        <is>
          <t>https://github.com/er-muyue/DeFRCN</t>
        </is>
      </c>
    </row>
    <row r="4" ht="48" customHeight="1">
      <c r="A4" s="5" t="inlineStr">
        <is>
          <t>Few-Shot OD</t>
        </is>
      </c>
      <c r="B4" s="5" t="inlineStr">
        <is>
          <t>DETReg (1-shot)</t>
        </is>
      </c>
      <c r="C4" s="5" t="inlineStr">
        <is>
          <t>Bar et al.</t>
        </is>
      </c>
      <c r="D4" s="5" t="inlineStr">
        <is>
          <t>CVPR</t>
        </is>
      </c>
      <c r="E4" s="5" t="inlineStr">
        <is>
          <t>2022-06</t>
        </is>
      </c>
      <c r="F4" s="5" t="inlineStr">
        <is>
          <t>Published</t>
        </is>
      </c>
      <c r="G4" s="5" t="inlineStr">
        <is>
          <t>N/A</t>
        </is>
      </c>
      <c r="H4" s="5" t="inlineStr">
        <is>
          <t>AP 4.5</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(1-shot)</t>
        </is>
      </c>
      <c r="C5" s="5" t="inlineStr">
        <is>
          <t>Sun et al.</t>
        </is>
      </c>
      <c r="D5" s="5" t="inlineStr">
        <is>
          <t>CVPR</t>
        </is>
      </c>
      <c r="E5" s="5" t="inlineStr">
        <is>
          <t>2021-06</t>
        </is>
      </c>
      <c r="F5" s="5" t="inlineStr">
        <is>
          <t>Published</t>
        </is>
      </c>
      <c r="G5" s="5" t="inlineStr">
        <is>
          <t>N/A</t>
        </is>
      </c>
      <c r="H5" s="5" t="inlineStr">
        <is>
          <t>AP 3.7</t>
        </is>
      </c>
      <c r="I5" s="5" t="inlineStr">
        <is>
          <t>N/A</t>
        </is>
      </c>
      <c r="J5" s="5" t="inlineStr">
        <is>
          <t>≈42M</t>
        </is>
      </c>
      <c r="K5" s="5" t="inlineStr">
        <is>
          <t>⚠️ FSCE (Sun et al. CVPR21) Table 1 reports only 10-shot=11.1 and 30-shot=15.3 on MS-COCO novel AP. 1-shot and 5-shot not in original FSCE paper</t>
        </is>
      </c>
      <c r="L5" s="8" t="inlineStr">
        <is>
          <t>https://arxiv.org/abs/2103.05950</t>
        </is>
      </c>
      <c r="M5" s="8" t="inlineStr">
        <is>
          <t>https://github.com/megvii-research/FSCE</t>
        </is>
      </c>
    </row>
    <row r="6" ht="48" customHeight="1">
      <c r="A6" s="5" t="inlineStr">
        <is>
          <t>Few-Shot OD</t>
        </is>
      </c>
      <c r="B6" s="5" t="inlineStr">
        <is>
          <t>MPSR (1-shot)</t>
        </is>
      </c>
      <c r="C6" s="5" t="inlineStr">
        <is>
          <t>Wu et al.</t>
        </is>
      </c>
      <c r="D6" s="5" t="inlineStr">
        <is>
          <t>ECCV</t>
        </is>
      </c>
      <c r="E6" s="5" t="inlineStr">
        <is>
          <t>2020-08</t>
        </is>
      </c>
      <c r="F6" s="5" t="inlineStr">
        <is>
          <t>Published</t>
        </is>
      </c>
      <c r="G6" s="5" t="n">
        <v>5.1</v>
      </c>
      <c r="H6" s="5" t="inlineStr">
        <is>
          <t>novel AP 5.1 MS-COCO 1-shot (reproduced)</t>
        </is>
      </c>
      <c r="I6" s="5" t="inlineStr">
        <is>
          <t>N/A</t>
        </is>
      </c>
      <c r="J6" s="5" t="inlineStr">
        <is>
          <t>42M</t>
        </is>
      </c>
      <c r="K6" s="5" t="inlineStr">
        <is>
          <t>✅ verified (DeFRCN ICCV21 Table 2 (MPSR reproduced)): MS-COCO 1-shot novel AP=5.1</t>
        </is>
      </c>
      <c r="L6" s="8" t="inlineStr">
        <is>
          <t>https://arxiv.org/abs/2007.09384</t>
        </is>
      </c>
      <c r="M6" s="8" t="inlineStr">
        <is>
          <t>https://github.com/jiaxi-wu/MPSR</t>
        </is>
      </c>
    </row>
    <row r="7" ht="48" customHeight="1">
      <c r="A7" s="5" t="inlineStr">
        <is>
          <t>Few-Shot OD</t>
        </is>
      </c>
      <c r="B7" s="5" t="inlineStr">
        <is>
          <t>TFA w/cos (1-shot)</t>
        </is>
      </c>
      <c r="C7" s="5" t="inlineStr">
        <is>
          <t>Wang et al.</t>
        </is>
      </c>
      <c r="D7" s="5" t="inlineStr">
        <is>
          <t>ICML</t>
        </is>
      </c>
      <c r="E7" s="5" t="inlineStr">
        <is>
          <t>2020-07</t>
        </is>
      </c>
      <c r="F7" s="5" t="inlineStr">
        <is>
          <t>Published</t>
        </is>
      </c>
      <c r="G7" s="5" t="n">
        <v>4.4</v>
      </c>
      <c r="H7" s="5" t="inlineStr">
        <is>
          <t>novel AP 4.4 MS-COCO 1-shot (reproduced)</t>
        </is>
      </c>
      <c r="I7" s="5" t="inlineStr">
        <is>
          <t>N/A</t>
        </is>
      </c>
      <c r="J7" s="5" t="inlineStr">
        <is>
          <t>42M</t>
        </is>
      </c>
      <c r="K7" s="5" t="inlineStr">
        <is>
          <t>✅ verified (DeFRCN ICCV21 Table 2 (TFA reproduced)): MS-COCO 1-shot novel AP=4.4</t>
        </is>
      </c>
      <c r="L7" s="8" t="inlineStr">
        <is>
          <t>https://arxiv.org/abs/2003.06957</t>
        </is>
      </c>
      <c r="M7" s="8" t="inlineStr">
        <is>
          <t>https://github.com/ucbdrive/few-shot-object-detection</t>
        </is>
      </c>
    </row>
    <row r="8" ht="48" customHeight="1">
      <c r="A8" s="5" t="inlineStr">
        <is>
          <t>Few-Shot OD</t>
        </is>
      </c>
      <c r="B8" s="5" t="inlineStr">
        <is>
          <t>Meta R-CNN (1-shot)</t>
        </is>
      </c>
      <c r="C8" s="5" t="inlineStr">
        <is>
          <t>Yan et al.</t>
        </is>
      </c>
      <c r="D8" s="5" t="inlineStr">
        <is>
          <t>ICCV</t>
        </is>
      </c>
      <c r="E8" s="5" t="inlineStr">
        <is>
          <t>2019-10</t>
        </is>
      </c>
      <c r="F8" s="5" t="inlineStr">
        <is>
          <t>Published</t>
        </is>
      </c>
      <c r="G8" s="5" t="inlineStr">
        <is>
          <t>N/A</t>
        </is>
      </c>
      <c r="H8" s="5" t="inlineStr">
        <is>
          <t>AP 1.0</t>
        </is>
      </c>
      <c r="I8" s="5" t="inlineStr">
        <is>
          <t>N/A</t>
        </is>
      </c>
      <c r="J8" s="5" t="inlineStr">
        <is>
          <t>42M</t>
        </is>
      </c>
      <c r="K8" s="5" t="inlineStr">
        <is>
          <t>⚠️ Meta R-CNN (Yan et al. ICCV19) Table 4 reports only 10-shot=8.7 and 30-shot=12.4 on MS-COCO novel AP. 1-shot and 5-shot not in original paper</t>
        </is>
      </c>
      <c r="L8" s="8" t="inlineStr">
        <is>
          <t>https://arxiv.org/abs/1909.13032</t>
        </is>
      </c>
      <c r="M8" s="8" t="inlineStr">
        <is>
          <t>https://github.com/yanxp/MetaR-CNN</t>
        </is>
      </c>
    </row>
    <row r="9" ht="48" customHeight="1">
      <c r="A9" s="5" t="inlineStr">
        <is>
          <t>Few-Shot OD</t>
        </is>
      </c>
      <c r="B9" s="5" t="inlineStr">
        <is>
          <t>FSRW (1-shot)</t>
        </is>
      </c>
      <c r="C9" s="5" t="inlineStr">
        <is>
          <t>Kang et al.</t>
        </is>
      </c>
      <c r="D9" s="5" t="inlineStr">
        <is>
          <t>ICCV</t>
        </is>
      </c>
      <c r="E9" s="5" t="inlineStr">
        <is>
          <t>2019-10</t>
        </is>
      </c>
      <c r="F9" s="5" t="inlineStr">
        <is>
          <t>Published</t>
        </is>
      </c>
      <c r="G9" s="5" t="inlineStr">
        <is>
          <t>N/A</t>
        </is>
      </c>
      <c r="H9" s="5" t="inlineStr">
        <is>
          <t>To verify</t>
        </is>
      </c>
      <c r="I9" s="5" t="inlineStr">
        <is>
          <t>N/A</t>
        </is>
      </c>
      <c r="J9" s="5" t="inlineStr">
        <is>
          <t>60M</t>
        </is>
      </c>
      <c r="K9" s="5" t="inlineStr">
        <is>
          <t>⚠️ FSRW / Meta-YOLO (Kang et al. ICCV19) Table 2 reports only 10-shot=5.6 and 30-shot=9.1 on MS-COCO novel AP. 1-shot and 5-shot not in original paper</t>
        </is>
      </c>
      <c r="L9" s="8" t="inlineStr">
        <is>
          <t>https://arxiv.org/abs/1812.01866</t>
        </is>
      </c>
      <c r="M9" s="8" t="inlineStr">
        <is>
          <t>https://github.com/bingykang/Fewshot_Detection</t>
        </is>
      </c>
    </row>
    <row r="10" ht="48" customHeight="1">
      <c r="A10" s="5" t="inlineStr">
        <is>
          <t>Few-Shot OD</t>
        </is>
      </c>
      <c r="B10" s="5" t="inlineStr">
        <is>
          <t>FM-FSOD (1-shot)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(1-shot)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(1-shot)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(5-shot)</t>
        </is>
      </c>
      <c r="C2" s="5" t="inlineStr">
        <is>
          <t>Zhang et al.</t>
        </is>
      </c>
      <c r="D2" s="5" t="inlineStr">
        <is>
          <t>TPAMI</t>
        </is>
      </c>
      <c r="E2" s="5" t="inlineStr">
        <is>
          <t>2022-08</t>
        </is>
      </c>
      <c r="F2" s="5" t="inlineStr">
        <is>
          <t>Published</t>
        </is>
      </c>
      <c r="G2" s="5" t="n">
        <v>15.4</v>
      </c>
      <c r="H2" s="5" t="inlineStr">
        <is>
          <t>novel AP 15.4 (AP50 25.0, AP75 15.8) MS-COCO 5-shot</t>
        </is>
      </c>
      <c r="I2" s="5" t="inlineStr">
        <is>
          <t>N/A</t>
        </is>
      </c>
      <c r="J2" s="5" t="inlineStr">
        <is>
          <t>41M</t>
        </is>
      </c>
      <c r="K2" s="5" t="inlineStr">
        <is>
          <t>✅ verified (Meta-DETR TPAMI22 Table 3): MS-COCO 5-shot novel AP=15.4</t>
        </is>
      </c>
      <c r="L2" s="8" t="inlineStr">
        <is>
          <t>https://arxiv.org/abs/2208.00219</t>
        </is>
      </c>
      <c r="M2" s="8" t="inlineStr">
        <is>
          <t>https://github.com/ZhangGongjie/Meta-DETR</t>
        </is>
      </c>
    </row>
    <row r="3" ht="48" customHeight="1">
      <c r="A3" s="5" t="inlineStr">
        <is>
          <t>Few-Shot OD</t>
        </is>
      </c>
      <c r="B3" s="5" t="inlineStr">
        <is>
          <t>DeFRCN (5-shot)</t>
        </is>
      </c>
      <c r="C3" s="5" t="inlineStr">
        <is>
          <t>Qiao et al.</t>
        </is>
      </c>
      <c r="D3" s="5" t="inlineStr">
        <is>
          <t>ICCV</t>
        </is>
      </c>
      <c r="E3" s="5" t="inlineStr">
        <is>
          <t>2021-10</t>
        </is>
      </c>
      <c r="F3" s="5" t="inlineStr">
        <is>
          <t>Published</t>
        </is>
      </c>
      <c r="G3" s="5" t="n">
        <v>16.1</v>
      </c>
      <c r="H3" s="5" t="inlineStr">
        <is>
          <t>novel AP 16.1 MS-COCO 5-shot</t>
        </is>
      </c>
      <c r="I3" s="5" t="inlineStr">
        <is>
          <t>N/A</t>
        </is>
      </c>
      <c r="J3" s="5" t="inlineStr">
        <is>
          <t>≈45M</t>
        </is>
      </c>
      <c r="K3" s="5" t="inlineStr">
        <is>
          <t>✅ verified (DeFRCN ICCV21 Table 2 (without w/G)): MS-COCO 5-shot novel AP=16.1</t>
        </is>
      </c>
      <c r="L3" s="8" t="inlineStr">
        <is>
          <t>https://arxiv.org/abs/2108.09017</t>
        </is>
      </c>
      <c r="M3" s="8" t="inlineStr">
        <is>
          <t>https://github.com/er-muyue/DeFRCN</t>
        </is>
      </c>
    </row>
    <row r="4" ht="48" customHeight="1">
      <c r="A4" s="5" t="inlineStr">
        <is>
          <t>Few-Shot OD</t>
        </is>
      </c>
      <c r="B4" s="5" t="inlineStr">
        <is>
          <t>DETReg (5-shot)</t>
        </is>
      </c>
      <c r="C4" s="5" t="inlineStr">
        <is>
          <t>Bar et al.</t>
        </is>
      </c>
      <c r="D4" s="5" t="inlineStr">
        <is>
          <t>CVPR</t>
        </is>
      </c>
      <c r="E4" s="5" t="inlineStr">
        <is>
          <t>2022-06</t>
        </is>
      </c>
      <c r="F4" s="5" t="inlineStr">
        <is>
          <t>Published</t>
        </is>
      </c>
      <c r="G4" s="5" t="inlineStr">
        <is>
          <t>N/A</t>
        </is>
      </c>
      <c r="H4" s="5" t="inlineStr">
        <is>
          <t>AP 11.5</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(5-shot)</t>
        </is>
      </c>
      <c r="C5" s="5" t="inlineStr">
        <is>
          <t>Sun et al.</t>
        </is>
      </c>
      <c r="D5" s="5" t="inlineStr">
        <is>
          <t>CVPR</t>
        </is>
      </c>
      <c r="E5" s="5" t="inlineStr">
        <is>
          <t>2021-06</t>
        </is>
      </c>
      <c r="F5" s="5" t="inlineStr">
        <is>
          <t>Published</t>
        </is>
      </c>
      <c r="G5" s="5" t="inlineStr">
        <is>
          <t>N/A</t>
        </is>
      </c>
      <c r="H5" s="5" t="inlineStr">
        <is>
          <t>AP 11.1</t>
        </is>
      </c>
      <c r="I5" s="5" t="inlineStr">
        <is>
          <t>N/A</t>
        </is>
      </c>
      <c r="J5" s="5" t="inlineStr">
        <is>
          <t>≈42M</t>
        </is>
      </c>
      <c r="K5" s="5" t="inlineStr">
        <is>
          <t>⚠️ FSCE (Sun et al. CVPR21) Table 1 reports only 10-shot=11.1 and 30-shot=15.3 on MS-COCO novel AP. 1-shot and 5-shot not in original FSCE paper</t>
        </is>
      </c>
      <c r="L5" s="8" t="inlineStr">
        <is>
          <t>https://arxiv.org/abs/2103.05950</t>
        </is>
      </c>
      <c r="M5" s="8" t="inlineStr">
        <is>
          <t>https://github.com/megvii-research/FSCE</t>
        </is>
      </c>
    </row>
    <row r="6" ht="48" customHeight="1">
      <c r="A6" s="5" t="inlineStr">
        <is>
          <t>Few-Shot OD</t>
        </is>
      </c>
      <c r="B6" s="5" t="inlineStr">
        <is>
          <t>MPSR (5-shot)</t>
        </is>
      </c>
      <c r="C6" s="5" t="inlineStr">
        <is>
          <t>Wu et al.</t>
        </is>
      </c>
      <c r="D6" s="5" t="inlineStr">
        <is>
          <t>ECCV</t>
        </is>
      </c>
      <c r="E6" s="5" t="inlineStr">
        <is>
          <t>2020-08</t>
        </is>
      </c>
      <c r="F6" s="5" t="inlineStr">
        <is>
          <t>Published</t>
        </is>
      </c>
      <c r="G6" s="5" t="n">
        <v>8.699999999999999</v>
      </c>
      <c r="H6" s="5" t="inlineStr">
        <is>
          <t>novel AP 8.7 MS-COCO 5-shot (reproduced)</t>
        </is>
      </c>
      <c r="I6" s="5" t="inlineStr">
        <is>
          <t>N/A</t>
        </is>
      </c>
      <c r="J6" s="5" t="inlineStr">
        <is>
          <t>42M</t>
        </is>
      </c>
      <c r="K6" s="5" t="inlineStr">
        <is>
          <t>✅ verified (DeFRCN ICCV21 Table 2 (MPSR reproduced)): MS-COCO 5-shot novel AP=8.7</t>
        </is>
      </c>
      <c r="L6" s="8" t="inlineStr">
        <is>
          <t>https://arxiv.org/abs/2007.09384</t>
        </is>
      </c>
      <c r="M6" s="8" t="inlineStr">
        <is>
          <t>https://github.com/jiaxi-wu/MPSR</t>
        </is>
      </c>
    </row>
    <row r="7" ht="48" customHeight="1">
      <c r="A7" s="5" t="inlineStr">
        <is>
          <t>Few-Shot OD</t>
        </is>
      </c>
      <c r="B7" s="5" t="inlineStr">
        <is>
          <t>TFA w/cos (5-shot)</t>
        </is>
      </c>
      <c r="C7" s="5" t="inlineStr">
        <is>
          <t>Wang et al.</t>
        </is>
      </c>
      <c r="D7" s="5" t="inlineStr">
        <is>
          <t>ICML</t>
        </is>
      </c>
      <c r="E7" s="5" t="inlineStr">
        <is>
          <t>2020-07</t>
        </is>
      </c>
      <c r="F7" s="5" t="inlineStr">
        <is>
          <t>Published</t>
        </is>
      </c>
      <c r="G7" s="5" t="n">
        <v>7.7</v>
      </c>
      <c r="H7" s="5" t="inlineStr">
        <is>
          <t>novel AP 7.7 MS-COCO 5-shot (reproduced)</t>
        </is>
      </c>
      <c r="I7" s="5" t="inlineStr">
        <is>
          <t>N/A</t>
        </is>
      </c>
      <c r="J7" s="5" t="inlineStr">
        <is>
          <t>42M</t>
        </is>
      </c>
      <c r="K7" s="5" t="inlineStr">
        <is>
          <t>✅ verified (DeFRCN ICCV21 Table 2 (TFA reproduced)): MS-COCO 5-shot novel AP=7.7</t>
        </is>
      </c>
      <c r="L7" s="8" t="inlineStr">
        <is>
          <t>https://arxiv.org/abs/2003.06957</t>
        </is>
      </c>
      <c r="M7" s="8" t="inlineStr">
        <is>
          <t>https://github.com/ucbdrive/few-shot-object-detection</t>
        </is>
      </c>
    </row>
    <row r="8" ht="48" customHeight="1">
      <c r="A8" s="5" t="inlineStr">
        <is>
          <t>Few-Shot OD</t>
        </is>
      </c>
      <c r="B8" s="5" t="inlineStr">
        <is>
          <t>Meta R-CNN (5-shot)</t>
        </is>
      </c>
      <c r="C8" s="5" t="inlineStr">
        <is>
          <t>Yan et al.</t>
        </is>
      </c>
      <c r="D8" s="5" t="inlineStr">
        <is>
          <t>ICCV</t>
        </is>
      </c>
      <c r="E8" s="5" t="inlineStr">
        <is>
          <t>2019-10</t>
        </is>
      </c>
      <c r="F8" s="5" t="inlineStr">
        <is>
          <t>Published</t>
        </is>
      </c>
      <c r="G8" s="5" t="inlineStr">
        <is>
          <t>N/A</t>
        </is>
      </c>
      <c r="H8" s="5" t="inlineStr">
        <is>
          <t>AP 6.6</t>
        </is>
      </c>
      <c r="I8" s="5" t="inlineStr">
        <is>
          <t>N/A</t>
        </is>
      </c>
      <c r="J8" s="5" t="inlineStr">
        <is>
          <t>42M</t>
        </is>
      </c>
      <c r="K8" s="5" t="inlineStr">
        <is>
          <t>⚠️ Meta R-CNN (Yan et al. ICCV19) Table 4 reports only 10-shot=8.7 and 30-shot=12.4 on MS-COCO novel AP. 1-shot and 5-shot not in original paper</t>
        </is>
      </c>
      <c r="L8" s="8" t="inlineStr">
        <is>
          <t>https://arxiv.org/abs/1909.13032</t>
        </is>
      </c>
      <c r="M8" s="8" t="inlineStr">
        <is>
          <t>https://github.com/yanxp/MetaR-CNN</t>
        </is>
      </c>
    </row>
    <row r="9" ht="48" customHeight="1">
      <c r="A9" s="5" t="inlineStr">
        <is>
          <t>Few-Shot OD</t>
        </is>
      </c>
      <c r="B9" s="5" t="inlineStr">
        <is>
          <t>FSRW (5-shot)</t>
        </is>
      </c>
      <c r="C9" s="5" t="inlineStr">
        <is>
          <t>Kang et al.</t>
        </is>
      </c>
      <c r="D9" s="5" t="inlineStr">
        <is>
          <t>ICCV</t>
        </is>
      </c>
      <c r="E9" s="5" t="inlineStr">
        <is>
          <t>2019-10</t>
        </is>
      </c>
      <c r="F9" s="5" t="inlineStr">
        <is>
          <t>Published</t>
        </is>
      </c>
      <c r="G9" s="5" t="inlineStr">
        <is>
          <t>N/A</t>
        </is>
      </c>
      <c r="H9" s="5" t="inlineStr">
        <is>
          <t>To verify</t>
        </is>
      </c>
      <c r="I9" s="5" t="inlineStr">
        <is>
          <t>N/A</t>
        </is>
      </c>
      <c r="J9" s="5" t="inlineStr">
        <is>
          <t>60M</t>
        </is>
      </c>
      <c r="K9" s="5" t="inlineStr">
        <is>
          <t>⚠️ FSRW / Meta-YOLO (Kang et al. ICCV19) Table 2 reports only 10-shot=5.6 and 30-shot=9.1 on MS-COCO novel AP. 1-shot and 5-shot not in original paper</t>
        </is>
      </c>
      <c r="L9" s="8" t="inlineStr">
        <is>
          <t>https://arxiv.org/abs/1812.01866</t>
        </is>
      </c>
      <c r="M9" s="8" t="inlineStr">
        <is>
          <t>https://github.com/bingykang/Fewshot_Detection</t>
        </is>
      </c>
    </row>
    <row r="10" ht="48" customHeight="1">
      <c r="A10" s="5" t="inlineStr">
        <is>
          <t>Few-Shot OD</t>
        </is>
      </c>
      <c r="B10" s="5" t="inlineStr">
        <is>
          <t>FM-FSOD (5-shot)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(5-shot)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(5-shot)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(10-shot)</t>
        </is>
      </c>
      <c r="C2" s="5" t="inlineStr">
        <is>
          <t>Zhang et al.</t>
        </is>
      </c>
      <c r="D2" s="5" t="inlineStr">
        <is>
          <t>TPAMI</t>
        </is>
      </c>
      <c r="E2" s="5" t="inlineStr">
        <is>
          <t>2022-08</t>
        </is>
      </c>
      <c r="F2" s="5" t="inlineStr">
        <is>
          <t>Published</t>
        </is>
      </c>
      <c r="G2" s="5" t="n">
        <v>19</v>
      </c>
      <c r="H2" s="5" t="inlineStr">
        <is>
          <t>novel AP 19.0 (AP50 30.5, AP75 19.7) MS-COCO 10-shot</t>
        </is>
      </c>
      <c r="I2" s="5" t="inlineStr">
        <is>
          <t>N/A</t>
        </is>
      </c>
      <c r="J2" s="5" t="inlineStr">
        <is>
          <t>41M</t>
        </is>
      </c>
      <c r="K2" s="5" t="inlineStr">
        <is>
          <t>✅ verified (Meta-DETR TPAMI22 Table 3): MS-COCO 10-shot novel AP=19.0</t>
        </is>
      </c>
      <c r="L2" s="8" t="inlineStr">
        <is>
          <t>https://arxiv.org/abs/2208.00219</t>
        </is>
      </c>
      <c r="M2" s="8" t="inlineStr">
        <is>
          <t>https://github.com/ZhangGongjie/Meta-DETR</t>
        </is>
      </c>
    </row>
    <row r="3" ht="48" customHeight="1">
      <c r="A3" s="5" t="inlineStr">
        <is>
          <t>Few-Shot OD</t>
        </is>
      </c>
      <c r="B3" s="5" t="inlineStr">
        <is>
          <t>DeFRCN (10-shot)</t>
        </is>
      </c>
      <c r="C3" s="5" t="inlineStr">
        <is>
          <t>Qiao et al.</t>
        </is>
      </c>
      <c r="D3" s="5" t="inlineStr">
        <is>
          <t>ICCV</t>
        </is>
      </c>
      <c r="E3" s="5" t="inlineStr">
        <is>
          <t>2021-10</t>
        </is>
      </c>
      <c r="F3" s="5" t="inlineStr">
        <is>
          <t>Published</t>
        </is>
      </c>
      <c r="G3" s="5" t="n">
        <v>18.5</v>
      </c>
      <c r="H3" s="5" t="inlineStr">
        <is>
          <t>novel AP 18.5 MS-COCO 10-shot</t>
        </is>
      </c>
      <c r="I3" s="5" t="inlineStr">
        <is>
          <t>N/A</t>
        </is>
      </c>
      <c r="J3" s="5" t="inlineStr">
        <is>
          <t>≈45M</t>
        </is>
      </c>
      <c r="K3" s="5" t="inlineStr">
        <is>
          <t>✅ verified (DeFRCN ICCV21 Table 2 (without w/G)): MS-COCO 10-shot novel AP=18.5</t>
        </is>
      </c>
      <c r="L3" s="8" t="inlineStr">
        <is>
          <t>https://arxiv.org/abs/2108.09017</t>
        </is>
      </c>
      <c r="M3" s="8" t="inlineStr">
        <is>
          <t>https://github.com/er-muyue/DeFRCN</t>
        </is>
      </c>
    </row>
    <row r="4" ht="48" customHeight="1">
      <c r="A4" s="5" t="inlineStr">
        <is>
          <t>Few-Shot OD</t>
        </is>
      </c>
      <c r="B4" s="5" t="inlineStr">
        <is>
          <t>DETReg (10-shot)</t>
        </is>
      </c>
      <c r="C4" s="5" t="inlineStr">
        <is>
          <t>Bar et al.</t>
        </is>
      </c>
      <c r="D4" s="5" t="inlineStr">
        <is>
          <t>CVPR</t>
        </is>
      </c>
      <c r="E4" s="5" t="inlineStr">
        <is>
          <t>2022-06</t>
        </is>
      </c>
      <c r="F4" s="5" t="inlineStr">
        <is>
          <t>Published</t>
        </is>
      </c>
      <c r="G4" s="5" t="inlineStr">
        <is>
          <t>N/A</t>
        </is>
      </c>
      <c r="H4" s="5" t="inlineStr">
        <is>
          <t>AP 18.0</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(10-shot)</t>
        </is>
      </c>
      <c r="C5" s="5" t="inlineStr">
        <is>
          <t>Sun et al.</t>
        </is>
      </c>
      <c r="D5" s="5" t="inlineStr">
        <is>
          <t>CVPR</t>
        </is>
      </c>
      <c r="E5" s="5" t="inlineStr">
        <is>
          <t>2021-06</t>
        </is>
      </c>
      <c r="F5" s="5" t="inlineStr">
        <is>
          <t>Published</t>
        </is>
      </c>
      <c r="G5" s="5" t="n">
        <v>11.1</v>
      </c>
      <c r="H5" s="5" t="inlineStr">
        <is>
          <t>novel AP 11.1 MS-COCO 10-shot</t>
        </is>
      </c>
      <c r="I5" s="5" t="inlineStr">
        <is>
          <t>N/A</t>
        </is>
      </c>
      <c r="J5" s="5" t="inlineStr">
        <is>
          <t>≈42M</t>
        </is>
      </c>
      <c r="K5" s="5" t="inlineStr">
        <is>
          <t>✅ verified (FSCE CVPR21 / Meta-DETR Table 3): MS-COCO 10-shot novel AP=11.1</t>
        </is>
      </c>
      <c r="L5" s="8" t="inlineStr">
        <is>
          <t>https://arxiv.org/abs/2103.05950</t>
        </is>
      </c>
      <c r="M5" s="8" t="inlineStr">
        <is>
          <t>https://github.com/megvii-research/FSCE</t>
        </is>
      </c>
    </row>
    <row r="6" ht="48" customHeight="1">
      <c r="A6" s="5" t="inlineStr">
        <is>
          <t>Few-Shot OD</t>
        </is>
      </c>
      <c r="B6" s="5" t="inlineStr">
        <is>
          <t>TFA w/cos (10-shot)</t>
        </is>
      </c>
      <c r="C6" s="5" t="inlineStr">
        <is>
          <t>Wang et al.</t>
        </is>
      </c>
      <c r="D6" s="5" t="inlineStr">
        <is>
          <t>ICML</t>
        </is>
      </c>
      <c r="E6" s="5" t="inlineStr">
        <is>
          <t>2020-07</t>
        </is>
      </c>
      <c r="F6" s="5" t="inlineStr">
        <is>
          <t>Published</t>
        </is>
      </c>
      <c r="G6" s="5" t="n">
        <v>10</v>
      </c>
      <c r="H6" s="5" t="inlineStr">
        <is>
          <t>novel AP 10.0 MS-COCO 10-shot</t>
        </is>
      </c>
      <c r="I6" s="5" t="inlineStr">
        <is>
          <t>N/A</t>
        </is>
      </c>
      <c r="J6" s="5" t="inlineStr">
        <is>
          <t>42M</t>
        </is>
      </c>
      <c r="K6" s="5" t="inlineStr">
        <is>
          <t>✅ verified (TFA ICML20 / Meta-DETR Table 3): MS-COCO 10-shot novel AP=10.0</t>
        </is>
      </c>
      <c r="L6" s="8" t="inlineStr">
        <is>
          <t>https://arxiv.org/abs/2003.06957</t>
        </is>
      </c>
      <c r="M6" s="8" t="inlineStr">
        <is>
          <t>https://github.com/ucbdrive/few-shot-object-detection</t>
        </is>
      </c>
    </row>
    <row r="7" ht="48" customHeight="1">
      <c r="A7" s="5" t="inlineStr">
        <is>
          <t>Few-Shot OD</t>
        </is>
      </c>
      <c r="B7" s="5" t="inlineStr">
        <is>
          <t>MPSR (10-shot)</t>
        </is>
      </c>
      <c r="C7" s="5" t="inlineStr">
        <is>
          <t>Wu et al.</t>
        </is>
      </c>
      <c r="D7" s="5" t="inlineStr">
        <is>
          <t>ECCV</t>
        </is>
      </c>
      <c r="E7" s="5" t="inlineStr">
        <is>
          <t>2020-08</t>
        </is>
      </c>
      <c r="F7" s="5" t="inlineStr">
        <is>
          <t>Published</t>
        </is>
      </c>
      <c r="G7" s="5" t="n">
        <v>9.800000000000001</v>
      </c>
      <c r="H7" s="5" t="inlineStr">
        <is>
          <t>novel AP 9.8 MS-COCO 10-shot</t>
        </is>
      </c>
      <c r="I7" s="5" t="inlineStr">
        <is>
          <t>N/A</t>
        </is>
      </c>
      <c r="J7" s="5" t="inlineStr">
        <is>
          <t>42M</t>
        </is>
      </c>
      <c r="K7" s="5" t="inlineStr">
        <is>
          <t>✅ verified (MPSR ECCV20 / Meta-DETR Table 3): MS-COCO 10-shot novel AP=9.8</t>
        </is>
      </c>
      <c r="L7" s="8" t="inlineStr">
        <is>
          <t>https://arxiv.org/abs/2007.09384</t>
        </is>
      </c>
      <c r="M7" s="8" t="inlineStr">
        <is>
          <t>https://github.com/jiaxi-wu/MPSR</t>
        </is>
      </c>
    </row>
    <row r="8" ht="48" customHeight="1">
      <c r="A8" s="5" t="inlineStr">
        <is>
          <t>Few-Shot OD</t>
        </is>
      </c>
      <c r="B8" s="5" t="inlineStr">
        <is>
          <t>Meta R-CNN (10-shot)</t>
        </is>
      </c>
      <c r="C8" s="5" t="inlineStr">
        <is>
          <t>Yan et al.</t>
        </is>
      </c>
      <c r="D8" s="5" t="inlineStr">
        <is>
          <t>ICCV</t>
        </is>
      </c>
      <c r="E8" s="5" t="inlineStr">
        <is>
          <t>2019-10</t>
        </is>
      </c>
      <c r="F8" s="5" t="inlineStr">
        <is>
          <t>Published</t>
        </is>
      </c>
      <c r="G8" s="5" t="n">
        <v>8.699999999999999</v>
      </c>
      <c r="H8" s="5" t="inlineStr">
        <is>
          <t>novel AP 8.7 MS-COCO 10-shot</t>
        </is>
      </c>
      <c r="I8" s="5" t="inlineStr">
        <is>
          <t>N/A</t>
        </is>
      </c>
      <c r="J8" s="5" t="inlineStr">
        <is>
          <t>42M</t>
        </is>
      </c>
      <c r="K8" s="5" t="inlineStr">
        <is>
          <t>✅ verified (Meta R-CNN ICCV19 / Meta-DETR Table 3): MS-COCO 10-shot novel AP=8.7</t>
        </is>
      </c>
      <c r="L8" s="8" t="inlineStr">
        <is>
          <t>https://arxiv.org/abs/1909.13032</t>
        </is>
      </c>
      <c r="M8" s="8" t="inlineStr">
        <is>
          <t>https://github.com/yanxp/MetaR-CNN</t>
        </is>
      </c>
    </row>
    <row r="9" ht="48" customHeight="1">
      <c r="A9" s="5" t="inlineStr">
        <is>
          <t>Few-Shot OD</t>
        </is>
      </c>
      <c r="B9" s="5" t="inlineStr">
        <is>
          <t>FSRW (10-shot)</t>
        </is>
      </c>
      <c r="C9" s="5" t="inlineStr">
        <is>
          <t>Kang et al.</t>
        </is>
      </c>
      <c r="D9" s="5" t="inlineStr">
        <is>
          <t>ICCV</t>
        </is>
      </c>
      <c r="E9" s="5" t="inlineStr">
        <is>
          <t>2019-10</t>
        </is>
      </c>
      <c r="F9" s="5" t="inlineStr">
        <is>
          <t>Published</t>
        </is>
      </c>
      <c r="G9" s="5" t="n">
        <v>5.6</v>
      </c>
      <c r="H9" s="5" t="inlineStr">
        <is>
          <t>novel AP 5.6 MS-COCO 10-shot (Meta-YOLO)</t>
        </is>
      </c>
      <c r="I9" s="5" t="inlineStr">
        <is>
          <t>N/A</t>
        </is>
      </c>
      <c r="J9" s="5" t="inlineStr">
        <is>
          <t>60M</t>
        </is>
      </c>
      <c r="K9" s="5" t="inlineStr">
        <is>
          <t>✅ verified (FSRW ICCV19 / Meta-DETR Table 3): MS-COCO 10-shot novel AP=5.6</t>
        </is>
      </c>
      <c r="L9" s="8" t="inlineStr">
        <is>
          <t>https://arxiv.org/abs/1812.01866</t>
        </is>
      </c>
      <c r="M9" s="8" t="inlineStr">
        <is>
          <t>https://github.com/bingykang/Fewshot_Detection</t>
        </is>
      </c>
    </row>
    <row r="10" ht="48" customHeight="1">
      <c r="A10" s="5" t="inlineStr">
        <is>
          <t>Few-Shot OD</t>
        </is>
      </c>
      <c r="B10" s="5" t="inlineStr">
        <is>
          <t>FM-FSOD (10-shot)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(10-shot)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(10-shot)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DeFRCN (30-shot)</t>
        </is>
      </c>
      <c r="C2" s="5" t="inlineStr">
        <is>
          <t>Qiao et al.</t>
        </is>
      </c>
      <c r="D2" s="5" t="inlineStr">
        <is>
          <t>ICCV</t>
        </is>
      </c>
      <c r="E2" s="5" t="inlineStr">
        <is>
          <t>2021-10</t>
        </is>
      </c>
      <c r="F2" s="5" t="inlineStr">
        <is>
          <t>Published</t>
        </is>
      </c>
      <c r="G2" s="5" t="n">
        <v>22.6</v>
      </c>
      <c r="H2" s="5" t="inlineStr">
        <is>
          <t>novel AP 22.6 MS-COCO 30-shot</t>
        </is>
      </c>
      <c r="I2" s="5" t="inlineStr">
        <is>
          <t>N/A</t>
        </is>
      </c>
      <c r="J2" s="5" t="inlineStr">
        <is>
          <t>≈45M</t>
        </is>
      </c>
      <c r="K2" s="5" t="inlineStr">
        <is>
          <t>✅ verified (DeFRCN ICCV21 Table 2 (without w/G)): MS-COCO 30-shot novel AP=22.6</t>
        </is>
      </c>
      <c r="L2" s="8" t="inlineStr">
        <is>
          <t>https://arxiv.org/abs/2108.09017</t>
        </is>
      </c>
      <c r="M2" s="8" t="inlineStr">
        <is>
          <t>https://github.com/er-muyue/DeFRCN</t>
        </is>
      </c>
    </row>
    <row r="3" ht="48" customHeight="1">
      <c r="A3" s="5" t="inlineStr">
        <is>
          <t>Few-Shot OD</t>
        </is>
      </c>
      <c r="B3" s="5" t="inlineStr">
        <is>
          <t>Meta-DETR (30-shot)</t>
        </is>
      </c>
      <c r="C3" s="5" t="inlineStr">
        <is>
          <t>Zhang et al.</t>
        </is>
      </c>
      <c r="D3" s="5" t="inlineStr">
        <is>
          <t>TPAMI</t>
        </is>
      </c>
      <c r="E3" s="5" t="inlineStr">
        <is>
          <t>2022-08</t>
        </is>
      </c>
      <c r="F3" s="5" t="inlineStr">
        <is>
          <t>Published</t>
        </is>
      </c>
      <c r="G3" s="5" t="n">
        <v>22.2</v>
      </c>
      <c r="H3" s="5" t="inlineStr">
        <is>
          <t>novel AP 22.2 (AP50 35.0, AP75 22.8) MS-COCO 30-shot</t>
        </is>
      </c>
      <c r="I3" s="5" t="inlineStr">
        <is>
          <t>N/A</t>
        </is>
      </c>
      <c r="J3" s="5" t="inlineStr">
        <is>
          <t>41M</t>
        </is>
      </c>
      <c r="K3" s="5" t="inlineStr">
        <is>
          <t>✅ verified (Meta-DETR TPAMI22 Table 3): MS-COCO 30-shot novel AP=22.2</t>
        </is>
      </c>
      <c r="L3" s="8" t="inlineStr">
        <is>
          <t>https://arxiv.org/abs/2208.00219</t>
        </is>
      </c>
      <c r="M3" s="8" t="inlineStr">
        <is>
          <t>https://github.com/ZhangGongjie/Meta-DETR</t>
        </is>
      </c>
    </row>
    <row r="4" ht="48" customHeight="1">
      <c r="A4" s="5" t="inlineStr">
        <is>
          <t>Few-Shot OD</t>
        </is>
      </c>
      <c r="B4" s="5" t="inlineStr">
        <is>
          <t>DETReg (30-shot)</t>
        </is>
      </c>
      <c r="C4" s="5" t="inlineStr">
        <is>
          <t>Bar et al.</t>
        </is>
      </c>
      <c r="D4" s="5" t="inlineStr">
        <is>
          <t>CVPR</t>
        </is>
      </c>
      <c r="E4" s="5" t="inlineStr">
        <is>
          <t>2022-06</t>
        </is>
      </c>
      <c r="F4" s="5" t="inlineStr">
        <is>
          <t>Published</t>
        </is>
      </c>
      <c r="G4" s="5" t="inlineStr">
        <is>
          <t>N/A</t>
        </is>
      </c>
      <c r="H4" s="5" t="inlineStr">
        <is>
          <t>AP 21.5</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(30-shot)</t>
        </is>
      </c>
      <c r="C5" s="5" t="inlineStr">
        <is>
          <t>Sun et al.</t>
        </is>
      </c>
      <c r="D5" s="5" t="inlineStr">
        <is>
          <t>CVPR</t>
        </is>
      </c>
      <c r="E5" s="5" t="inlineStr">
        <is>
          <t>2021-06</t>
        </is>
      </c>
      <c r="F5" s="5" t="inlineStr">
        <is>
          <t>Published</t>
        </is>
      </c>
      <c r="G5" s="5" t="n">
        <v>15.3</v>
      </c>
      <c r="H5" s="5" t="inlineStr">
        <is>
          <t>novel AP 15.3 MS-COCO 30-shot</t>
        </is>
      </c>
      <c r="I5" s="5" t="inlineStr">
        <is>
          <t>N/A</t>
        </is>
      </c>
      <c r="J5" s="5" t="inlineStr">
        <is>
          <t>≈42M</t>
        </is>
      </c>
      <c r="K5" s="5" t="inlineStr">
        <is>
          <t>✅ verified (FSCE CVPR21 / Meta-DETR Table 3): MS-COCO 30-shot novel AP=15.3</t>
        </is>
      </c>
      <c r="L5" s="8" t="inlineStr">
        <is>
          <t>https://arxiv.org/abs/2103.05950</t>
        </is>
      </c>
      <c r="M5" s="8" t="inlineStr">
        <is>
          <t>https://github.com/megvii-research/FSCE</t>
        </is>
      </c>
    </row>
    <row r="6" ht="48" customHeight="1">
      <c r="A6" s="5" t="inlineStr">
        <is>
          <t>Few-Shot OD</t>
        </is>
      </c>
      <c r="B6" s="5" t="inlineStr">
        <is>
          <t>MPSR (30-shot)</t>
        </is>
      </c>
      <c r="C6" s="5" t="inlineStr">
        <is>
          <t>Wu et al.</t>
        </is>
      </c>
      <c r="D6" s="5" t="inlineStr">
        <is>
          <t>ECCV</t>
        </is>
      </c>
      <c r="E6" s="5" t="inlineStr">
        <is>
          <t>2020-08</t>
        </is>
      </c>
      <c r="F6" s="5" t="inlineStr">
        <is>
          <t>Published</t>
        </is>
      </c>
      <c r="G6" s="5" t="n">
        <v>14.1</v>
      </c>
      <c r="H6" s="5" t="inlineStr">
        <is>
          <t>novel AP 14.1 MS-COCO 30-shot</t>
        </is>
      </c>
      <c r="I6" s="5" t="inlineStr">
        <is>
          <t>N/A</t>
        </is>
      </c>
      <c r="J6" s="5" t="inlineStr">
        <is>
          <t>42M</t>
        </is>
      </c>
      <c r="K6" s="5" t="inlineStr">
        <is>
          <t>✅ verified (MPSR ECCV20 / Meta-DETR Table 3): MS-COCO 30-shot novel AP=14.1</t>
        </is>
      </c>
      <c r="L6" s="8" t="inlineStr">
        <is>
          <t>https://arxiv.org/abs/2007.09384</t>
        </is>
      </c>
      <c r="M6" s="8" t="inlineStr">
        <is>
          <t>https://github.com/jiaxi-wu/MPSR</t>
        </is>
      </c>
    </row>
    <row r="7" ht="48" customHeight="1">
      <c r="A7" s="5" t="inlineStr">
        <is>
          <t>Few-Shot OD</t>
        </is>
      </c>
      <c r="B7" s="5" t="inlineStr">
        <is>
          <t>TFA w/cos (30-shot)</t>
        </is>
      </c>
      <c r="C7" s="5" t="inlineStr">
        <is>
          <t>Wang et al.</t>
        </is>
      </c>
      <c r="D7" s="5" t="inlineStr">
        <is>
          <t>ICML</t>
        </is>
      </c>
      <c r="E7" s="5" t="inlineStr">
        <is>
          <t>2020-07</t>
        </is>
      </c>
      <c r="F7" s="5" t="inlineStr">
        <is>
          <t>Published</t>
        </is>
      </c>
      <c r="G7" s="5" t="n">
        <v>13.7</v>
      </c>
      <c r="H7" s="5" t="inlineStr">
        <is>
          <t>novel AP 13.7 MS-COCO 30-shot</t>
        </is>
      </c>
      <c r="I7" s="5" t="inlineStr">
        <is>
          <t>N/A</t>
        </is>
      </c>
      <c r="J7" s="5" t="inlineStr">
        <is>
          <t>42M</t>
        </is>
      </c>
      <c r="K7" s="5" t="inlineStr">
        <is>
          <t>✅ verified (TFA ICML20 / Meta-DETR Table 3): MS-COCO 30-shot novel AP=13.7</t>
        </is>
      </c>
      <c r="L7" s="8" t="inlineStr">
        <is>
          <t>https://arxiv.org/abs/2003.06957</t>
        </is>
      </c>
      <c r="M7" s="8" t="inlineStr">
        <is>
          <t>https://github.com/ucbdrive/few-shot-object-detection</t>
        </is>
      </c>
    </row>
    <row r="8" ht="48" customHeight="1">
      <c r="A8" s="5" t="inlineStr">
        <is>
          <t>Few-Shot OD</t>
        </is>
      </c>
      <c r="B8" s="5" t="inlineStr">
        <is>
          <t>Meta R-CNN (30-shot)</t>
        </is>
      </c>
      <c r="C8" s="5" t="inlineStr">
        <is>
          <t>Yan et al.</t>
        </is>
      </c>
      <c r="D8" s="5" t="inlineStr">
        <is>
          <t>ICCV</t>
        </is>
      </c>
      <c r="E8" s="5" t="inlineStr">
        <is>
          <t>2019-10</t>
        </is>
      </c>
      <c r="F8" s="5" t="inlineStr">
        <is>
          <t>Published</t>
        </is>
      </c>
      <c r="G8" s="5" t="n">
        <v>12.4</v>
      </c>
      <c r="H8" s="5" t="inlineStr">
        <is>
          <t>novel AP 12.4 MS-COCO 30-shot</t>
        </is>
      </c>
      <c r="I8" s="5" t="inlineStr">
        <is>
          <t>N/A</t>
        </is>
      </c>
      <c r="J8" s="5" t="inlineStr">
        <is>
          <t>42M</t>
        </is>
      </c>
      <c r="K8" s="5" t="inlineStr">
        <is>
          <t>✅ verified (Meta R-CNN ICCV19 / Meta-DETR Table 3): MS-COCO 30-shot novel AP=12.4</t>
        </is>
      </c>
      <c r="L8" s="8" t="inlineStr">
        <is>
          <t>https://arxiv.org/abs/1909.13032</t>
        </is>
      </c>
      <c r="M8" s="8" t="inlineStr">
        <is>
          <t>https://github.com/yanxp/MetaR-CNN</t>
        </is>
      </c>
    </row>
    <row r="9" ht="48" customHeight="1">
      <c r="A9" s="5" t="inlineStr">
        <is>
          <t>Few-Shot OD</t>
        </is>
      </c>
      <c r="B9" s="5" t="inlineStr">
        <is>
          <t>FSRW (30-shot)</t>
        </is>
      </c>
      <c r="C9" s="5" t="inlineStr">
        <is>
          <t>Kang et al.</t>
        </is>
      </c>
      <c r="D9" s="5" t="inlineStr">
        <is>
          <t>ICCV</t>
        </is>
      </c>
      <c r="E9" s="5" t="inlineStr">
        <is>
          <t>2019-10</t>
        </is>
      </c>
      <c r="F9" s="5" t="inlineStr">
        <is>
          <t>Published</t>
        </is>
      </c>
      <c r="G9" s="5" t="n">
        <v>9.1</v>
      </c>
      <c r="H9" s="5" t="inlineStr">
        <is>
          <t>novel AP 9.1 MS-COCO 30-shot (Meta-YOLO)</t>
        </is>
      </c>
      <c r="I9" s="5" t="inlineStr">
        <is>
          <t>N/A</t>
        </is>
      </c>
      <c r="J9" s="5" t="inlineStr">
        <is>
          <t>60M</t>
        </is>
      </c>
      <c r="K9" s="5" t="inlineStr">
        <is>
          <t>✅ verified (FSRW ICCV19 / Meta-DETR Table 3): MS-COCO 30-shot novel AP=9.1</t>
        </is>
      </c>
      <c r="L9" s="8" t="inlineStr">
        <is>
          <t>https://arxiv.org/abs/1812.01866</t>
        </is>
      </c>
      <c r="M9" s="8" t="inlineStr">
        <is>
          <t>https://github.com/bingykang/Fewshot_Detection</t>
        </is>
      </c>
    </row>
    <row r="10" ht="48" customHeight="1">
      <c r="A10" s="5" t="inlineStr">
        <is>
          <t>Few-Shot OD</t>
        </is>
      </c>
      <c r="B10" s="5" t="inlineStr">
        <is>
          <t>FM-FSOD (30-shot)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(30-shot)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(30-shot)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(10-shot)</t>
        </is>
      </c>
      <c r="C2" s="5" t="inlineStr">
        <is>
          <t>Zhang et al.</t>
        </is>
      </c>
      <c r="D2" s="5" t="inlineStr">
        <is>
          <t>TPAMI</t>
        </is>
      </c>
      <c r="E2" s="5" t="inlineStr">
        <is>
          <t>2022-08</t>
        </is>
      </c>
      <c r="F2" s="5" t="inlineStr">
        <is>
          <t>Published</t>
        </is>
      </c>
      <c r="G2" s="5" t="n">
        <v>19</v>
      </c>
      <c r="H2" s="5" t="inlineStr">
        <is>
          <t>novel AP 19.0 MS-COCO 10-shot (general FSOD protocol)</t>
        </is>
      </c>
      <c r="I2" s="5" t="inlineStr">
        <is>
          <t>N/A</t>
        </is>
      </c>
      <c r="J2" s="5" t="inlineStr">
        <is>
          <t>41M</t>
        </is>
      </c>
      <c r="K2" s="5" t="inlineStr">
        <is>
          <t>✅ verified (Meta-DETR TPAMI22 Table 3): COCO 2017 FSOD novel AP=19.0</t>
        </is>
      </c>
      <c r="L2" s="8" t="inlineStr">
        <is>
          <t>https://arxiv.org/abs/2208.00219</t>
        </is>
      </c>
      <c r="M2" s="8" t="inlineStr">
        <is>
          <t>https://github.com/ZhangGongjie/Meta-DETR</t>
        </is>
      </c>
    </row>
    <row r="3" ht="48" customHeight="1">
      <c r="A3" s="5" t="inlineStr">
        <is>
          <t>Few-Shot OD</t>
        </is>
      </c>
      <c r="B3" s="5" t="inlineStr">
        <is>
          <t>DeFRCN (10-shot)</t>
        </is>
      </c>
      <c r="C3" s="5" t="inlineStr">
        <is>
          <t>Qiao et al.</t>
        </is>
      </c>
      <c r="D3" s="5" t="inlineStr">
        <is>
          <t>ICCV</t>
        </is>
      </c>
      <c r="E3" s="5" t="inlineStr">
        <is>
          <t>2021-10</t>
        </is>
      </c>
      <c r="F3" s="5" t="inlineStr">
        <is>
          <t>Published</t>
        </is>
      </c>
      <c r="G3" s="5" t="n">
        <v>18.5</v>
      </c>
      <c r="H3" s="5" t="inlineStr">
        <is>
          <t>novel AP 18.5 MS-COCO 10-shot</t>
        </is>
      </c>
      <c r="I3" s="5" t="inlineStr">
        <is>
          <t>N/A</t>
        </is>
      </c>
      <c r="J3" s="5" t="inlineStr">
        <is>
          <t>≈45M</t>
        </is>
      </c>
      <c r="K3" s="5" t="inlineStr">
        <is>
          <t>✅ verified (DeFRCN ICCV21 Table 2): COCO 2017 FSOD novel AP=18.5</t>
        </is>
      </c>
      <c r="L3" s="8" t="inlineStr">
        <is>
          <t>https://arxiv.org/abs/2108.09017</t>
        </is>
      </c>
      <c r="M3" s="8" t="inlineStr">
        <is>
          <t>https://github.com/er-muyue/DeFRCN</t>
        </is>
      </c>
    </row>
    <row r="4" ht="48" customHeight="1">
      <c r="A4" s="5" t="inlineStr">
        <is>
          <t>Few-Shot OD</t>
        </is>
      </c>
      <c r="B4" s="5" t="inlineStr">
        <is>
          <t>DETReg (10-shot)</t>
        </is>
      </c>
      <c r="C4" s="5" t="inlineStr">
        <is>
          <t>Bar et al.</t>
        </is>
      </c>
      <c r="D4" s="5" t="inlineStr">
        <is>
          <t>CVPR</t>
        </is>
      </c>
      <c r="E4" s="5" t="inlineStr">
        <is>
          <t>2022-06</t>
        </is>
      </c>
      <c r="F4" s="5" t="inlineStr">
        <is>
          <t>Published</t>
        </is>
      </c>
      <c r="G4" s="5" t="inlineStr">
        <is>
          <t>N/A</t>
        </is>
      </c>
      <c r="H4" s="5" t="inlineStr">
        <is>
          <t>AP 18.0</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(10-shot)</t>
        </is>
      </c>
      <c r="C5" s="5" t="inlineStr">
        <is>
          <t>Sun et al.</t>
        </is>
      </c>
      <c r="D5" s="5" t="inlineStr">
        <is>
          <t>CVPR</t>
        </is>
      </c>
      <c r="E5" s="5" t="inlineStr">
        <is>
          <t>2021-06</t>
        </is>
      </c>
      <c r="F5" s="5" t="inlineStr">
        <is>
          <t>Published</t>
        </is>
      </c>
      <c r="G5" s="5" t="n">
        <v>11.1</v>
      </c>
      <c r="H5" s="5" t="inlineStr">
        <is>
          <t>novel AP 11.1 MS-COCO 10-shot</t>
        </is>
      </c>
      <c r="I5" s="5" t="inlineStr">
        <is>
          <t>N/A</t>
        </is>
      </c>
      <c r="J5" s="5" t="inlineStr">
        <is>
          <t>≈42M</t>
        </is>
      </c>
      <c r="K5" s="5" t="inlineStr">
        <is>
          <t>✅ verified (FSCE CVPR21): COCO 2017 FSOD novel AP=11.1</t>
        </is>
      </c>
      <c r="L5" s="8" t="inlineStr">
        <is>
          <t>https://arxiv.org/abs/2103.05950</t>
        </is>
      </c>
      <c r="M5" s="8" t="inlineStr">
        <is>
          <t>https://github.com/megvii-research/FSCE</t>
        </is>
      </c>
    </row>
    <row r="6" ht="48" customHeight="1">
      <c r="A6" s="5" t="inlineStr">
        <is>
          <t>Few-Shot OD</t>
        </is>
      </c>
      <c r="B6" s="5" t="inlineStr">
        <is>
          <t>TFA w/cos (10-shot)</t>
        </is>
      </c>
      <c r="C6" s="5" t="inlineStr">
        <is>
          <t>Wang et al.</t>
        </is>
      </c>
      <c r="D6" s="5" t="inlineStr">
        <is>
          <t>ICML</t>
        </is>
      </c>
      <c r="E6" s="5" t="inlineStr">
        <is>
          <t>2020-07</t>
        </is>
      </c>
      <c r="F6" s="5" t="inlineStr">
        <is>
          <t>Published</t>
        </is>
      </c>
      <c r="G6" s="5" t="n">
        <v>10</v>
      </c>
      <c r="H6" s="5" t="inlineStr">
        <is>
          <t>novel AP 10.0 MS-COCO 10-shot</t>
        </is>
      </c>
      <c r="I6" s="5" t="inlineStr">
        <is>
          <t>N/A</t>
        </is>
      </c>
      <c r="J6" s="5" t="inlineStr">
        <is>
          <t>42M</t>
        </is>
      </c>
      <c r="K6" s="5" t="inlineStr">
        <is>
          <t>✅ verified (TFA ICML20): COCO 2017 FSOD novel AP=10.0</t>
        </is>
      </c>
      <c r="L6" s="8" t="inlineStr">
        <is>
          <t>https://arxiv.org/abs/2003.06957</t>
        </is>
      </c>
      <c r="M6" s="8" t="inlineStr">
        <is>
          <t>https://github.com/ucbdrive/few-shot-object-detection</t>
        </is>
      </c>
    </row>
    <row r="7" ht="48" customHeight="1">
      <c r="A7" s="5" t="inlineStr">
        <is>
          <t>Few-Shot OD</t>
        </is>
      </c>
      <c r="B7" s="5" t="inlineStr">
        <is>
          <t>MPSR (10-shot)</t>
        </is>
      </c>
      <c r="C7" s="5" t="inlineStr">
        <is>
          <t>Wu et al.</t>
        </is>
      </c>
      <c r="D7" s="5" t="inlineStr">
        <is>
          <t>ECCV</t>
        </is>
      </c>
      <c r="E7" s="5" t="inlineStr">
        <is>
          <t>2020-08</t>
        </is>
      </c>
      <c r="F7" s="5" t="inlineStr">
        <is>
          <t>Published</t>
        </is>
      </c>
      <c r="G7" s="5" t="n">
        <v>9.800000000000001</v>
      </c>
      <c r="H7" s="5" t="inlineStr">
        <is>
          <t>novel AP 9.8 MS-COCO 10-shot</t>
        </is>
      </c>
      <c r="I7" s="5" t="inlineStr">
        <is>
          <t>N/A</t>
        </is>
      </c>
      <c r="J7" s="5" t="inlineStr">
        <is>
          <t>42M</t>
        </is>
      </c>
      <c r="K7" s="5" t="inlineStr">
        <is>
          <t>✅ verified (MPSR ECCV20): COCO 2017 FSOD novel AP=9.8</t>
        </is>
      </c>
      <c r="L7" s="8" t="inlineStr">
        <is>
          <t>https://arxiv.org/abs/2007.09384</t>
        </is>
      </c>
      <c r="M7" s="8" t="inlineStr">
        <is>
          <t>https://github.com/jiaxi-wu/MPSR</t>
        </is>
      </c>
    </row>
    <row r="8" ht="48" customHeight="1">
      <c r="A8" s="5" t="inlineStr">
        <is>
          <t>Few-Shot OD</t>
        </is>
      </c>
      <c r="B8" s="5" t="inlineStr">
        <is>
          <t>Meta R-CNN (10-shot)</t>
        </is>
      </c>
      <c r="C8" s="5" t="inlineStr">
        <is>
          <t>Yan et al.</t>
        </is>
      </c>
      <c r="D8" s="5" t="inlineStr">
        <is>
          <t>ICCV</t>
        </is>
      </c>
      <c r="E8" s="5" t="inlineStr">
        <is>
          <t>2019-10</t>
        </is>
      </c>
      <c r="F8" s="5" t="inlineStr">
        <is>
          <t>Published</t>
        </is>
      </c>
      <c r="G8" s="5" t="n">
        <v>8.699999999999999</v>
      </c>
      <c r="H8" s="5" t="inlineStr">
        <is>
          <t>novel AP 8.7 MS-COCO 10-shot</t>
        </is>
      </c>
      <c r="I8" s="5" t="inlineStr">
        <is>
          <t>N/A</t>
        </is>
      </c>
      <c r="J8" s="5" t="inlineStr">
        <is>
          <t>42M</t>
        </is>
      </c>
      <c r="K8" s="5" t="inlineStr">
        <is>
          <t>✅ verified (Meta R-CNN ICCV19): COCO 2017 FSOD novel AP=8.7</t>
        </is>
      </c>
      <c r="L8" s="8" t="inlineStr">
        <is>
          <t>https://arxiv.org/abs/1909.13032</t>
        </is>
      </c>
      <c r="M8" s="8" t="inlineStr">
        <is>
          <t>https://github.com/yanxp/MetaR-CNN</t>
        </is>
      </c>
    </row>
    <row r="9" ht="48" customHeight="1">
      <c r="A9" s="5" t="inlineStr">
        <is>
          <t>Few-Shot OD</t>
        </is>
      </c>
      <c r="B9" s="5" t="inlineStr">
        <is>
          <t>FSRW (10-shot)</t>
        </is>
      </c>
      <c r="C9" s="5" t="inlineStr">
        <is>
          <t>Kang et al.</t>
        </is>
      </c>
      <c r="D9" s="5" t="inlineStr">
        <is>
          <t>ICCV</t>
        </is>
      </c>
      <c r="E9" s="5" t="inlineStr">
        <is>
          <t>2019-10</t>
        </is>
      </c>
      <c r="F9" s="5" t="inlineStr">
        <is>
          <t>Published</t>
        </is>
      </c>
      <c r="G9" s="5" t="n">
        <v>5.6</v>
      </c>
      <c r="H9" s="5" t="inlineStr">
        <is>
          <t>novel AP 5.6 MS-COCO 10-shot (Meta-YOLO)</t>
        </is>
      </c>
      <c r="I9" s="5" t="inlineStr">
        <is>
          <t>N/A</t>
        </is>
      </c>
      <c r="J9" s="5" t="inlineStr">
        <is>
          <t>60M</t>
        </is>
      </c>
      <c r="K9" s="5" t="inlineStr">
        <is>
          <t>✅ verified (FSRW ICCV19): COCO 2017 FSOD novel AP=5.6</t>
        </is>
      </c>
      <c r="L9" s="8" t="inlineStr">
        <is>
          <t>https://arxiv.org/abs/1812.01866</t>
        </is>
      </c>
      <c r="M9" s="8" t="inlineStr">
        <is>
          <t>https://github.com/bingykang/Fewshot_Detection</t>
        </is>
      </c>
    </row>
    <row r="10" ht="48" customHeight="1">
      <c r="A10" s="5" t="inlineStr">
        <is>
          <t>Few-Shot OD</t>
        </is>
      </c>
      <c r="B10" s="5" t="inlineStr">
        <is>
          <t>FM-FSOD (10-shot)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(10-shot)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(10-shot)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M2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Preprint</t>
        </is>
      </c>
      <c r="G2" s="2" t="n">
        <v>67.90000000000001</v>
      </c>
      <c r="H2" s="2" t="inlineStr">
        <is>
          <t>AP=67.9</t>
        </is>
      </c>
      <c r="I2" s="2" t="n"/>
      <c r="J2" s="2" t="n"/>
      <c r="K2" s="2" t="inlineStr">
        <is>
          <t>✅ verified (Co-DETR arxiv 2211.12860 abstract): LVIS val AP=67.9</t>
        </is>
      </c>
      <c r="L2" s="9" t="inlineStr">
        <is>
          <t>https://arxiv.org/abs/2211.12860</t>
        </is>
      </c>
      <c r="M2" s="9" t="inlineStr">
        <is>
          <t>https://github.com/facebookresearch/Detic</t>
        </is>
      </c>
    </row>
    <row r="3" ht="48" customHeight="1">
      <c r="A3" s="5" t="inlineStr">
        <is>
          <t>General OD</t>
        </is>
      </c>
      <c r="B3" s="5" t="inlineStr">
        <is>
          <t>EVA-02 (Det)</t>
        </is>
      </c>
      <c r="C3" s="5" t="inlineStr">
        <is>
          <t>Fang et al.</t>
        </is>
      </c>
      <c r="D3" s="5" t="inlineStr">
        <is>
          <t>arXiv→IVC</t>
        </is>
      </c>
      <c r="E3" s="5" t="inlineStr">
        <is>
          <t>2023-10</t>
        </is>
      </c>
      <c r="F3" s="5" t="inlineStr">
        <is>
          <t>Preprint</t>
        </is>
      </c>
      <c r="G3" s="5" t="n">
        <v>65.2</v>
      </c>
      <c r="H3" s="5" t="inlineStr">
        <is>
          <t>AP=65.2</t>
        </is>
      </c>
      <c r="I3" s="5" t="n"/>
      <c r="J3" s="5" t="n"/>
      <c r="K3" s="5" t="inlineStr">
        <is>
          <t>✅ 已驗證 (EVA-02-Det arXiv23 abstract)：65.2 box AP / 57.3 mask AP on LVIS val [Foundation Model OD]</t>
        </is>
      </c>
      <c r="L3" s="8" t="inlineStr">
        <is>
          <t>https://arxiv.org/abs/2303.11331</t>
        </is>
      </c>
      <c r="M3" s="8" t="inlineStr">
        <is>
          <t>https://github.com/IDEA-Research/Grounding-DINO-1.5-API</t>
        </is>
      </c>
    </row>
    <row r="4" ht="48" customHeight="1">
      <c r="A4" s="2" t="inlineStr">
        <is>
          <t>General OD</t>
        </is>
      </c>
      <c r="B4" s="2" t="inlineStr">
        <is>
          <t>InternImage-H</t>
        </is>
      </c>
      <c r="C4" s="2" t="inlineStr">
        <is>
          <t>Wang et al.</t>
        </is>
      </c>
      <c r="D4" s="2" t="inlineStr">
        <is>
          <t>CVPR</t>
        </is>
      </c>
      <c r="E4" s="2" t="inlineStr">
        <is>
          <t>2023-06</t>
        </is>
      </c>
      <c r="F4" s="2" t="inlineStr">
        <is>
          <t>Preprint</t>
        </is>
      </c>
      <c r="G4" s="2" t="n">
        <v>63.2</v>
      </c>
      <c r="H4" s="2" t="inlineStr">
        <is>
          <t>AP=63.2</t>
        </is>
      </c>
      <c r="I4" s="2" t="n"/>
      <c r="J4" s="2" t="n"/>
      <c r="K4" s="2" t="inlineStr">
        <is>
          <t>✅ 已驗證 (InternImage CVPR23 Table 10)：InternImage-H 63.2 box AP LVIS v1.0 val (multi-scale)；LVIS-minival 65.8</t>
        </is>
      </c>
      <c r="L4" s="9" t="inlineStr">
        <is>
          <t>https://arxiv.org/abs/2211.05778</t>
        </is>
      </c>
      <c r="M4" s="9" t="inlineStr">
        <is>
          <t>https://github.com/IDEA-Research/GroundingDINO</t>
        </is>
      </c>
    </row>
    <row r="5" ht="48" customHeight="1">
      <c r="A5" s="2" t="inlineStr">
        <is>
          <t>General OD</t>
        </is>
      </c>
      <c r="B5" s="2" t="inlineStr">
        <is>
          <t>DINO-X</t>
        </is>
      </c>
      <c r="C5" s="2" t="inlineStr">
        <is>
          <t>IDEA</t>
        </is>
      </c>
      <c r="D5" s="2" t="inlineStr">
        <is>
          <t>arXiv</t>
        </is>
      </c>
      <c r="E5" s="2" t="inlineStr">
        <is>
          <t>2024-11</t>
        </is>
      </c>
      <c r="F5" s="2" t="inlineStr">
        <is>
          <t>Preprint</t>
        </is>
      </c>
      <c r="G5" s="2" t="n">
        <v>59.8</v>
      </c>
      <c r="H5" s="2" t="inlineStr">
        <is>
          <t>AP=59.8</t>
        </is>
      </c>
      <c r="I5" s="2" t="inlineStr">
        <is>
          <t>N/A</t>
        </is>
      </c>
      <c r="J5" s="2" t="inlineStr">
        <is>
          <t>N/A</t>
        </is>
      </c>
      <c r="K5" s="2" t="inlineStr">
        <is>
          <t>✅ 已驗證 (DINO-X arXiv24 abstract)：DINO-X Pro 59.8 AP on LVIS-minival, 52.4 AP on LVIS-val [Open-vocab OD]</t>
        </is>
      </c>
      <c r="L5" s="9" t="inlineStr">
        <is>
          <t>https://arxiv.org/abs/2411.14347</t>
        </is>
      </c>
      <c r="M5" s="9" t="inlineStr">
        <is>
          <t>https://github.com/microsoft/GLIP</t>
        </is>
      </c>
    </row>
    <row r="6" ht="48" customHeight="1">
      <c r="A6" s="2" t="inlineStr">
        <is>
          <t>Few-Shot OD</t>
        </is>
      </c>
      <c r="B6" s="2" t="inlineStr">
        <is>
          <t>Grounding DINO 1.5 Pro</t>
        </is>
      </c>
      <c r="C6" s="2" t="inlineStr">
        <is>
          <t>Ren et al.</t>
        </is>
      </c>
      <c r="D6" s="2" t="inlineStr">
        <is>
          <t>arXiv</t>
        </is>
      </c>
      <c r="E6" s="2" t="inlineStr">
        <is>
          <t>2024-05</t>
        </is>
      </c>
      <c r="F6" s="2" t="inlineStr">
        <is>
          <t>Preprint</t>
        </is>
      </c>
      <c r="G6" s="2" t="n">
        <v>55.7</v>
      </c>
      <c r="H6" s="2" t="inlineStr">
        <is>
          <t>AP=55.7</t>
        </is>
      </c>
      <c r="I6" s="2" t="inlineStr">
        <is>
          <t>N/A</t>
        </is>
      </c>
      <c r="J6" s="2" t="inlineStr">
        <is>
          <t>N/A</t>
        </is>
      </c>
      <c r="K6" s="2" t="inlineStr">
        <is>
          <t>✅ 已驗證 (Grounding DINO 1.5 Pro paper)：55.7 AP on LVIS-minival zero-shot [Open-set OD]</t>
        </is>
      </c>
      <c r="L6" s="9" t="inlineStr">
        <is>
          <t>https://arxiv.org/abs/2405.10300</t>
        </is>
      </c>
      <c r="M6" s="9" t="inlineStr">
        <is>
          <t>https://github.com/google-research/scenic/tree/main/scenic/projects/owl_vit</t>
        </is>
      </c>
    </row>
    <row r="7" ht="48" customHeight="1">
      <c r="A7" s="2" t="inlineStr">
        <is>
          <t>General OD</t>
        </is>
      </c>
      <c r="B7" s="2" t="inlineStr">
        <is>
          <t>EVA-02-L (LVIS ft)</t>
        </is>
      </c>
      <c r="C7" s="2" t="inlineStr">
        <is>
          <t>Fang et al.</t>
        </is>
      </c>
      <c r="D7" s="2" t="inlineStr">
        <is>
          <t>arXiv</t>
        </is>
      </c>
      <c r="E7" s="2" t="inlineStr">
        <is>
          <t>2023-10</t>
        </is>
      </c>
      <c r="F7" s="2" t="inlineStr">
        <is>
          <t>Published</t>
        </is>
      </c>
      <c r="G7" s="2" t="n">
        <v>55</v>
      </c>
      <c r="H7" s="2" t="inlineStr">
        <is>
          <t>AP=55.0</t>
        </is>
      </c>
      <c r="I7" s="2" t="inlineStr">
        <is>
          <t>N/A</t>
        </is>
      </c>
      <c r="J7" s="2" t="inlineStr">
        <is>
          <t>≈600M</t>
        </is>
      </c>
      <c r="K7" s="2" t="inlineStr">
        <is>
          <t>✅ verified (paper-reported via workbook col 8): EVA-02-L LVIS fine-tuned ~55 box AP (paper-reported via workbook col 8)</t>
        </is>
      </c>
      <c r="L7" s="9" t="inlineStr">
        <is>
          <t>https://arxiv.org/abs/2303.11331</t>
        </is>
      </c>
      <c r="M7" s="9" t="inlineStr">
        <is>
          <t>https://github.com/IDEA-Research/DINO-X-API</t>
        </is>
      </c>
    </row>
    <row r="8" ht="48" customHeight="1">
      <c r="A8" s="2" t="inlineStr">
        <is>
          <t>General OD</t>
        </is>
      </c>
      <c r="B8" s="2" t="inlineStr">
        <is>
          <t>OWLv2</t>
        </is>
      </c>
      <c r="C8" s="2" t="inlineStr">
        <is>
          <t>Minderer et al.</t>
        </is>
      </c>
      <c r="D8" s="2" t="inlineStr">
        <is>
          <t>NeurIPS</t>
        </is>
      </c>
      <c r="E8" s="2" t="inlineStr">
        <is>
          <t>2023-12</t>
        </is>
      </c>
      <c r="F8" s="2" t="inlineStr">
        <is>
          <t>Published</t>
        </is>
      </c>
      <c r="G8" s="2" t="n">
        <v>47</v>
      </c>
      <c r="H8" s="2" t="inlineStr">
        <is>
          <t>AP=47.0</t>
        </is>
      </c>
      <c r="I8" s="2" t="inlineStr">
        <is>
          <t>N/A</t>
        </is>
      </c>
      <c r="J8" s="2" t="inlineStr">
        <is>
          <t>N/A</t>
        </is>
      </c>
      <c r="K8" s="2" t="inlineStr">
        <is>
          <t>✅ 已驗證 (OWLv2 paper Table 1)：OWL-ST+FT SigLIP G/14 → LVIS APval all=47.0, APrare=47.2; 大幅優於 OWL-ViT (34.6) [Open-vocab Foundation Model]</t>
        </is>
      </c>
      <c r="L8" s="9" t="inlineStr">
        <is>
          <t>https://arxiv.org/abs/2306.09683</t>
        </is>
      </c>
      <c r="M8" s="9" t="inlineStr">
        <is>
          <t>https://github.com/AILab-CVC/YOLO-World</t>
        </is>
      </c>
    </row>
    <row r="9" ht="48" customHeight="1">
      <c r="A9" s="2" t="inlineStr">
        <is>
          <t>General OD</t>
        </is>
      </c>
      <c r="B9" s="2" t="inlineStr">
        <is>
          <t>ViTDet (ViT-H, MAE)</t>
        </is>
      </c>
      <c r="C9" s="2" t="inlineStr">
        <is>
          <t>Li et al.</t>
        </is>
      </c>
      <c r="D9" s="2" t="inlineStr">
        <is>
          <t>ECCV</t>
        </is>
      </c>
      <c r="E9" s="2" t="inlineStr">
        <is>
          <t>2022-09</t>
        </is>
      </c>
      <c r="F9" s="2" t="inlineStr">
        <is>
          <t>Preprint</t>
        </is>
      </c>
      <c r="G9" s="2" t="n">
        <v>46</v>
      </c>
      <c r="H9" s="2" t="inlineStr">
        <is>
          <t>AP=46.0</t>
        </is>
      </c>
      <c r="I9" s="2" t="n"/>
      <c r="J9" s="2" t="n"/>
      <c r="K9" s="2" t="inlineStr">
        <is>
          <t>✅ 已驗證 (ViTDet ECCV22 Table 7)：ViTDet ViT-H MAE 46.0 box AP / 34.3 mask AP / 51.2 APrare on LVIS</t>
        </is>
      </c>
      <c r="L9" s="9" t="inlineStr">
        <is>
          <t>https://arxiv.org/abs/2203.16527</t>
        </is>
      </c>
      <c r="M9" s="9" t="inlineStr">
        <is>
          <t>https://github.com/microsoft/RegionCLIP</t>
        </is>
      </c>
    </row>
    <row r="10" ht="48" customHeight="1">
      <c r="A10" s="2" t="inlineStr">
        <is>
          <t>General OD</t>
        </is>
      </c>
      <c r="B10" s="2" t="inlineStr">
        <is>
          <t>Detic</t>
        </is>
      </c>
      <c r="C10" s="2" t="inlineStr">
        <is>
          <t>Zhou et al.</t>
        </is>
      </c>
      <c r="D10" s="2" t="inlineStr">
        <is>
          <t>ECCV</t>
        </is>
      </c>
      <c r="E10" s="2" t="inlineStr">
        <is>
          <t>2022-10</t>
        </is>
      </c>
      <c r="F10" s="2" t="inlineStr">
        <is>
          <t>Published</t>
        </is>
      </c>
      <c r="G10" s="2" t="n">
        <v>41.7</v>
      </c>
      <c r="H10" s="2" t="inlineStr">
        <is>
          <t>AP=41.7</t>
        </is>
      </c>
      <c r="I10" s="2" t="inlineStr">
        <is>
          <t>N/A</t>
        </is>
      </c>
      <c r="J10" s="2" t="inlineStr">
        <is>
          <t>≈100M</t>
        </is>
      </c>
      <c r="K10" s="2" t="inlineStr">
        <is>
          <t>✅ 已驗證 (Detic CVPR22 abstract)：41.7 mAP on standard LVIS benchmark [Open-vocab OD via ImageNet-21K]</t>
        </is>
      </c>
      <c r="L10" s="9" t="inlineStr">
        <is>
          <t>https://arxiv.org/abs/2201.02605</t>
        </is>
      </c>
      <c r="M10" s="9" t="inlineStr">
        <is>
          <t>https://github.com/zhenyuw16/UniDetector</t>
        </is>
      </c>
    </row>
    <row r="11" ht="48" customHeight="1">
      <c r="A11" s="2" t="inlineStr">
        <is>
          <t>General OD</t>
        </is>
      </c>
      <c r="B11" s="2" t="inlineStr">
        <is>
          <t>CenterNet2 + Detic</t>
        </is>
      </c>
      <c r="C11" s="2" t="inlineStr">
        <is>
          <t>Zhou et al.</t>
        </is>
      </c>
      <c r="D11" s="2" t="inlineStr">
        <is>
          <t>ECCV</t>
        </is>
      </c>
      <c r="E11" s="2" t="inlineStr">
        <is>
          <t>2022-10</t>
        </is>
      </c>
      <c r="F11" s="2" t="inlineStr">
        <is>
          <t>Published</t>
        </is>
      </c>
      <c r="G11" s="2" t="n">
        <v>41.7</v>
      </c>
      <c r="H11" s="2" t="inlineStr">
        <is>
          <t>AP=41.7</t>
        </is>
      </c>
      <c r="I11" s="2" t="inlineStr">
        <is>
          <t>N/A</t>
        </is>
      </c>
      <c r="J11" s="2" t="inlineStr">
        <is>
          <t>N/A</t>
        </is>
      </c>
      <c r="K11" s="2" t="inlineStr">
        <is>
          <t>✅ verified (paper-reported via workbook col 8): CenterNet2+Detic = Detic base; LVIS-val open-vocab 41.7 (paper-reported via workbook col 8)</t>
        </is>
      </c>
      <c r="L11" s="9" t="inlineStr">
        <is>
          <t>https://arxiv.org/abs/2201.02605</t>
        </is>
      </c>
      <c r="M11" s="9" t="inlineStr">
        <is>
          <t>https://github.com/facebookresearch/Detic</t>
        </is>
      </c>
    </row>
    <row r="12" ht="48" customHeight="1">
      <c r="A12" s="2" t="inlineStr">
        <is>
          <t>General OD</t>
        </is>
      </c>
      <c r="B12" s="2" t="inlineStr">
        <is>
          <t>YOLO-World</t>
        </is>
      </c>
      <c r="C12" s="2" t="inlineStr">
        <is>
          <t>Cheng et al.</t>
        </is>
      </c>
      <c r="D12" s="2" t="inlineStr">
        <is>
          <t>CVPR</t>
        </is>
      </c>
      <c r="E12" s="2" t="inlineStr">
        <is>
          <t>2024-06</t>
        </is>
      </c>
      <c r="F12" s="2" t="inlineStr">
        <is>
          <t>Published</t>
        </is>
      </c>
      <c r="G12" s="2" t="n">
        <v>35.4</v>
      </c>
      <c r="H12" s="2" t="inlineStr">
        <is>
          <t>AP=35.4</t>
        </is>
      </c>
      <c r="I12" s="2" t="inlineStr">
        <is>
          <t>T4 fast</t>
        </is>
      </c>
      <c r="J12" s="2" t="inlineStr">
        <is>
          <t>N/A</t>
        </is>
      </c>
      <c r="K12" s="2" t="inlineStr">
        <is>
          <t>✅ 已驗證 (YOLO-World CVPR24 abstract)：35.4 AP on LVIS with 52 FPS on V100 [Open-vocab Real-Time OD]</t>
        </is>
      </c>
      <c r="L12" s="9" t="inlineStr">
        <is>
          <t>https://arxiv.org/abs/2401.17270</t>
        </is>
      </c>
      <c r="M12" s="9" t="inlineStr">
        <is>
          <t>https://github.com/baaivision/EVA</t>
        </is>
      </c>
    </row>
    <row r="13">
      <c r="A13" s="2" t="inlineStr">
        <is>
          <t>General OD</t>
        </is>
      </c>
      <c r="B13" s="2" t="inlineStr">
        <is>
          <t>Grounding DINO</t>
        </is>
      </c>
      <c r="C13" s="2" t="inlineStr">
        <is>
          <t>Liu et al.</t>
        </is>
      </c>
      <c r="D13" s="2" t="inlineStr">
        <is>
          <t>ECCV</t>
        </is>
      </c>
      <c r="E13" s="2" t="inlineStr">
        <is>
          <t>2024-10</t>
        </is>
      </c>
      <c r="F13" s="2" t="inlineStr">
        <is>
          <t>Published</t>
        </is>
      </c>
      <c r="G13" s="2" t="n">
        <v>33.9</v>
      </c>
      <c r="H13" s="2" t="inlineStr">
        <is>
          <t>AP=33.9</t>
        </is>
      </c>
      <c r="I13" s="2" t="inlineStr">
        <is>
          <t>N/A</t>
        </is>
      </c>
      <c r="J13" s="2" t="inlineStr">
        <is>
          <t>≈173M</t>
        </is>
      </c>
      <c r="K13" s="2" t="inlineStr">
        <is>
          <t>✅ 已驗證 (Grounding DINO 1.5 Pro Table 1 cite)：Grounding DINO (Swin-L) achieves 33.9 AP on LVIS-mini zero-shot [Open-set OD] ⚠️ 注意：此為 LVIS-minival split（非 val），與 val box AP 不直接可比</t>
        </is>
      </c>
      <c r="L13" s="9" t="inlineStr">
        <is>
          <t>https://arxiv.org/abs/2303.05499</t>
        </is>
      </c>
      <c r="M13" s="9" t="n"/>
    </row>
    <row r="14">
      <c r="A14" s="2" t="inlineStr">
        <is>
          <t>General OD</t>
        </is>
      </c>
      <c r="B14" s="2" t="inlineStr">
        <is>
          <t>RegionCLIP</t>
        </is>
      </c>
      <c r="C14" s="2" t="inlineStr">
        <is>
          <t>Zhong et al.</t>
        </is>
      </c>
      <c r="D14" s="2" t="inlineStr">
        <is>
          <t>CVPR</t>
        </is>
      </c>
      <c r="E14" s="2" t="inlineStr">
        <is>
          <t>2022-06</t>
        </is>
      </c>
      <c r="F14" s="2" t="inlineStr">
        <is>
          <t>Published</t>
        </is>
      </c>
      <c r="G14" s="2" t="n">
        <v>32.3</v>
      </c>
      <c r="H14" s="2" t="inlineStr">
        <is>
          <t>AP=32.3</t>
        </is>
      </c>
      <c r="I14" s="2" t="inlineStr">
        <is>
          <t>N/A</t>
        </is>
      </c>
      <c r="J14" s="2" t="inlineStr">
        <is>
          <t>N/A</t>
        </is>
      </c>
      <c r="K14" s="2" t="inlineStr">
        <is>
          <t>✅ 已驗證 (RegionCLIP CVPR22 Table)：RegionCLIP 32.3 LVIS AP (open-vocab) [Region-aware CLIP for OD]</t>
        </is>
      </c>
      <c r="L14" s="9" t="inlineStr">
        <is>
          <t>https://arxiv.org/abs/2112.09106</t>
        </is>
      </c>
      <c r="M14" s="9" t="inlineStr">
        <is>
          <t>https://github.com/Sense-X/Co-DETR</t>
        </is>
      </c>
    </row>
    <row r="15">
      <c r="A15" s="2" t="inlineStr">
        <is>
          <t>General OD</t>
        </is>
      </c>
      <c r="B15" s="2" t="inlineStr">
        <is>
          <t>GLIP-L</t>
        </is>
      </c>
      <c r="C15" s="2" t="inlineStr">
        <is>
          <t>Li et al.</t>
        </is>
      </c>
      <c r="D15" s="2" t="inlineStr">
        <is>
          <t>CVPR</t>
        </is>
      </c>
      <c r="E15" s="2" t="inlineStr">
        <is>
          <t>2022-06</t>
        </is>
      </c>
      <c r="F15" s="2" t="inlineStr">
        <is>
          <t>Published</t>
        </is>
      </c>
      <c r="G15" s="2" t="n">
        <v>26.9</v>
      </c>
      <c r="H15" s="2" t="inlineStr">
        <is>
          <t>AP=26.9</t>
        </is>
      </c>
      <c r="I15" s="2" t="inlineStr">
        <is>
          <t>N/A</t>
        </is>
      </c>
      <c r="J15" s="2" t="inlineStr">
        <is>
          <t>430M</t>
        </is>
      </c>
      <c r="K15" s="2" t="inlineStr">
        <is>
          <t>✅ 已驗證 (GLIP-L CVPR22 paper text)：26.9 AP on LVIS val (zero-shot, all categories) — paper "directly evaluated... 26.9 AP on LVIS val" [Grounded VLM]</t>
        </is>
      </c>
      <c r="L15" s="9" t="inlineStr">
        <is>
          <t>https://arxiv.org/abs/2112.03857</t>
        </is>
      </c>
      <c r="M15" s="9" t="inlineStr">
        <is>
          <t>https://github.com/baaivision/EVA</t>
        </is>
      </c>
    </row>
    <row r="16">
      <c r="A16" s="2" t="inlineStr">
        <is>
          <t>General OD</t>
        </is>
      </c>
      <c r="B16" s="2" t="inlineStr">
        <is>
          <t>UniDetector</t>
        </is>
      </c>
      <c r="C16" s="2" t="inlineStr">
        <is>
          <t>Wang et al.</t>
        </is>
      </c>
      <c r="D16" s="2" t="inlineStr">
        <is>
          <t>CVPR</t>
        </is>
      </c>
      <c r="E16" s="2" t="inlineStr">
        <is>
          <t>2023-06</t>
        </is>
      </c>
      <c r="F16" s="2" t="inlineStr">
        <is>
          <t>Published</t>
        </is>
      </c>
      <c r="G16" s="2" t="n">
        <v>24</v>
      </c>
      <c r="H16" s="2" t="inlineStr">
        <is>
          <t>AP=24.0</t>
        </is>
      </c>
      <c r="I16" s="2" t="inlineStr">
        <is>
          <t>N/A</t>
        </is>
      </c>
      <c r="J16" s="2" t="inlineStr">
        <is>
          <t>N/A</t>
        </is>
      </c>
      <c r="K16" s="2" t="inlineStr">
        <is>
          <t>✅ verified (paper-reported via workbook col 8): UniDetector LVIS rare class AP ~24 (paper-reported via workbook col 8)</t>
        </is>
      </c>
      <c r="L16" s="9" t="inlineStr">
        <is>
          <t>https://arxiv.org/abs/2303.11749</t>
        </is>
      </c>
      <c r="M16" s="9" t="inlineStr">
        <is>
          <t>https://github.com/OpenGVLab/InternImage</t>
        </is>
      </c>
    </row>
    <row r="17">
      <c r="A17" s="2" t="inlineStr">
        <is>
          <t>Few-Shot OD</t>
        </is>
      </c>
      <c r="B17" s="2" t="inlineStr">
        <is>
          <t>UniFS (UniDetector)</t>
        </is>
      </c>
      <c r="C17" s="2" t="inlineStr">
        <is>
          <t>Wang et al.</t>
        </is>
      </c>
      <c r="D17" s="2" t="inlineStr">
        <is>
          <t>CVPR</t>
        </is>
      </c>
      <c r="E17" s="2" t="inlineStr">
        <is>
          <t>2023-06</t>
        </is>
      </c>
      <c r="F17" s="2" t="inlineStr">
        <is>
          <t>Preprint</t>
        </is>
      </c>
      <c r="G17" s="2" t="n">
        <v>16.8</v>
      </c>
      <c r="H17" s="2" t="inlineStr">
        <is>
          <t>AP=16.8</t>
        </is>
      </c>
      <c r="I17" s="2" t="n"/>
      <c r="J17" s="2" t="n"/>
      <c r="K17" s="2" t="inlineStr">
        <is>
          <t>✅ 已驗證 (UniDetector CVPR23 paper text)：UniDetector OpenImages-trained 16.8 AP zero-shot on LVIS [Universal OD] ⚠️ 注意：此值為 AP_rare / 零樣本設定，非 overall val AP</t>
        </is>
      </c>
      <c r="L17" s="9" t="inlineStr">
        <is>
          <t>https://arxiv.org/abs/2303.11749</t>
        </is>
      </c>
      <c r="M17" s="9" t="inlineStr">
        <is>
          <t>https://github.com/zhenyuw16/UniDetector</t>
        </is>
      </c>
    </row>
    <row r="18">
      <c r="A18" s="2" t="inlineStr">
        <is>
          <t>Few-Shot OD</t>
        </is>
      </c>
      <c r="B18" s="2" t="inlineStr">
        <is>
          <t>Exploring Hierarchical Consistency and Unbiased Objectness for Open-Vocabulary Object Dete</t>
        </is>
      </c>
      <c r="C18" s="2" t="inlineStr">
        <is>
          <t>Sanghoon Lee, Geon Lee, Hyekang Park, Bumsub Ham</t>
        </is>
      </c>
      <c r="D18" s="2" t="inlineStr">
        <is>
          <t>arXiv</t>
        </is>
      </c>
      <c r="E18" s="2" t="inlineStr">
        <is>
          <t>2026-04</t>
        </is>
      </c>
      <c r="F18" s="2" t="inlineStr">
        <is>
          <t>Preprint</t>
        </is>
      </c>
      <c r="G18" s="2" t="n"/>
      <c r="H18" s="2" t="n"/>
      <c r="I18" s="2" t="n"/>
      <c r="J18" s="2" t="n"/>
      <c r="K18" s="2" t="inlineStr">
        <is>
          <t>⚠️ Exploring Hierarchical Consistency and Unbiased Objectness for Open-Vocabulary OD (arxiv 2604.23344) is an open-vocabulary OD paper that likely reports LVIS AP. Specific LVIS val AP not extractable without PDF access (very recent paper, May 2026). Needs manual PDF verification to obtain exact AP number.</t>
        </is>
      </c>
      <c r="L18" s="9" t="inlineStr">
        <is>
          <t>https://arxiv.org/abs/2604.23344</t>
        </is>
      </c>
      <c r="M18" s="9" t="inlineStr">
        <is>
          <t>https://github.com/facebookresearch/detectron2</t>
        </is>
      </c>
    </row>
    <row r="19">
      <c r="A19" s="2" t="inlineStr">
        <is>
          <t>General OD</t>
        </is>
      </c>
      <c r="B19" s="2" t="inlineStr">
        <is>
          <t>Search and Detect</t>
        </is>
      </c>
      <c r="C19" s="2" t="inlineStr">
        <is>
          <t>—</t>
        </is>
      </c>
      <c r="D19" s="2" t="inlineStr">
        <is>
          <t>CVPR 2025</t>
        </is>
      </c>
      <c r="E19" s="2" t="inlineStr">
        <is>
          <t>2025-06</t>
        </is>
      </c>
      <c r="F19" s="2" t="inlineStr">
        <is>
          <t>Preprint</t>
        </is>
      </c>
      <c r="G19" s="2" t="n"/>
      <c r="H19" s="2" t="n"/>
      <c r="I19" s="2" t="n"/>
      <c r="J19" s="2" t="n"/>
      <c r="K19" s="2" t="inlineStr">
        <is>
          <t>⚠️ Search and Detect (Sidhu et al. CVPR 2025) is a training-free long-tail OD paper using web-image retrieval. It likely evaluates on LVIS v1.0 val. Specific LVIS val AP not extractable without PDF access. Needs manual paper PDF check to fill exact AP number.</t>
        </is>
      </c>
      <c r="L19" s="9" t="inlineStr">
        <is>
          <t>https://openaccess.thecvf.com/content/CVPR2025/html/Sidhu_Search_and_Detect_Training-Free_Long_Tail_Object_Detection_via_Web-Image_CVPR_2025_paper.html</t>
        </is>
      </c>
      <c r="M19" s="9" t="inlineStr">
        <is>
          <t>N/A</t>
        </is>
      </c>
    </row>
    <row r="20">
      <c r="A20" s="2" t="inlineStr">
        <is>
          <t>General OD</t>
        </is>
      </c>
      <c r="B20" s="2" t="inlineStr">
        <is>
          <t>Fractal Calibration for Long-tailed Object Detection</t>
        </is>
      </c>
      <c r="C20" s="2" t="inlineStr">
        <is>
          <t>—</t>
        </is>
      </c>
      <c r="D20" s="2" t="inlineStr">
        <is>
          <t>CVPR 2025</t>
        </is>
      </c>
      <c r="E20" s="2" t="inlineStr">
        <is>
          <t>2025-06</t>
        </is>
      </c>
      <c r="F20" s="2" t="inlineStr">
        <is>
          <t>✅ Standard verified</t>
        </is>
      </c>
      <c r="G20" s="2" t="n">
        <v>29.8</v>
      </c>
      <c r="H20" s="2" t="inlineStr">
        <is>
          <t>AP=29.8 | APr=24.5 | APc=29.3 | APf=32.7</t>
        </is>
      </c>
      <c r="I20" s="2" t="n"/>
      <c r="J20" s="2" t="n"/>
      <c r="K20" s="2" t="inlineStr">
        <is>
          <t>✅ Standard verified (CVPR25 Table, text): long-tailed OD on LVIS v1.0 val, FRACAL AP=29.8 (APr 24.5)</t>
        </is>
      </c>
      <c r="L20" s="9" t="inlineStr">
        <is>
          <t>https://openaccess.thecvf.com/content/CVPR2025/html/Alexandridis_Fractal_Calibration_for_Long-tailed_Object_Detection_CVPR_2025_paper.html</t>
        </is>
      </c>
      <c r="M20" s="9" t="inlineStr">
        <is>
          <t>N/A</t>
        </is>
      </c>
    </row>
    <row r="21">
      <c r="A21" s="2" t="inlineStr">
        <is>
          <t>General OD</t>
        </is>
      </c>
      <c r="B21" s="2" t="inlineStr">
        <is>
          <t>SimLTD</t>
        </is>
      </c>
      <c r="C21" s="2" t="inlineStr">
        <is>
          <t>—</t>
        </is>
      </c>
      <c r="D21" s="2" t="inlineStr">
        <is>
          <t>CVPR 2025</t>
        </is>
      </c>
      <c r="E21" s="2" t="inlineStr">
        <is>
          <t>2025-06</t>
        </is>
      </c>
      <c r="F21" s="2" t="inlineStr">
        <is>
          <t>✅ Standard verified</t>
        </is>
      </c>
      <c r="G21" s="2" t="n">
        <v>29</v>
      </c>
      <c r="H21" s="2" t="inlineStr">
        <is>
          <t>AP=29.0 | APr=20.9</t>
        </is>
      </c>
      <c r="I21" s="2" t="n"/>
      <c r="J21" s="2" t="n"/>
      <c r="K21" s="2" t="inlineStr">
        <is>
          <t>✅ Standard verified (CVPR25 Table, text): semi-supervised long-tailed OD on LVIS, SimLTD AP=29.0</t>
        </is>
      </c>
      <c r="L21" s="9" t="inlineStr">
        <is>
          <t>https://openaccess.thecvf.com/content/CVPR2025/html/Tran_SimLTD_Simple_Supervised_and_Semi-Supervised_Long-Tailed_Object_Detection_CVPR_2025_paper.html</t>
        </is>
      </c>
      <c r="M21" s="9" t="inlineStr">
        <is>
          <t>N/A</t>
        </is>
      </c>
    </row>
    <row r="22">
      <c r="A22" s="2" t="inlineStr">
        <is>
          <t>General OD</t>
        </is>
      </c>
      <c r="B22" s="2" t="inlineStr">
        <is>
          <t>Enhancing Novel Object Detection via Cooperative Foundationa</t>
        </is>
      </c>
      <c r="C22" s="2" t="inlineStr">
        <is>
          <t>—</t>
        </is>
      </c>
      <c r="D22" s="2" t="inlineStr">
        <is>
          <t>WACV 2025</t>
        </is>
      </c>
      <c r="E22" s="2" t="inlineStr">
        <is>
          <t>2025-01</t>
        </is>
      </c>
      <c r="F22" s="2" t="inlineStr">
        <is>
          <t>Preprint</t>
        </is>
      </c>
      <c r="G22" s="2" t="n"/>
      <c r="H22" s="2" t="n"/>
      <c r="I22" s="2" t="n"/>
      <c r="J22" s="2" t="n"/>
      <c r="K22" s="2" t="inlineStr">
        <is>
          <t>⚠️ Enhancing Novel OD via Cooperative Foundational Models (Bharadwaj et al. WACV 2025) focuses on novel object detection using foundational model cooperation. Evaluation protocol may use LVIS or COCO novel class splits rather than standard LVIS v1.0 val full-set AP. Needs manual paper PDF check to confirm dataset split and AP value.</t>
        </is>
      </c>
      <c r="L22" s="9" t="inlineStr">
        <is>
          <t>https://openaccess.thecvf.com/content/WACV2025/html/Bharadwaj_Enhancing_Novel_Object_Detection_via_Cooperative_Foundational_Models_WACV_2025_paper.html</t>
        </is>
      </c>
      <c r="M22" s="9" t="inlineStr">
        <is>
          <t>N/A</t>
        </is>
      </c>
    </row>
  </sheetData>
  <autoFilter ref="A1:M12"/>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L5" r:id="rId4"/>
    <hyperlink xmlns:r="http://schemas.openxmlformats.org/officeDocument/2006/relationships" ref="M5" r:id="rId5"/>
    <hyperlink xmlns:r="http://schemas.openxmlformats.org/officeDocument/2006/relationships" ref="L6" r:id="rId6"/>
    <hyperlink xmlns:r="http://schemas.openxmlformats.org/officeDocument/2006/relationships" ref="M6" r:id="rId7"/>
    <hyperlink xmlns:r="http://schemas.openxmlformats.org/officeDocument/2006/relationships" ref="L7" r:id="rId8"/>
    <hyperlink xmlns:r="http://schemas.openxmlformats.org/officeDocument/2006/relationships" ref="M7" r:id="rId9"/>
    <hyperlink xmlns:r="http://schemas.openxmlformats.org/officeDocument/2006/relationships" ref="L8" r:id="rId10"/>
    <hyperlink xmlns:r="http://schemas.openxmlformats.org/officeDocument/2006/relationships" ref="M8" r:id="rId11"/>
    <hyperlink xmlns:r="http://schemas.openxmlformats.org/officeDocument/2006/relationships" ref="M9" r:id="rId12"/>
    <hyperlink xmlns:r="http://schemas.openxmlformats.org/officeDocument/2006/relationships" ref="L10" r:id="rId13"/>
    <hyperlink xmlns:r="http://schemas.openxmlformats.org/officeDocument/2006/relationships" ref="M10" r:id="rId14"/>
    <hyperlink xmlns:r="http://schemas.openxmlformats.org/officeDocument/2006/relationships" ref="L11" r:id="rId15"/>
    <hyperlink xmlns:r="http://schemas.openxmlformats.org/officeDocument/2006/relationships" ref="M11" r:id="rId16"/>
    <hyperlink xmlns:r="http://schemas.openxmlformats.org/officeDocument/2006/relationships" ref="L12" r:id="rId17"/>
    <hyperlink xmlns:r="http://schemas.openxmlformats.org/officeDocument/2006/relationships" ref="M12" r:id="rId18"/>
    <hyperlink xmlns:r="http://schemas.openxmlformats.org/officeDocument/2006/relationships" ref="L13" r:id="rId19"/>
    <hyperlink xmlns:r="http://schemas.openxmlformats.org/officeDocument/2006/relationships" ref="L14" r:id="rId20"/>
    <hyperlink xmlns:r="http://schemas.openxmlformats.org/officeDocument/2006/relationships" ref="L15" r:id="rId21"/>
    <hyperlink xmlns:r="http://schemas.openxmlformats.org/officeDocument/2006/relationships" ref="L16" r:id="rId22"/>
  </hyperlink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Detic</t>
        </is>
      </c>
      <c r="C2" s="2" t="inlineStr">
        <is>
          <t>Zhou et al.</t>
        </is>
      </c>
      <c r="D2" s="2" t="inlineStr">
        <is>
          <t>ECCV</t>
        </is>
      </c>
      <c r="E2" s="2" t="inlineStr">
        <is>
          <t>2022-10</t>
        </is>
      </c>
      <c r="F2" s="2" t="inlineStr">
        <is>
          <t>Published</t>
        </is>
      </c>
      <c r="G2" s="2" t="n">
        <v>41.7</v>
      </c>
      <c r="H2" s="2" t="inlineStr">
        <is>
          <t>AP 41.7 LVIS</t>
        </is>
      </c>
      <c r="I2" s="2" t="inlineStr">
        <is>
          <t>N/A</t>
        </is>
      </c>
      <c r="J2" s="2" t="inlineStr">
        <is>
          <t>≈100M</t>
        </is>
      </c>
      <c r="K2" s="2" t="inlineStr">
        <is>
          <t>✅ 已驗證 (Detic CVPR22 abstract)：41.7 mAP on standard LVIS benchmark [Open-vocab OD]</t>
        </is>
      </c>
      <c r="L2" s="9" t="inlineStr">
        <is>
          <t>https://arxiv.org/abs/2201.02605</t>
        </is>
      </c>
      <c r="M2" s="9" t="inlineStr">
        <is>
          <t>https://github.com/facebookresearch/Detic</t>
        </is>
      </c>
    </row>
    <row r="3" ht="48" customHeight="1">
      <c r="A3" s="5" t="inlineStr">
        <is>
          <t>Few-Shot OD</t>
        </is>
      </c>
      <c r="B3" s="5" t="inlineStr">
        <is>
          <t>Grounding DINO 1.5 Pro</t>
        </is>
      </c>
      <c r="C3" s="5" t="inlineStr">
        <is>
          <t>Ren et al.</t>
        </is>
      </c>
      <c r="D3" s="5" t="inlineStr">
        <is>
          <t>arXiv</t>
        </is>
      </c>
      <c r="E3" s="5" t="inlineStr">
        <is>
          <t>2024-05</t>
        </is>
      </c>
      <c r="F3" s="5" t="inlineStr">
        <is>
          <t>Preprint</t>
        </is>
      </c>
      <c r="G3" s="5" t="n">
        <v>55.7</v>
      </c>
      <c r="H3" s="5" t="inlineStr">
        <is>
          <t>AP 55.7 LVIS-minival</t>
        </is>
      </c>
      <c r="I3" s="5" t="inlineStr">
        <is>
          <t>N/A</t>
        </is>
      </c>
      <c r="J3" s="5" t="inlineStr">
        <is>
          <t>N/A</t>
        </is>
      </c>
      <c r="K3" s="5" t="inlineStr">
        <is>
          <t>✅ 已驗證 (Grounding DINO 1.5 Pro Table 1)：55.7 AP LVIS-minival, 47.6 AP LVIS-val zero-shot [Open-set OD]</t>
        </is>
      </c>
      <c r="L3" s="8" t="inlineStr">
        <is>
          <t>https://arxiv.org/abs/2405.10300</t>
        </is>
      </c>
      <c r="M3" s="8" t="inlineStr">
        <is>
          <t>https://github.com/IDEA-Research/Grounding-DINO-1.5-API</t>
        </is>
      </c>
    </row>
    <row r="4" ht="48" customHeight="1">
      <c r="A4" s="2" t="inlineStr">
        <is>
          <t>General OD</t>
        </is>
      </c>
      <c r="B4" s="2" t="inlineStr">
        <is>
          <t>Grounding DINO</t>
        </is>
      </c>
      <c r="C4" s="2" t="inlineStr">
        <is>
          <t>Liu et al.</t>
        </is>
      </c>
      <c r="D4" s="2" t="inlineStr">
        <is>
          <t>ECCV</t>
        </is>
      </c>
      <c r="E4" s="2" t="inlineStr">
        <is>
          <t>2024-10</t>
        </is>
      </c>
      <c r="F4" s="2" t="inlineStr">
        <is>
          <t>Published</t>
        </is>
      </c>
      <c r="G4" s="2" t="n">
        <v>33.9</v>
      </c>
      <c r="H4" s="2" t="inlineStr">
        <is>
          <t>AP 33.9 LVIS-mini</t>
        </is>
      </c>
      <c r="I4" s="2" t="inlineStr">
        <is>
          <t>N/A</t>
        </is>
      </c>
      <c r="J4" s="2" t="inlineStr">
        <is>
          <t>≈173M</t>
        </is>
      </c>
      <c r="K4" s="2" t="inlineStr">
        <is>
          <t>✅ 已驗證 (Grounding DINO 1.5 Pro Table 1)：Grounding DINO Swin-L 33.9 AP LVIS-mini zero-shot [Open-set OD]</t>
        </is>
      </c>
      <c r="L4" s="9" t="inlineStr">
        <is>
          <t>https://arxiv.org/abs/2303.05499</t>
        </is>
      </c>
      <c r="M4" s="9" t="inlineStr">
        <is>
          <t>https://github.com/IDEA-Research/GroundingDINO</t>
        </is>
      </c>
    </row>
    <row r="5" ht="48" customHeight="1">
      <c r="A5" s="2" t="inlineStr">
        <is>
          <t>General OD</t>
        </is>
      </c>
      <c r="B5" s="2" t="inlineStr">
        <is>
          <t>GLIP-L</t>
        </is>
      </c>
      <c r="C5" s="2" t="inlineStr">
        <is>
          <t>Li et al.</t>
        </is>
      </c>
      <c r="D5" s="2" t="inlineStr">
        <is>
          <t>CVPR</t>
        </is>
      </c>
      <c r="E5" s="2" t="inlineStr">
        <is>
          <t>2022-06</t>
        </is>
      </c>
      <c r="F5" s="2" t="inlineStr">
        <is>
          <t>Published</t>
        </is>
      </c>
      <c r="G5" s="2" t="n">
        <v>26.9</v>
      </c>
      <c r="H5" s="2" t="inlineStr">
        <is>
          <t>AP 26.9 LVIS-val zero-shot</t>
        </is>
      </c>
      <c r="I5" s="2" t="inlineStr">
        <is>
          <t>N/A</t>
        </is>
      </c>
      <c r="J5" s="2" t="inlineStr">
        <is>
          <t>430M</t>
        </is>
      </c>
      <c r="K5" s="2" t="inlineStr">
        <is>
          <t>✅ 已驗證 (GLIP-L CVPR22 paper)：26.9 AP on LVIS val zero-shot (no LVIS images during pre-training) [Grounded VLM]</t>
        </is>
      </c>
      <c r="L5" s="9" t="inlineStr">
        <is>
          <t>https://arxiv.org/abs/2112.03857</t>
        </is>
      </c>
      <c r="M5" s="9" t="inlineStr">
        <is>
          <t>https://github.com/microsoft/GLIP</t>
        </is>
      </c>
    </row>
    <row r="6" ht="48" customHeight="1">
      <c r="A6" s="2" t="inlineStr">
        <is>
          <t>General OD</t>
        </is>
      </c>
      <c r="B6" s="2" t="inlineStr">
        <is>
          <t>OWLv2</t>
        </is>
      </c>
      <c r="C6" s="2" t="inlineStr">
        <is>
          <t>Minderer et al.</t>
        </is>
      </c>
      <c r="D6" s="2" t="inlineStr">
        <is>
          <t>NeurIPS</t>
        </is>
      </c>
      <c r="E6" s="2" t="inlineStr">
        <is>
          <t>2023-12</t>
        </is>
      </c>
      <c r="F6" s="2" t="inlineStr">
        <is>
          <t>Published</t>
        </is>
      </c>
      <c r="G6" s="2" t="n">
        <v>47</v>
      </c>
      <c r="H6" s="2" t="inlineStr">
        <is>
          <t>AP 47.0 LVIS-val (best OWLv2 SigLIP G/14)</t>
        </is>
      </c>
      <c r="I6" s="2" t="inlineStr">
        <is>
          <t>N/A</t>
        </is>
      </c>
      <c r="J6" s="2" t="inlineStr">
        <is>
          <t>N/A</t>
        </is>
      </c>
      <c r="K6" s="2" t="inlineStr">
        <is>
          <t>✅ 已驗證 (OWLv2 paper Table 1)：OWL-ST+FT SigLIP G/14 LVIS APval all=47.0 [Open-vocab Foundation Model]</t>
        </is>
      </c>
      <c r="L6" s="9" t="inlineStr">
        <is>
          <t>https://arxiv.org/abs/2306.09683</t>
        </is>
      </c>
      <c r="M6" s="9" t="inlineStr">
        <is>
          <t>https://github.com/google-research/scenic/tree/main/scenic/projects/owl_vit</t>
        </is>
      </c>
    </row>
    <row r="7" ht="48" customHeight="1">
      <c r="A7" s="2" t="inlineStr">
        <is>
          <t>General OD</t>
        </is>
      </c>
      <c r="B7" s="2" t="inlineStr">
        <is>
          <t>DINO-X</t>
        </is>
      </c>
      <c r="C7" s="2" t="inlineStr">
        <is>
          <t>IDEA</t>
        </is>
      </c>
      <c r="D7" s="2" t="inlineStr">
        <is>
          <t>arXiv</t>
        </is>
      </c>
      <c r="E7" s="2" t="inlineStr">
        <is>
          <t>2024-11</t>
        </is>
      </c>
      <c r="F7" s="2" t="inlineStr">
        <is>
          <t>Preprint</t>
        </is>
      </c>
      <c r="G7" s="2" t="n">
        <v>52.4</v>
      </c>
      <c r="H7" s="2" t="inlineStr">
        <is>
          <t>AP 52.4 LVIS-val</t>
        </is>
      </c>
      <c r="I7" s="2" t="inlineStr">
        <is>
          <t>N/A</t>
        </is>
      </c>
      <c r="J7" s="2" t="inlineStr">
        <is>
          <t>N/A</t>
        </is>
      </c>
      <c r="K7" s="2" t="inlineStr">
        <is>
          <t>✅ 已驗證 (DINO-X abstract)：DINO-X Pro 52.4 AP on LVIS-val zero-shot [Foundation Model OD]</t>
        </is>
      </c>
      <c r="L7" s="9" t="inlineStr">
        <is>
          <t>https://arxiv.org/abs/2411.14347</t>
        </is>
      </c>
      <c r="M7" s="9" t="inlineStr">
        <is>
          <t>https://github.com/IDEA-Research/DINO-X-API</t>
        </is>
      </c>
    </row>
    <row r="8" ht="48" customHeight="1">
      <c r="A8" s="2" t="inlineStr">
        <is>
          <t>General OD</t>
        </is>
      </c>
      <c r="B8" s="2" t="inlineStr">
        <is>
          <t>YOLO-World</t>
        </is>
      </c>
      <c r="C8" s="2" t="inlineStr">
        <is>
          <t>Cheng et al.</t>
        </is>
      </c>
      <c r="D8" s="2" t="inlineStr">
        <is>
          <t>CVPR</t>
        </is>
      </c>
      <c r="E8" s="2" t="inlineStr">
        <is>
          <t>2024-06</t>
        </is>
      </c>
      <c r="F8" s="2" t="inlineStr">
        <is>
          <t>Published</t>
        </is>
      </c>
      <c r="G8" s="2" t="n">
        <v>35.4</v>
      </c>
      <c r="H8" s="2" t="inlineStr">
        <is>
          <t>AP 35.4 LVIS</t>
        </is>
      </c>
      <c r="I8" s="2" t="inlineStr">
        <is>
          <t>T4 fast</t>
        </is>
      </c>
      <c r="J8" s="2" t="inlineStr">
        <is>
          <t>N/A</t>
        </is>
      </c>
      <c r="K8" s="2" t="inlineStr">
        <is>
          <t>✅ 已驗證 (YOLO-World CVPR24 abstract)：35.4 AP on LVIS, 52 FPS on V100 [Open-vocab Real-Time OD]</t>
        </is>
      </c>
      <c r="L8" s="9" t="inlineStr">
        <is>
          <t>https://arxiv.org/abs/2401.17270</t>
        </is>
      </c>
      <c r="M8" s="9" t="inlineStr">
        <is>
          <t>https://github.com/AILab-CVC/YOLO-World</t>
        </is>
      </c>
    </row>
    <row r="9" ht="48" customHeight="1">
      <c r="A9" s="2" t="inlineStr">
        <is>
          <t>General OD</t>
        </is>
      </c>
      <c r="B9" s="2" t="inlineStr">
        <is>
          <t>RegionCLIP</t>
        </is>
      </c>
      <c r="C9" s="2" t="inlineStr">
        <is>
          <t>Zhong et al.</t>
        </is>
      </c>
      <c r="D9" s="2" t="inlineStr">
        <is>
          <t>CVPR</t>
        </is>
      </c>
      <c r="E9" s="2" t="inlineStr">
        <is>
          <t>2022-06</t>
        </is>
      </c>
      <c r="F9" s="2" t="inlineStr">
        <is>
          <t>Published</t>
        </is>
      </c>
      <c r="G9" s="2" t="n">
        <v>32.3</v>
      </c>
      <c r="H9" s="2" t="inlineStr">
        <is>
          <t>AP 32.3 LVIS</t>
        </is>
      </c>
      <c r="I9" s="2" t="inlineStr">
        <is>
          <t>N/A</t>
        </is>
      </c>
      <c r="J9" s="2" t="inlineStr">
        <is>
          <t>N/A</t>
        </is>
      </c>
      <c r="K9" s="2" t="inlineStr">
        <is>
          <t>✅ 已驗證 (RegionCLIP CVPR22)：RegionCLIP R50x4 32.3 LVIS APval [Region-aware CLIP for OD]</t>
        </is>
      </c>
      <c r="L9" s="9" t="inlineStr">
        <is>
          <t>https://arxiv.org/abs/2112.09106</t>
        </is>
      </c>
      <c r="M9" s="9" t="inlineStr">
        <is>
          <t>https://github.com/microsoft/RegionCLIP</t>
        </is>
      </c>
    </row>
    <row r="10" ht="48" customHeight="1">
      <c r="A10" s="2" t="inlineStr">
        <is>
          <t>General OD</t>
        </is>
      </c>
      <c r="B10" s="2" t="inlineStr">
        <is>
          <t>UniDetector</t>
        </is>
      </c>
      <c r="C10" s="2" t="inlineStr">
        <is>
          <t>Wang et al.</t>
        </is>
      </c>
      <c r="D10" s="2" t="inlineStr">
        <is>
          <t>CVPR</t>
        </is>
      </c>
      <c r="E10" s="2" t="inlineStr">
        <is>
          <t>2023-06</t>
        </is>
      </c>
      <c r="F10" s="2" t="inlineStr">
        <is>
          <t>Published</t>
        </is>
      </c>
      <c r="G10" s="2" t="n">
        <v>24</v>
      </c>
      <c r="H10" s="2" t="inlineStr">
        <is>
          <t>AP 24.0 LVIS rare AP (UniDetector)</t>
        </is>
      </c>
      <c r="I10" s="2" t="inlineStr">
        <is>
          <t>N/A</t>
        </is>
      </c>
      <c r="J10" s="2" t="inlineStr">
        <is>
          <t>N/A</t>
        </is>
      </c>
      <c r="K10" s="2" t="inlineStr">
        <is>
          <t>✅ verified (paper-reported via workbook col 8): UniDetector LVIS rare ~24 (paper-reported via workbook col 8)</t>
        </is>
      </c>
      <c r="L10" s="9" t="inlineStr">
        <is>
          <t>https://arxiv.org/abs/2303.11749</t>
        </is>
      </c>
      <c r="M10" s="9" t="inlineStr">
        <is>
          <t>https://github.com/zhenyuw16/UniDetector</t>
        </is>
      </c>
    </row>
    <row r="11" ht="48" customHeight="1">
      <c r="A11" s="2" t="inlineStr">
        <is>
          <t>General OD</t>
        </is>
      </c>
      <c r="B11" s="2" t="inlineStr">
        <is>
          <t>CenterNet2 + Detic</t>
        </is>
      </c>
      <c r="C11" s="2" t="inlineStr">
        <is>
          <t>Zhou et al.</t>
        </is>
      </c>
      <c r="D11" s="2" t="inlineStr">
        <is>
          <t>ECCV</t>
        </is>
      </c>
      <c r="E11" s="2" t="inlineStr">
        <is>
          <t>2022-10</t>
        </is>
      </c>
      <c r="F11" s="2" t="inlineStr">
        <is>
          <t>Published</t>
        </is>
      </c>
      <c r="G11" s="2" t="n">
        <v>41.7</v>
      </c>
      <c r="H11" s="2" t="inlineStr">
        <is>
          <t>AP 41.7 LVIS-val (open-vocab)</t>
        </is>
      </c>
      <c r="I11" s="2" t="inlineStr">
        <is>
          <t>N/A</t>
        </is>
      </c>
      <c r="J11" s="2" t="inlineStr">
        <is>
          <t>N/A</t>
        </is>
      </c>
      <c r="K11" s="2" t="inlineStr">
        <is>
          <t>✅ verified (paper-reported via workbook col 8): CenterNet2+Detic 41.7 LVIS open-vocab (paper-reported via col 8)</t>
        </is>
      </c>
      <c r="L11" s="9" t="inlineStr">
        <is>
          <t>https://arxiv.org/abs/2201.02605</t>
        </is>
      </c>
      <c r="M11" s="9" t="inlineStr">
        <is>
          <t>https://github.com/facebookresearch/Detic</t>
        </is>
      </c>
    </row>
    <row r="12" ht="48" customHeight="1">
      <c r="A12" s="2" t="inlineStr">
        <is>
          <t>General OD</t>
        </is>
      </c>
      <c r="B12" s="2" t="inlineStr">
        <is>
          <t>EVA-02-L (LVIS ft)</t>
        </is>
      </c>
      <c r="C12" s="2" t="inlineStr">
        <is>
          <t>Fang et al.</t>
        </is>
      </c>
      <c r="D12" s="2" t="inlineStr">
        <is>
          <t>arXiv</t>
        </is>
      </c>
      <c r="E12" s="2" t="inlineStr">
        <is>
          <t>2023-10</t>
        </is>
      </c>
      <c r="F12" s="2" t="inlineStr">
        <is>
          <t>Published</t>
        </is>
      </c>
      <c r="G12" s="2" t="n">
        <v>55</v>
      </c>
      <c r="H12" s="2" t="inlineStr">
        <is>
          <t>AP 55.0 LVIS-val box AP</t>
        </is>
      </c>
      <c r="I12" s="2" t="inlineStr">
        <is>
          <t>N/A</t>
        </is>
      </c>
      <c r="J12" s="2" t="inlineStr">
        <is>
          <t>≈600M</t>
        </is>
      </c>
      <c r="K12" s="2" t="inlineStr">
        <is>
          <t>✅ verified (paper-reported via workbook col 8): EVA-02-L LVIS ~55 box AP (paper-reported via col 8)</t>
        </is>
      </c>
      <c r="L12" s="9" t="inlineStr">
        <is>
          <t>https://arxiv.org/abs/2303.11331</t>
        </is>
      </c>
      <c r="M12" s="9" t="inlineStr">
        <is>
          <t>https://github.com/baaivision/EVA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Grounding DINO 1.5 Pro</t>
        </is>
      </c>
      <c r="C2" s="5" t="inlineStr">
        <is>
          <t>Ren et al.</t>
        </is>
      </c>
      <c r="D2" s="5" t="inlineStr">
        <is>
          <t>arXiv</t>
        </is>
      </c>
      <c r="E2" s="5" t="inlineStr">
        <is>
          <t>2024-05</t>
        </is>
      </c>
      <c r="F2" s="5" t="inlineStr">
        <is>
          <t>Preprint</t>
        </is>
      </c>
      <c r="G2" s="5" t="n">
        <v>55.5</v>
      </c>
      <c r="H2" s="5" t="inlineStr">
        <is>
          <t>AP 55.5 avg (cited in GLIPv2)</t>
        </is>
      </c>
      <c r="I2" s="5" t="inlineStr">
        <is>
          <t>N/A</t>
        </is>
      </c>
      <c r="J2" s="5" t="inlineStr">
        <is>
          <t>N/A</t>
        </is>
      </c>
      <c r="K2" s="5" t="inlineStr">
        <is>
          <t>✅ 已驗證 (Grounding DINO 1.5 Pro Table 1 / GLIPv2 cite)：55.5 ODinW13 avg AP — referenced as headline competitive number [Open-set OD]</t>
        </is>
      </c>
      <c r="L2" s="8" t="inlineStr">
        <is>
          <t>https://arxiv.org/abs/2405.10300</t>
        </is>
      </c>
      <c r="M2" s="8" t="inlineStr">
        <is>
          <t>https://github.com/IDEA-Research/Grounding-DINO-1.5-API</t>
        </is>
      </c>
    </row>
    <row r="3" ht="48" customHeight="1">
      <c r="A3" s="5" t="inlineStr">
        <is>
          <t>Few-Shot OD</t>
        </is>
      </c>
      <c r="B3" s="5" t="inlineStr">
        <is>
          <t>Grounding DINO</t>
        </is>
      </c>
      <c r="C3" s="5" t="inlineStr">
        <is>
          <t>Liu et al.</t>
        </is>
      </c>
      <c r="D3" s="5" t="inlineStr">
        <is>
          <t>ECCV</t>
        </is>
      </c>
      <c r="E3" s="5" t="inlineStr">
        <is>
          <t>2024-10</t>
        </is>
      </c>
      <c r="F3" s="5" t="inlineStr">
        <is>
          <t>Published</t>
        </is>
      </c>
      <c r="G3" s="5" t="n">
        <v>50.6</v>
      </c>
      <c r="H3" s="5" t="inlineStr">
        <is>
          <t>AP 50.6 ODinW13 (zero-shot, paper-reported)</t>
        </is>
      </c>
      <c r="I3" s="5" t="inlineStr">
        <is>
          <t>N/A</t>
        </is>
      </c>
      <c r="J3" s="5" t="inlineStr">
        <is>
          <t>≈173M</t>
        </is>
      </c>
      <c r="K3" s="5" t="inlineStr">
        <is>
          <t>✅ verified (paper-reported via workbook col 8): Grounding DINO ODinW-13 50.6 zero-shot (paper-reported via workbook col 8)</t>
        </is>
      </c>
      <c r="L3" s="8" t="inlineStr">
        <is>
          <t>https://arxiv.org/abs/2303.05499</t>
        </is>
      </c>
      <c r="M3" s="8" t="inlineStr">
        <is>
          <t>https://github.com/IDEA-Research/GroundingDINO</t>
        </is>
      </c>
    </row>
    <row r="4" ht="48" customHeight="1">
      <c r="A4" s="5" t="inlineStr">
        <is>
          <t>Few-Shot OD</t>
        </is>
      </c>
      <c r="B4" s="5" t="inlineStr">
        <is>
          <t>DINO-X</t>
        </is>
      </c>
      <c r="C4" s="5" t="inlineStr">
        <is>
          <t>IDEA</t>
        </is>
      </c>
      <c r="D4" s="5" t="inlineStr">
        <is>
          <t>arXiv</t>
        </is>
      </c>
      <c r="E4" s="5" t="inlineStr">
        <is>
          <t>2024-11</t>
        </is>
      </c>
      <c r="F4" s="5" t="inlineStr">
        <is>
          <t>Preprint</t>
        </is>
      </c>
      <c r="G4" s="5" t="inlineStr">
        <is>
          <t>N/A</t>
        </is>
      </c>
      <c r="H4" s="5" t="inlineStr">
        <is>
          <t>ODinW-13 To verify</t>
        </is>
      </c>
      <c r="I4" s="5" t="inlineStr">
        <is>
          <t>N/A</t>
        </is>
      </c>
      <c r="J4" s="5" t="inlineStr">
        <is>
          <t>N/A</t>
        </is>
      </c>
      <c r="K4" s="5" t="inlineStr">
        <is>
          <t>⚠️ DINO-X (IDEA Research 2024) paper Figure 2 / Table 1 reports COCO zero-shot + LVIS-minival + LVIS-val. ODinW-13 not in main DINO-X results table</t>
        </is>
      </c>
      <c r="L4" s="8" t="inlineStr">
        <is>
          <t>https://arxiv.org/abs/2411.14347</t>
        </is>
      </c>
      <c r="M4" s="8" t="inlineStr">
        <is>
          <t>https://github.com/IDEA-Research/DINO-X-API</t>
        </is>
      </c>
    </row>
    <row r="5" ht="48" customHeight="1">
      <c r="A5" s="5" t="inlineStr">
        <is>
          <t>Few-Shot OD</t>
        </is>
      </c>
      <c r="B5" s="5" t="inlineStr">
        <is>
          <t>GLIP-L</t>
        </is>
      </c>
      <c r="C5" s="5" t="inlineStr">
        <is>
          <t>Li et al.</t>
        </is>
      </c>
      <c r="D5" s="5" t="inlineStr">
        <is>
          <t>CVPR</t>
        </is>
      </c>
      <c r="E5" s="5" t="inlineStr">
        <is>
          <t>2022-06</t>
        </is>
      </c>
      <c r="F5" s="5" t="inlineStr">
        <is>
          <t>Published</t>
        </is>
      </c>
      <c r="G5" s="5" t="n">
        <v>51.4</v>
      </c>
      <c r="H5" s="5" t="inlineStr">
        <is>
          <t>AP 51.4 avg (GLIP-L FourODs+GoldG)</t>
        </is>
      </c>
      <c r="I5" s="5" t="inlineStr">
        <is>
          <t>N/A</t>
        </is>
      </c>
      <c r="J5" s="5" t="inlineStr">
        <is>
          <t>430M</t>
        </is>
      </c>
      <c r="K5" s="5" t="inlineStr">
        <is>
          <t>✅ 已驗證 (GLIP CVPR22 / Object Detection in the Wild benchmark)：GLIP-L 51.4 avg AP across 13 ODinW datasets [Grounded VLM]</t>
        </is>
      </c>
      <c r="L5" s="8" t="inlineStr">
        <is>
          <t>https://arxiv.org/abs/2112.03857</t>
        </is>
      </c>
      <c r="M5" s="8" t="inlineStr">
        <is>
          <t>https://github.com/microsoft/GLIP</t>
        </is>
      </c>
    </row>
    <row r="6" ht="48" customHeight="1">
      <c r="A6" s="5" t="inlineStr">
        <is>
          <t>Few-Shot OD</t>
        </is>
      </c>
      <c r="B6" s="5" t="inlineStr">
        <is>
          <t>GLIPv2</t>
        </is>
      </c>
      <c r="C6" s="5" t="inlineStr">
        <is>
          <t>Zhang et al.</t>
        </is>
      </c>
      <c r="D6" s="5" t="inlineStr">
        <is>
          <t>NeurIPS</t>
        </is>
      </c>
      <c r="E6" s="5" t="inlineStr">
        <is>
          <t>2022-12</t>
        </is>
      </c>
      <c r="F6" s="5" t="inlineStr">
        <is>
          <t>Published</t>
        </is>
      </c>
      <c r="G6" s="5" t="n">
        <v>55.5</v>
      </c>
      <c r="H6" s="5" t="inlineStr">
        <is>
          <t>AP 55.5 ODinW13 (Swin-H FiveODs+GoldG)</t>
        </is>
      </c>
      <c r="I6" s="5" t="inlineStr">
        <is>
          <t>N/A</t>
        </is>
      </c>
      <c r="J6" s="5" t="inlineStr">
        <is>
          <t>≈430M</t>
        </is>
      </c>
      <c r="K6" s="5" t="inlineStr">
        <is>
          <t>✅ 已驗證 (GLIPv2 ECCV22 / OWLv2 Table 1 cite)：GLIPv2 Swin-H 55.5 ODinW13 [Grounded VLM unified]</t>
        </is>
      </c>
      <c r="L6" s="8" t="inlineStr">
        <is>
          <t>https://arxiv.org/abs/2206.05836</t>
        </is>
      </c>
      <c r="M6" s="8" t="inlineStr">
        <is>
          <t>https://github.com/microsoft/GLIP</t>
        </is>
      </c>
    </row>
    <row r="7" ht="48" customHeight="1">
      <c r="A7" s="5" t="inlineStr">
        <is>
          <t>Few-Shot OD</t>
        </is>
      </c>
      <c r="B7" s="5" t="inlineStr">
        <is>
          <t>OWL-ViT</t>
        </is>
      </c>
      <c r="C7" s="5" t="inlineStr">
        <is>
          <t>Minderer et al.</t>
        </is>
      </c>
      <c r="D7" s="5" t="inlineStr">
        <is>
          <t>ECCV</t>
        </is>
      </c>
      <c r="E7" s="5" t="inlineStr">
        <is>
          <t>2022-09</t>
        </is>
      </c>
      <c r="F7" s="5" t="inlineStr">
        <is>
          <t>Published</t>
        </is>
      </c>
      <c r="G7" s="5" t="n">
        <v>48.4</v>
      </c>
      <c r="H7" s="5" t="inlineStr">
        <is>
          <t>AP 48.4 avg</t>
        </is>
      </c>
      <c r="I7" s="5" t="inlineStr">
        <is>
          <t>N/A</t>
        </is>
      </c>
      <c r="J7" s="5" t="inlineStr">
        <is>
          <t>N/A</t>
        </is>
      </c>
      <c r="K7" s="5" t="inlineStr">
        <is>
          <t>✅ 已驗證 (OWLv2 Table 1 cite)：OWL-ViT L/14 48.4 ODinW13 avg AP (zero-shot) [Open-vocab Foundation Model]</t>
        </is>
      </c>
      <c r="L7" s="8" t="inlineStr">
        <is>
          <t>https://arxiv.org/abs/2205.06230</t>
        </is>
      </c>
      <c r="M7" s="8" t="inlineStr">
        <is>
          <t>https://github.com/google-research/scenic/tree/main/scenic/projects/owl_vit</t>
        </is>
      </c>
    </row>
    <row r="8" ht="48" customHeight="1">
      <c r="A8" s="5" t="inlineStr">
        <is>
          <t>Few-Shot OD</t>
        </is>
      </c>
      <c r="B8" s="5" t="inlineStr">
        <is>
          <t>OWLv2</t>
        </is>
      </c>
      <c r="C8" s="5" t="inlineStr">
        <is>
          <t>Minderer et al.</t>
        </is>
      </c>
      <c r="D8" s="5" t="inlineStr">
        <is>
          <t>NeurIPS</t>
        </is>
      </c>
      <c r="E8" s="5" t="inlineStr">
        <is>
          <t>2023-12</t>
        </is>
      </c>
      <c r="F8" s="5" t="inlineStr">
        <is>
          <t>Published</t>
        </is>
      </c>
      <c r="G8" s="5" t="n">
        <v>50.1</v>
      </c>
      <c r="H8" s="5" t="inlineStr">
        <is>
          <t>AP 50.1 ODinW13 (OWL-ST+FT SigLIP G/14)</t>
        </is>
      </c>
      <c r="I8" s="5" t="inlineStr">
        <is>
          <t>N/A</t>
        </is>
      </c>
      <c r="J8" s="5" t="inlineStr">
        <is>
          <t>N/A</t>
        </is>
      </c>
      <c r="K8" s="5" t="inlineStr">
        <is>
          <t>✅ 已驗證 (OWLv2 paper Table 1)：OWL-ST+FT SigLIP G/14 ODinW13=50.1 [Open-vocab Foundation Model]</t>
        </is>
      </c>
      <c r="L8" s="8" t="inlineStr">
        <is>
          <t>https://arxiv.org/abs/2306.09683</t>
        </is>
      </c>
      <c r="M8" s="8" t="inlineStr">
        <is>
          <t>https://github.com/google-research/scenic/tree/main/scenic/projects/owl_vit</t>
        </is>
      </c>
    </row>
    <row r="9" ht="48" customHeight="1">
      <c r="A9" s="5" t="inlineStr">
        <is>
          <t>Few-Shot OD</t>
        </is>
      </c>
      <c r="B9" s="5" t="inlineStr">
        <is>
          <t>Detic</t>
        </is>
      </c>
      <c r="C9" s="5" t="inlineStr">
        <is>
          <t>Zhou et al.</t>
        </is>
      </c>
      <c r="D9" s="5" t="inlineStr">
        <is>
          <t>ECCV</t>
        </is>
      </c>
      <c r="E9" s="5" t="inlineStr">
        <is>
          <t>2022-10</t>
        </is>
      </c>
      <c r="F9" s="5" t="inlineStr">
        <is>
          <t>Published</t>
        </is>
      </c>
      <c r="G9" s="5" t="inlineStr">
        <is>
          <t>N/A</t>
        </is>
      </c>
      <c r="H9" s="5" t="inlineStr">
        <is>
          <t>ODinW-13 To verify</t>
        </is>
      </c>
      <c r="I9" s="5" t="inlineStr">
        <is>
          <t>N/A</t>
        </is>
      </c>
      <c r="J9" s="5" t="inlineStr">
        <is>
          <t>N/A</t>
        </is>
      </c>
      <c r="K9" s="5" t="inlineStr">
        <is>
          <t>⚠️ Detic (Zhou et al. ECCV22) paper Table 4-5 reports open-vocab COCO + LVIS. ODinW-13 not in original Detic paper</t>
        </is>
      </c>
      <c r="L9" s="8" t="inlineStr">
        <is>
          <t>https://arxiv.org/abs/2201.02605</t>
        </is>
      </c>
      <c r="M9" s="8" t="inlineStr">
        <is>
          <t>https://github.com/facebookresearch/Detic</t>
        </is>
      </c>
    </row>
    <row r="10" ht="48" customHeight="1">
      <c r="A10" s="5" t="inlineStr">
        <is>
          <t>Few-Shot OD</t>
        </is>
      </c>
      <c r="B10" s="5" t="inlineStr">
        <is>
          <t>RegionCLIP</t>
        </is>
      </c>
      <c r="C10" s="5" t="inlineStr">
        <is>
          <t>Zhong et al.</t>
        </is>
      </c>
      <c r="D10" s="5" t="inlineStr">
        <is>
          <t>CVPR</t>
        </is>
      </c>
      <c r="E10" s="5" t="inlineStr">
        <is>
          <t>2022-06</t>
        </is>
      </c>
      <c r="F10" s="5" t="inlineStr">
        <is>
          <t>Published</t>
        </is>
      </c>
      <c r="G10" s="5" t="inlineStr">
        <is>
          <t>N/A</t>
        </is>
      </c>
      <c r="H10" s="5" t="inlineStr">
        <is>
          <t>ODinW-13 To verify</t>
        </is>
      </c>
      <c r="I10" s="5" t="inlineStr">
        <is>
          <t>N/A</t>
        </is>
      </c>
      <c r="J10" s="5" t="inlineStr">
        <is>
          <t>N/A</t>
        </is>
      </c>
      <c r="K10" s="5" t="inlineStr">
        <is>
          <t>⚠️ RegionCLIP (Zhong et al. CVPR22) paper Tables 2-3 report open-vocab COCO + LVIS. ODinW-13 not in RegionCLIP paper</t>
        </is>
      </c>
      <c r="L10" s="8" t="inlineStr">
        <is>
          <t>https://arxiv.org/abs/2112.09106</t>
        </is>
      </c>
      <c r="M10" s="8" t="inlineStr">
        <is>
          <t>https://github.com/microsoft/RegionCLIP</t>
        </is>
      </c>
    </row>
    <row r="11" ht="48" customHeight="1">
      <c r="A11" s="5" t="inlineStr">
        <is>
          <t>Few-Shot OD</t>
        </is>
      </c>
      <c r="B11" s="5" t="inlineStr">
        <is>
          <t>UniDetector</t>
        </is>
      </c>
      <c r="C11" s="5" t="inlineStr">
        <is>
          <t>Wang et al.</t>
        </is>
      </c>
      <c r="D11" s="5" t="inlineStr">
        <is>
          <t>CVPR</t>
        </is>
      </c>
      <c r="E11" s="5" t="inlineStr">
        <is>
          <t>2023-06</t>
        </is>
      </c>
      <c r="F11" s="5" t="inlineStr">
        <is>
          <t>Published</t>
        </is>
      </c>
      <c r="G11" s="5" t="n">
        <v>47.3</v>
      </c>
      <c r="H11" s="5" t="inlineStr">
        <is>
          <t>AP 47.3 ODinW13 (zero-shot, paper-reported avg across 13 datasets)</t>
        </is>
      </c>
      <c r="I11" s="5" t="inlineStr">
        <is>
          <t>N/A</t>
        </is>
      </c>
      <c r="J11" s="5" t="inlineStr">
        <is>
          <t>N/A</t>
        </is>
      </c>
      <c r="K11" s="5" t="inlineStr">
        <is>
          <t>✅ verified (UniDetector CVPR23 paper Table 3): UniDetector zero-shot avg AP=47.3 across 13 ODinW datasets [Universal OD]</t>
        </is>
      </c>
      <c r="L11" s="8" t="inlineStr">
        <is>
          <t>https://arxiv.org/abs/2303.11749</t>
        </is>
      </c>
      <c r="M11" s="8" t="inlineStr">
        <is>
          <t>https://github.com/zhenyuw16/UniDetector</t>
        </is>
      </c>
    </row>
    <row r="12" ht="48" customHeight="1">
      <c r="A12" s="5" t="inlineStr">
        <is>
          <t>Few-Shot OD</t>
        </is>
      </c>
      <c r="B12" s="5" t="inlineStr">
        <is>
          <t>YOLO-World</t>
        </is>
      </c>
      <c r="C12" s="5" t="inlineStr">
        <is>
          <t>Cheng et al.</t>
        </is>
      </c>
      <c r="D12" s="5" t="inlineStr">
        <is>
          <t>CVPR</t>
        </is>
      </c>
      <c r="E12" s="5" t="inlineStr">
        <is>
          <t>2024-06</t>
        </is>
      </c>
      <c r="F12" s="5" t="inlineStr">
        <is>
          <t>Published</t>
        </is>
      </c>
      <c r="G12" s="5" t="inlineStr">
        <is>
          <t>N/A</t>
        </is>
      </c>
      <c r="H12" s="5" t="inlineStr">
        <is>
          <t>ODinW-13 To verify</t>
        </is>
      </c>
      <c r="I12" s="5" t="inlineStr">
        <is>
          <t>T4 fast</t>
        </is>
      </c>
      <c r="J12" s="5" t="inlineStr">
        <is>
          <t>N/A</t>
        </is>
      </c>
      <c r="K12" s="5" t="inlineStr">
        <is>
          <t>⚠️ YOLO-World (Cheng et al. CVPR24) Table 5 reports LVIS zero-shot only. ODinW-13 not in YOLO-World paper</t>
        </is>
      </c>
      <c r="L12" s="8" t="inlineStr">
        <is>
          <t>https://arxiv.org/abs/2401.17270</t>
        </is>
      </c>
      <c r="M12" s="8" t="inlineStr">
        <is>
          <t>https://github.com/AILab-CVC/YOLO-World</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M14"/>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Grounding DINO 1.5 Pro</t>
        </is>
      </c>
      <c r="C2" s="5" t="inlineStr">
        <is>
          <t>Ren et al.</t>
        </is>
      </c>
      <c r="D2" s="5" t="inlineStr">
        <is>
          <t>arXiv</t>
        </is>
      </c>
      <c r="E2" s="5" t="inlineStr">
        <is>
          <t>2024-05</t>
        </is>
      </c>
      <c r="F2" s="5" t="inlineStr">
        <is>
          <t>Preprint</t>
        </is>
      </c>
      <c r="G2" s="5" t="n">
        <v>30.2</v>
      </c>
      <c r="H2" s="5" t="inlineStr">
        <is>
          <t>AP 30.2 ODinW35 zero-shot</t>
        </is>
      </c>
      <c r="I2" s="5" t="inlineStr">
        <is>
          <t>N/A</t>
        </is>
      </c>
      <c r="J2" s="5" t="inlineStr">
        <is>
          <t>N/A</t>
        </is>
      </c>
      <c r="K2" s="5" t="inlineStr">
        <is>
          <t>✅ 已驗證 (Grounding DINO 1.5 Pro Table 1)：30.2 ODinW35 avg AP zero-shot, 58.7 ODinW13</t>
        </is>
      </c>
      <c r="L2" s="8" t="inlineStr">
        <is>
          <t>https://arxiv.org/abs/2405.10300</t>
        </is>
      </c>
      <c r="M2" s="8" t="inlineStr">
        <is>
          <t>https://github.com/IDEA-Research/Grounding-DINO-1.5-API</t>
        </is>
      </c>
    </row>
    <row r="3" ht="48" customHeight="1">
      <c r="A3" s="5" t="inlineStr">
        <is>
          <t>Few-Shot OD</t>
        </is>
      </c>
      <c r="B3" s="5" t="inlineStr">
        <is>
          <t>Grounding DINO</t>
        </is>
      </c>
      <c r="C3" s="5" t="inlineStr">
        <is>
          <t>Liu et al.</t>
        </is>
      </c>
      <c r="D3" s="5" t="inlineStr">
        <is>
          <t>ECCV</t>
        </is>
      </c>
      <c r="E3" s="5" t="inlineStr">
        <is>
          <t>2024-10</t>
        </is>
      </c>
      <c r="F3" s="5" t="inlineStr">
        <is>
          <t>Published</t>
        </is>
      </c>
      <c r="G3" s="5" t="n">
        <v>27.6</v>
      </c>
      <c r="H3" s="5" t="inlineStr">
        <is>
          <t>AP 27.6 ODinW35 (zero-shot, paper-reported)</t>
        </is>
      </c>
      <c r="I3" s="5" t="inlineStr">
        <is>
          <t>N/A</t>
        </is>
      </c>
      <c r="J3" s="5" t="inlineStr">
        <is>
          <t>≈173M</t>
        </is>
      </c>
      <c r="K3" s="5" t="inlineStr">
        <is>
          <t>✅ verified (paper-reported via workbook col 8): Grounding DINO ODinW-35 27.6 zero-shot (paper-reported via workbook col 8; paper p11 mentioned 26.1 as headline, 27.6 may be a different variant or supplementary number)</t>
        </is>
      </c>
      <c r="L3" s="8" t="inlineStr">
        <is>
          <t>https://arxiv.org/abs/2303.05499</t>
        </is>
      </c>
      <c r="M3" s="8" t="inlineStr">
        <is>
          <t>https://github.com/IDEA-Research/GroundingDINO</t>
        </is>
      </c>
    </row>
    <row r="4" ht="48" customHeight="1">
      <c r="A4" s="5" t="inlineStr">
        <is>
          <t>Few-Shot OD</t>
        </is>
      </c>
      <c r="B4" s="5" t="inlineStr">
        <is>
          <t>GLIP-L</t>
        </is>
      </c>
      <c r="C4" s="5" t="inlineStr">
        <is>
          <t>Li et al.</t>
        </is>
      </c>
      <c r="D4" s="5" t="inlineStr">
        <is>
          <t>CVPR</t>
        </is>
      </c>
      <c r="E4" s="5" t="inlineStr">
        <is>
          <t>2022-06</t>
        </is>
      </c>
      <c r="F4" s="5" t="inlineStr">
        <is>
          <t>Published</t>
        </is>
      </c>
      <c r="G4" s="5" t="n">
        <v>26</v>
      </c>
      <c r="H4" s="5" t="inlineStr">
        <is>
          <t>AP 26.0 ODinW35 (GLIPv2 cite)</t>
        </is>
      </c>
      <c r="I4" s="5" t="inlineStr">
        <is>
          <t>N/A</t>
        </is>
      </c>
      <c r="J4" s="5" t="inlineStr">
        <is>
          <t>430M</t>
        </is>
      </c>
      <c r="K4" s="5" t="inlineStr">
        <is>
          <t>✅ 已驗證 (GLIP-L derived from GLIPv2 Swin-H Table 1 row → ODinW35=26.0)：GLIP-L SOTA on ODinW35 [Grounded VLM]</t>
        </is>
      </c>
      <c r="L4" s="8" t="inlineStr">
        <is>
          <t>https://arxiv.org/abs/2112.03857</t>
        </is>
      </c>
      <c r="M4" s="8" t="inlineStr">
        <is>
          <t>https://github.com/microsoft/GLIP</t>
        </is>
      </c>
    </row>
    <row r="5" ht="48" customHeight="1">
      <c r="A5" s="5" t="inlineStr">
        <is>
          <t>Few-Shot OD</t>
        </is>
      </c>
      <c r="B5" s="5" t="inlineStr">
        <is>
          <t>DINO-X</t>
        </is>
      </c>
      <c r="C5" s="5" t="inlineStr">
        <is>
          <t>IDEA</t>
        </is>
      </c>
      <c r="D5" s="5" t="inlineStr">
        <is>
          <t>arXiv</t>
        </is>
      </c>
      <c r="E5" s="5" t="inlineStr">
        <is>
          <t>2024-11</t>
        </is>
      </c>
      <c r="F5" s="5" t="inlineStr">
        <is>
          <t>Preprint</t>
        </is>
      </c>
      <c r="G5" s="5" t="inlineStr">
        <is>
          <t>N/A</t>
        </is>
      </c>
      <c r="H5" s="5" t="inlineStr">
        <is>
          <t>ODinW-35 To verify</t>
        </is>
      </c>
      <c r="I5" s="5" t="inlineStr">
        <is>
          <t>N/A</t>
        </is>
      </c>
      <c r="J5" s="5" t="inlineStr">
        <is>
          <t>N/A</t>
        </is>
      </c>
      <c r="K5" s="5" t="inlineStr">
        <is>
          <t>⚠️ DINO-X paper does not report ODinW-35 (only COCO + LVIS)</t>
        </is>
      </c>
      <c r="L5" s="8" t="inlineStr">
        <is>
          <t>https://arxiv.org/abs/2411.14347</t>
        </is>
      </c>
      <c r="M5" s="8" t="inlineStr">
        <is>
          <t>https://github.com/IDEA-Research/DINO-X-API</t>
        </is>
      </c>
    </row>
    <row r="6" ht="48" customHeight="1">
      <c r="A6" s="5" t="inlineStr">
        <is>
          <t>Few-Shot OD</t>
        </is>
      </c>
      <c r="B6" s="5" t="inlineStr">
        <is>
          <t>OWLv2</t>
        </is>
      </c>
      <c r="C6" s="5" t="inlineStr">
        <is>
          <t>Minderer et al.</t>
        </is>
      </c>
      <c r="D6" s="5" t="inlineStr">
        <is>
          <t>NeurIPS</t>
        </is>
      </c>
      <c r="E6" s="5" t="inlineStr">
        <is>
          <t>2023-12</t>
        </is>
      </c>
      <c r="F6" s="5" t="inlineStr">
        <is>
          <t>Published</t>
        </is>
      </c>
      <c r="G6" s="5" t="inlineStr">
        <is>
          <t>N/A</t>
        </is>
      </c>
      <c r="H6" s="5" t="inlineStr">
        <is>
          <t>ODinW-35 To verify</t>
        </is>
      </c>
      <c r="I6" s="5" t="inlineStr">
        <is>
          <t>N/A</t>
        </is>
      </c>
      <c r="J6" s="5" t="inlineStr">
        <is>
          <t>N/A</t>
        </is>
      </c>
      <c r="K6" s="5" t="inlineStr">
        <is>
          <t>⚠️ OWLv2 (Minderer et al. NeurIPS23) Table 1 reports only ODinW-13 (50.1 best variant). ODinW-35 not in OWLv2 main results</t>
        </is>
      </c>
      <c r="L6" s="8" t="inlineStr">
        <is>
          <t>https://arxiv.org/abs/2306.09683</t>
        </is>
      </c>
      <c r="M6" s="8" t="inlineStr">
        <is>
          <t>https://github.com/google-research/scenic/tree/main/scenic/projects/owl_vit</t>
        </is>
      </c>
    </row>
    <row r="7" ht="48" customHeight="1">
      <c r="A7" s="5" t="inlineStr">
        <is>
          <t>Few-Shot OD</t>
        </is>
      </c>
      <c r="B7" s="5" t="inlineStr">
        <is>
          <t>YOLO-World</t>
        </is>
      </c>
      <c r="C7" s="5" t="inlineStr">
        <is>
          <t>Cheng et al.</t>
        </is>
      </c>
      <c r="D7" s="5" t="inlineStr">
        <is>
          <t>CVPR</t>
        </is>
      </c>
      <c r="E7" s="5" t="inlineStr">
        <is>
          <t>2024-06</t>
        </is>
      </c>
      <c r="F7" s="5" t="inlineStr">
        <is>
          <t>Published</t>
        </is>
      </c>
      <c r="G7" s="5" t="inlineStr">
        <is>
          <t>N/A</t>
        </is>
      </c>
      <c r="H7" s="5" t="inlineStr">
        <is>
          <t>ODinW-35 To verify</t>
        </is>
      </c>
      <c r="I7" s="5" t="inlineStr">
        <is>
          <t>T4 fast</t>
        </is>
      </c>
      <c r="J7" s="5" t="inlineStr">
        <is>
          <t>N/A</t>
        </is>
      </c>
      <c r="K7" s="5" t="inlineStr">
        <is>
          <t>⚠️ YOLO-World (CVPR24) Table 5 reports LVIS only. ODinW-35 not in main results</t>
        </is>
      </c>
      <c r="L7" s="8" t="inlineStr">
        <is>
          <t>https://arxiv.org/abs/2401.17270</t>
        </is>
      </c>
      <c r="M7" s="8" t="inlineStr">
        <is>
          <t>https://github.com/AILab-CVC/YOLO-World</t>
        </is>
      </c>
    </row>
    <row r="8" ht="48" customHeight="1">
      <c r="A8" s="5" t="inlineStr">
        <is>
          <t>Few-Shot OD</t>
        </is>
      </c>
      <c r="B8" s="5" t="inlineStr">
        <is>
          <t>Detic</t>
        </is>
      </c>
      <c r="C8" s="5" t="inlineStr">
        <is>
          <t>Zhou et al.</t>
        </is>
      </c>
      <c r="D8" s="5" t="inlineStr">
        <is>
          <t>ECCV</t>
        </is>
      </c>
      <c r="E8" s="5" t="inlineStr">
        <is>
          <t>2022-10</t>
        </is>
      </c>
      <c r="F8" s="5" t="inlineStr">
        <is>
          <t>Published</t>
        </is>
      </c>
      <c r="G8" s="5" t="inlineStr">
        <is>
          <t>N/A</t>
        </is>
      </c>
      <c r="H8" s="5" t="inlineStr">
        <is>
          <t>ODinW-35 To verify</t>
        </is>
      </c>
      <c r="I8" s="5" t="inlineStr">
        <is>
          <t>N/A</t>
        </is>
      </c>
      <c r="J8" s="5" t="inlineStr">
        <is>
          <t>N/A</t>
        </is>
      </c>
      <c r="K8" s="5" t="inlineStr">
        <is>
          <t>⚠️ Detic (ECCV22) Table 4 reports open-vocab COCO + LVIS. ODinW-35 not in main results</t>
        </is>
      </c>
      <c r="L8" s="8" t="inlineStr">
        <is>
          <t>https://arxiv.org/abs/2201.02605</t>
        </is>
      </c>
      <c r="M8" s="8" t="inlineStr">
        <is>
          <t>https://github.com/facebookresearch/Detic</t>
        </is>
      </c>
    </row>
    <row r="9" ht="48" customHeight="1">
      <c r="A9" s="5" t="inlineStr">
        <is>
          <t>Few-Shot OD</t>
        </is>
      </c>
      <c r="B9" s="5" t="inlineStr">
        <is>
          <t>OWL-ViT</t>
        </is>
      </c>
      <c r="C9" s="5" t="inlineStr">
        <is>
          <t>Minderer et al.</t>
        </is>
      </c>
      <c r="D9" s="5" t="inlineStr">
        <is>
          <t>ECCV</t>
        </is>
      </c>
      <c r="E9" s="5" t="inlineStr">
        <is>
          <t>2022-09</t>
        </is>
      </c>
      <c r="F9" s="5" t="inlineStr">
        <is>
          <t>Published</t>
        </is>
      </c>
      <c r="G9" s="5" t="inlineStr">
        <is>
          <t>N/A</t>
        </is>
      </c>
      <c r="H9" s="5" t="inlineStr">
        <is>
          <t>ODinW-35 To verify</t>
        </is>
      </c>
      <c r="I9" s="5" t="inlineStr">
        <is>
          <t>N/A</t>
        </is>
      </c>
      <c r="J9" s="5" t="inlineStr">
        <is>
          <t>N/A</t>
        </is>
      </c>
      <c r="K9" s="5" t="inlineStr">
        <is>
          <t>⚠️ OWL-ViT (Minderer et al. ECCV22) — original paper does not directly report ODinW-35 (later cited in OWLv2 Table 1 as ODinW-13=48.4 only)</t>
        </is>
      </c>
      <c r="L9" s="8" t="inlineStr">
        <is>
          <t>https://arxiv.org/abs/2205.06230</t>
        </is>
      </c>
      <c r="M9" s="8" t="inlineStr">
        <is>
          <t>https://github.com/google-research/scenic/tree/main/scenic/projects/owl_vit</t>
        </is>
      </c>
    </row>
    <row r="10" ht="48" customHeight="1">
      <c r="A10" s="5" t="inlineStr">
        <is>
          <t>Few-Shot OD</t>
        </is>
      </c>
      <c r="B10" s="5" t="inlineStr">
        <is>
          <t>UniDetector</t>
        </is>
      </c>
      <c r="C10" s="5" t="inlineStr">
        <is>
          <t>Wang et al.</t>
        </is>
      </c>
      <c r="D10" s="5" t="inlineStr">
        <is>
          <t>CVPR</t>
        </is>
      </c>
      <c r="E10" s="5" t="inlineStr">
        <is>
          <t>2023-06</t>
        </is>
      </c>
      <c r="F10" s="5" t="inlineStr">
        <is>
          <t>Published</t>
        </is>
      </c>
      <c r="G10" s="5" t="n">
        <v>47.3</v>
      </c>
      <c r="H10" s="5" t="inlineStr">
        <is>
          <t>AP 47.3 ODinW13 avg</t>
        </is>
      </c>
      <c r="I10" s="5" t="inlineStr">
        <is>
          <t>N/A</t>
        </is>
      </c>
      <c r="J10" s="5" t="inlineStr">
        <is>
          <t>N/A</t>
        </is>
      </c>
      <c r="K10" s="5" t="inlineStr">
        <is>
          <t>✅ 已驗證 (UniDetector CVPR23 Table 3)：UniDetector 47.3 avg ODinW (13-dataset zero-shot) [Universal OD]</t>
        </is>
      </c>
      <c r="L10" s="8" t="inlineStr">
        <is>
          <t>https://arxiv.org/abs/2303.11749</t>
        </is>
      </c>
      <c r="M10" s="8" t="inlineStr">
        <is>
          <t>https://github.com/zhenyuw16/UniDetector</t>
        </is>
      </c>
    </row>
    <row r="11" ht="48" customHeight="1">
      <c r="A11" s="5" t="inlineStr">
        <is>
          <t>Few-Shot OD</t>
        </is>
      </c>
      <c r="B11" s="5" t="inlineStr">
        <is>
          <t>RegionCLIP</t>
        </is>
      </c>
      <c r="C11" s="5" t="inlineStr">
        <is>
          <t>Zhong et al.</t>
        </is>
      </c>
      <c r="D11" s="5" t="inlineStr">
        <is>
          <t>CVPR</t>
        </is>
      </c>
      <c r="E11" s="5" t="inlineStr">
        <is>
          <t>2022-06</t>
        </is>
      </c>
      <c r="F11" s="5" t="inlineStr">
        <is>
          <t>Published</t>
        </is>
      </c>
      <c r="G11" s="5" t="inlineStr">
        <is>
          <t>N/A</t>
        </is>
      </c>
      <c r="H11" s="5" t="inlineStr">
        <is>
          <t>ODinW-35 To verify</t>
        </is>
      </c>
      <c r="I11" s="5" t="inlineStr">
        <is>
          <t>N/A</t>
        </is>
      </c>
      <c r="J11" s="5" t="inlineStr">
        <is>
          <t>N/A</t>
        </is>
      </c>
      <c r="K11" s="5" t="inlineStr">
        <is>
          <t>⚠️ RegionCLIP paper does not report ODinW</t>
        </is>
      </c>
      <c r="L11" s="8" t="inlineStr">
        <is>
          <t>https://arxiv.org/abs/2112.09106</t>
        </is>
      </c>
      <c r="M11" s="8" t="inlineStr">
        <is>
          <t>https://github.com/microsoft/RegionCLIP</t>
        </is>
      </c>
    </row>
    <row r="12" ht="48" customHeight="1">
      <c r="A12" s="5" t="inlineStr">
        <is>
          <t>Few-Shot OD</t>
        </is>
      </c>
      <c r="B12" s="5" t="inlineStr">
        <is>
          <t>MM-Grounding-DINO</t>
        </is>
      </c>
      <c r="C12" s="5" t="inlineStr">
        <is>
          <t>Various</t>
        </is>
      </c>
      <c r="D12" s="5" t="inlineStr">
        <is>
          <t>arXiv</t>
        </is>
      </c>
      <c r="E12" s="5" t="inlineStr">
        <is>
          <t>2024-04</t>
        </is>
      </c>
      <c r="F12" s="5" t="inlineStr">
        <is>
          <t>Preprint</t>
        </is>
      </c>
      <c r="G12" s="5" t="inlineStr">
        <is>
          <t>N/A</t>
        </is>
      </c>
      <c r="H12" s="5" t="inlineStr">
        <is>
          <t>ODinW-35 To verify</t>
        </is>
      </c>
      <c r="I12" s="5" t="inlineStr">
        <is>
          <t>N/A</t>
        </is>
      </c>
      <c r="J12" s="5" t="inlineStr">
        <is>
          <t>N/A</t>
        </is>
      </c>
      <c r="K12" s="5" t="inlineStr">
        <is>
          <t>⚠️ MM-Grounding-DINO arxiv ID 2404.00000 in sheet is a placeholder (not a real arxiv ID). Need correct paper reference</t>
        </is>
      </c>
      <c r="L12" s="8" t="inlineStr">
        <is>
          <t>https://arxiv.org/abs/2404.00000</t>
        </is>
      </c>
      <c r="M12" s="8" t="inlineStr">
        <is>
          <t>https://github.com/open-mmlab/mmdetection</t>
        </is>
      </c>
    </row>
    <row r="13">
      <c r="A13" s="5" t="inlineStr">
        <is>
          <t>Few-Shot OD</t>
        </is>
      </c>
      <c r="B13" s="5" t="inlineStr">
        <is>
          <t>NTIRE 2025 CD-FSOD top method</t>
        </is>
      </c>
      <c r="C13" s="5" t="inlineStr">
        <is>
          <t>Various teams</t>
        </is>
      </c>
      <c r="D13" s="5" t="inlineStr">
        <is>
          <t>CVPR Workshop</t>
        </is>
      </c>
      <c r="E13" s="5" t="inlineStr">
        <is>
          <t>2025-06</t>
        </is>
      </c>
      <c r="F13" s="5" t="inlineStr">
        <is>
          <t>Preprint</t>
        </is>
      </c>
      <c r="G13" s="5" t="n"/>
      <c r="H13" s="5" t="n"/>
      <c r="I13" s="5" t="n"/>
      <c r="J13" s="5" t="n"/>
      <c r="K13" s="5" t="inlineStr">
        <is>
          <t>⚠️ NTIRE 2025 CD-FSOD top method original paper does not clearly report ODinW-35 avg AP (most open-vocab papers only report ODinW-13 in cross-comparison tables); needs per-paper PDF read</t>
        </is>
      </c>
      <c r="L13" s="8" t="inlineStr">
        <is>
          <t>https://arxiv.org/abs/2504.10685</t>
        </is>
      </c>
      <c r="M13" s="8" t="inlineStr">
        <is>
          <t>https://github.com/lovelyqian/NTIRE2025_CDFSOD</t>
        </is>
      </c>
    </row>
    <row r="14">
      <c r="A14" s="5" t="inlineStr">
        <is>
          <t>General OD</t>
        </is>
      </c>
      <c r="B14" s="5" t="inlineStr">
        <is>
          <t>Search and Detect</t>
        </is>
      </c>
      <c r="C14" s="5" t="inlineStr">
        <is>
          <t>—</t>
        </is>
      </c>
      <c r="D14" s="5" t="inlineStr">
        <is>
          <t>CVPR 2025</t>
        </is>
      </c>
      <c r="E14" s="5" t="inlineStr">
        <is>
          <t>2025-06</t>
        </is>
      </c>
      <c r="F14" s="5" t="inlineStr">
        <is>
          <t>Preprint</t>
        </is>
      </c>
      <c r="G14" s="5" t="n"/>
      <c r="H14" s="5" t="n"/>
      <c r="I14" s="5" t="n"/>
      <c r="J14" s="5" t="n"/>
      <c r="K14" s="5" t="inlineStr">
        <is>
          <t>⚠️ Search and Detect original paper does not clearly report ODinW-35 avg AP (most open-vocab papers only report ODinW-13 in cross-comparison tables); needs per-paper PDF read</t>
        </is>
      </c>
      <c r="L14" s="8" t="inlineStr">
        <is>
          <t>https://openaccess.thecvf.com/content/CVPR2025/html/Sidhu_Search_and_Detect_Training-Free_Long_Tail_Object_Detection_via_Web-Image_CVPR_2025_paper.html</t>
        </is>
      </c>
      <c r="M14" s="8" t="inlineStr">
        <is>
          <t>N/A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L4"/>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Open-World OD</t>
        </is>
      </c>
      <c r="B2" t="inlineStr">
        <is>
          <t>OW-OVD</t>
        </is>
      </c>
      <c r="D2" t="inlineStr">
        <is>
          <t>CVPR 2025</t>
        </is>
      </c>
      <c r="E2" t="inlineStr">
        <is>
          <t>2025-06</t>
        </is>
      </c>
      <c r="F2" t="inlineStr">
        <is>
          <t>已發表</t>
        </is>
      </c>
      <c r="G2" t="n">
        <v>50</v>
      </c>
      <c r="H2" t="inlineStr">
        <is>
          <t>U-Recall=50.0 | mAP=69.4</t>
        </is>
      </c>
      <c r="K2" t="inlineStr">
        <is>
          <t>✅ verified (OW-OVD CVPR25 Table 1 (M-OWODB Task1)): M-OWODB Task1 U-Recall=50.0 / known-mAP=69.4。指標=U-Recall(未知類召回)+mAP(已知類)</t>
        </is>
      </c>
      <c r="L2" t="inlineStr">
        <is>
          <t>https://openaccess.thecvf.com/content/CVPR2025/html/Xi_OW-OVD_Unified_Open_World_and_Open_Vocabulary_Object_Detection_CVPR_2025_paper.html</t>
        </is>
      </c>
    </row>
    <row r="3">
      <c r="A3" t="inlineStr">
        <is>
          <t>Open-World OD</t>
        </is>
      </c>
      <c r="B3" t="inlineStr">
        <is>
          <t>OWOBJ (MEPU-FS+OWOBJ)</t>
        </is>
      </c>
      <c r="D3" t="inlineStr">
        <is>
          <t>CVPR 2025</t>
        </is>
      </c>
      <c r="E3" t="inlineStr">
        <is>
          <t>2025-06</t>
        </is>
      </c>
      <c r="F3" t="inlineStr">
        <is>
          <t>已發表</t>
        </is>
      </c>
      <c r="G3" t="n">
        <v>39.7</v>
      </c>
      <c r="H3" t="inlineStr">
        <is>
          <t>U-Recall=39.7 | mAP=77.4</t>
        </is>
      </c>
      <c r="K3" t="inlineStr">
        <is>
          <t>✅ verified (Open-World Objectness CVPR25 Table 1 (M-OWODB Task1, MEPU-FS+OWOBJ best)): M-OWODB Task1 U-Recall=39.7 / known-mAP=77.4。指標=U-Recall(未知類召回)+mAP(已知類)</t>
        </is>
      </c>
      <c r="L3" t="inlineStr">
        <is>
          <t>https://arxiv.org/abs/2503.20061</t>
        </is>
      </c>
    </row>
    <row r="4">
      <c r="A4" t="inlineStr">
        <is>
          <t>Open-World OD</t>
        </is>
      </c>
      <c r="B4" t="inlineStr">
        <is>
          <t>Decoupled PROB</t>
        </is>
      </c>
      <c r="D4" t="inlineStr">
        <is>
          <t>WACV 2025</t>
        </is>
      </c>
      <c r="E4" t="inlineStr">
        <is>
          <t>2025-02</t>
        </is>
      </c>
      <c r="F4" t="inlineStr">
        <is>
          <t>已發表</t>
        </is>
      </c>
      <c r="G4" t="n">
        <v>20.3</v>
      </c>
      <c r="H4" t="inlineStr">
        <is>
          <t>U-Recall=20.3 | mAP=59.8</t>
        </is>
      </c>
      <c r="K4" t="inlineStr">
        <is>
          <t>✅ verified (Decoupled PROB WACV25 Table 4 (M-OWODB Task1)): M-OWODB Task1 U-Recall=20.3 / known-mAP=59.8。指標=U-Recall(未知類召回)+mAP(已知類)</t>
        </is>
      </c>
      <c r="L4" t="inlineStr">
        <is>
          <t>https://openaccess.thecvf.com/content/WACV2025/html/Inoue_Decoupled_PROB_Decoupled_Query_Initialization_Tasks_and_Objectness-Class_Learning_for_WACV_2025_paper.html</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s>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L41"/>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3D / BEV OD</t>
        </is>
      </c>
      <c r="B2" t="inlineStr">
        <is>
          <t>ViKIENet</t>
        </is>
      </c>
      <c r="F2" t="inlineStr">
        <is>
          <t>✅ Standard verified</t>
        </is>
      </c>
      <c r="G2" t="n">
        <v>88.48999999999999</v>
      </c>
      <c r="H2" t="inlineStr">
        <is>
          <t>KITTI_Car_3D_Mod=88.49 | BEV_Mod=93.73</t>
        </is>
      </c>
      <c r="K2" t="inlineStr">
        <is>
          <t>✅ Standard verified (KITTI Car (Table, header Easy/Mod/Hard): 3D Mod 88.49)</t>
        </is>
      </c>
      <c r="L2" t="inlineStr">
        <is>
          <t>https://openaccess.thecvf.com/content/CVPR2025/html/Yu_ViKIENet_Towards_Efficient_3D_Object_Detection_with_Virtual_Key_Instance_CVPR_2025_paper.html</t>
        </is>
      </c>
    </row>
    <row r="3">
      <c r="A3" t="inlineStr">
        <is>
          <t>3D / BEV OD</t>
        </is>
      </c>
      <c r="B3" t="inlineStr">
        <is>
          <t>EVT</t>
        </is>
      </c>
      <c r="F3" t="inlineStr">
        <is>
          <t>✅ Standard verified</t>
        </is>
      </c>
      <c r="G3" t="n">
        <v>72.09999999999999</v>
      </c>
      <c r="H3" t="inlineStr">
        <is>
          <t>NDS_test=72.1 | mAP_test=67.7 | NDS_val=71.7</t>
        </is>
      </c>
      <c r="K3" t="inlineStr">
        <is>
          <t>✅ Standard verified (nuScenes LiDAR (Table, header NDS/mAP): NDS test 72.1)</t>
        </is>
      </c>
      <c r="L3" t="inlineStr">
        <is>
          <t>https://openaccess.thecvf.com/content/ICCV2025/html/Lee_EVT_Efficient_View_Transformation_for_Multi-Modal_3D_Object_Detection_ICCV_2025_paper.html</t>
        </is>
      </c>
    </row>
    <row r="4">
      <c r="A4" t="inlineStr">
        <is>
          <t>3D / BEV OD</t>
        </is>
      </c>
      <c r="B4" t="inlineStr">
        <is>
          <t>CCF</t>
        </is>
      </c>
      <c r="F4" t="inlineStr">
        <is>
          <t>✅ Standard verified</t>
        </is>
      </c>
      <c r="G4" t="n">
        <v>68.2</v>
      </c>
      <c r="H4" t="inlineStr">
        <is>
          <t>NDS=68.2 | mAP=65.9</t>
        </is>
      </c>
      <c r="K4" t="inlineStr">
        <is>
          <t>✅ Standard verified (nuScenes (Table): NDS 68.2 / mAP 65.9 (L+C))</t>
        </is>
      </c>
      <c r="L4" t="inlineStr">
        <is>
          <t>https://openaccess.thecvf.com/content/CVPR2026/html/Wu_CCF_Complementary_Collaborative_Fusion_for_Domain_Generalized_Multi-Modal_3D_Object_CVPR_2026_paper.html</t>
        </is>
      </c>
    </row>
    <row r="5">
      <c r="A5" t="inlineStr">
        <is>
          <t>3D / BEV OD</t>
        </is>
      </c>
      <c r="B5" t="inlineStr">
        <is>
          <t>RaCFormer</t>
        </is>
      </c>
      <c r="F5" t="inlineStr">
        <is>
          <t>✅ Standard verified</t>
        </is>
      </c>
      <c r="G5" t="n">
        <v>61.3</v>
      </c>
      <c r="H5" t="inlineStr">
        <is>
          <t>NDS=61.3 | mAP=54.1</t>
        </is>
      </c>
      <c r="K5" t="inlineStr">
        <is>
          <t>✅ Standard verified (nuScenes BEV (Table, header NDS/mAP): NDS 61.3 / mAP 54.1 (C+R,R50))</t>
        </is>
      </c>
      <c r="L5" t="inlineStr">
        <is>
          <t>https://openaccess.thecvf.com/content/CVPR2025/html/Chu_RaCFormer_Towards_High-Quality_3D_Object_Detection_via_Query-based_Radar-Camera_Fusion_CVPR_2025_paper.html</t>
        </is>
      </c>
    </row>
    <row r="6">
      <c r="A6" t="inlineStr">
        <is>
          <t>3D / BEV OD</t>
        </is>
      </c>
      <c r="B6" t="inlineStr">
        <is>
          <t>MVAT</t>
        </is>
      </c>
      <c r="F6" t="inlineStr">
        <is>
          <t>✅ Standard verified</t>
        </is>
      </c>
      <c r="G6" t="n">
        <v>56.4</v>
      </c>
      <c r="H6" t="inlineStr">
        <is>
          <t>SPNDS=56.4 | mAP=54.1</t>
        </is>
      </c>
      <c r="K6" t="inlineStr">
        <is>
          <t>✅ Standard verified (nuScenes auto-label (Table, header mAP/SPNDS): SPNDS 56.4)</t>
        </is>
      </c>
      <c r="L6" t="inlineStr">
        <is>
          <t>https://openaccess.thecvf.com/content/WACV2026/html/Lahlali_MVAT_Multi-View_Aware_Teacher_for_Weakly_Supervised_3D_Object_Detection_WACV_2026_paper.html</t>
        </is>
      </c>
    </row>
    <row r="7">
      <c r="A7" t="inlineStr">
        <is>
          <t>3D / BEV OD</t>
        </is>
      </c>
      <c r="B7" t="inlineStr">
        <is>
          <t>ForeSight</t>
        </is>
      </c>
      <c r="F7" t="inlineStr">
        <is>
          <t>✅ Standard verified</t>
        </is>
      </c>
      <c r="G7" t="n">
        <v>56</v>
      </c>
      <c r="H7" t="inlineStr">
        <is>
          <t>NDS=0.560 | mAP=0.466</t>
        </is>
      </c>
      <c r="K7" t="inlineStr">
        <is>
          <t>✅ Standard verified (nuScenes BEV (Table): NDS 0.560 / mAP 0.466 (R50))</t>
        </is>
      </c>
      <c r="L7" t="inlineStr">
        <is>
          <t>https://openaccess.thecvf.com/content/ICCV2025/html/Papais_ForeSight_Multi-View_Streaming_Joint_Object_Detection_and_Trajectory_Forecasting_ICCV_2025_paper.html</t>
        </is>
      </c>
    </row>
    <row r="8">
      <c r="A8" t="inlineStr">
        <is>
          <t>3D / BEV OD</t>
        </is>
      </c>
      <c r="B8" t="inlineStr">
        <is>
          <t>R4Det</t>
        </is>
      </c>
      <c r="F8" t="inlineStr">
        <is>
          <t>✅ Standard verified</t>
        </is>
      </c>
      <c r="G8" t="n">
        <v>55.59</v>
      </c>
      <c r="H8" t="inlineStr">
        <is>
          <t>mAP=55.59 | Car=41.98 | Ped=48.15 | Cyc=76.64</t>
        </is>
      </c>
      <c r="K8" t="inlineStr">
        <is>
          <t>✅ Standard verified (KITTI radar (Table, header Car/Ped/Cyc/mAP): mAP 55.59)</t>
        </is>
      </c>
      <c r="L8" t="inlineStr">
        <is>
          <t>https://openaccess.thecvf.com/content/CVPR2026/html/Xia_R4Det_4D_Radar-Camera_Fusion_for_High-Performance_3D_Object_Detection_CVPR_2026_paper.html</t>
        </is>
      </c>
    </row>
    <row r="9">
      <c r="A9" t="inlineStr">
        <is>
          <t>3D / BEV OD</t>
        </is>
      </c>
      <c r="B9" t="inlineStr">
        <is>
          <t>FreqPDE</t>
        </is>
      </c>
      <c r="F9" t="inlineStr">
        <is>
          <t>✅ Standard verified</t>
        </is>
      </c>
      <c r="G9" t="n">
        <v>54.3</v>
      </c>
      <c r="H9" t="inlineStr">
        <is>
          <t>NDS=54.3 | mAP=43.5</t>
        </is>
      </c>
      <c r="K9" t="inlineStr">
        <is>
          <t>✅ Standard verified (nuScenes BEV (Table, header NDS/mAP): NDS 54.3 / mAP 43.5)</t>
        </is>
      </c>
      <c r="L9" t="inlineStr">
        <is>
          <t>https://openaccess.thecvf.com/content/ICCV2025/html/Su_FreqPDE_Rethinking_Positional_Depth_Embedding_for_Multi-View_3D_Object_Detection_ICCV_2025_paper.html</t>
        </is>
      </c>
    </row>
    <row r="10">
      <c r="A10" t="inlineStr">
        <is>
          <t>3D / BEV OD</t>
        </is>
      </c>
      <c r="B10" t="inlineStr">
        <is>
          <t>CoIn3D</t>
        </is>
      </c>
      <c r="F10" t="inlineStr">
        <is>
          <t>✅ Standard verified</t>
        </is>
      </c>
      <c r="G10" t="n">
        <v>51.3</v>
      </c>
      <c r="H10" t="inlineStr">
        <is>
          <t>NDS*=51.3 | mAP=38.1</t>
        </is>
      </c>
      <c r="K10" t="inlineStr">
        <is>
          <t>✅ Standard verified (nuScenes (Table, header mAP/NDS*): NDS* 51.3 / mAP 38.1)</t>
        </is>
      </c>
      <c r="L10" t="inlineStr">
        <is>
          <t>https://openaccess.thecvf.com/content/CVPR2026/html/Kuang_CoIn3D_Revisiting_Configuration-Invariant_Multi-Camera_3D_Object_Detection_CVPR_2026_paper.html</t>
        </is>
      </c>
    </row>
    <row r="11">
      <c r="A11" t="inlineStr">
        <is>
          <t>3D / BEV OD</t>
        </is>
      </c>
      <c r="B11" t="inlineStr">
        <is>
          <t>ALPI</t>
        </is>
      </c>
      <c r="F11" t="inlineStr">
        <is>
          <t>✅ Standard verified</t>
        </is>
      </c>
      <c r="G11" t="n">
        <v>50.97</v>
      </c>
      <c r="H11" t="inlineStr">
        <is>
          <t>KITTI_3D_Mod=50.97 (weakly-sup)</t>
        </is>
      </c>
      <c r="K11" t="inlineStr">
        <is>
          <t>✅ Standard verified (KITTI weakly-sup (Table): 3D Mod 50.97)</t>
        </is>
      </c>
      <c r="L11" t="inlineStr">
        <is>
          <t>https://openaccess.thecvf.com/content/WACV2025/html/Lahlali_ALPI_Auto-Labeller_with_Proxy_Injection_for_3D_Object_Detection_using_WACV_2025_paper.html</t>
        </is>
      </c>
    </row>
    <row r="12">
      <c r="A12" t="inlineStr">
        <is>
          <t>3D / BEV OD</t>
        </is>
      </c>
      <c r="B12" t="inlineStr">
        <is>
          <t>SP3D</t>
        </is>
      </c>
      <c r="F12" t="inlineStr">
        <is>
          <t>✅ Standard verified</t>
        </is>
      </c>
      <c r="G12" t="n">
        <v>48.65</v>
      </c>
      <c r="H12" t="inlineStr">
        <is>
          <t>KITTI_3D_Mod=48.65 | BEV_Mod=76.36</t>
        </is>
      </c>
      <c r="K12" t="inlineStr">
        <is>
          <t>✅ Standard verified (KITTI semi-sup (Table): 3D Mod 48.65)</t>
        </is>
      </c>
      <c r="L12" t="inlineStr">
        <is>
          <t>https://openaccess.thecvf.com/content/CVPR2025/html/Zhao_SP3D_Boosting_Sparsely-Supervised_3D_Object_Detection_via_Accurate_Cross-Modal_Semantic_CVPR_2025_paper.html</t>
        </is>
      </c>
    </row>
    <row r="13">
      <c r="A13" t="inlineStr">
        <is>
          <t>3D / BEV OD</t>
        </is>
      </c>
      <c r="B13" t="inlineStr">
        <is>
          <t>RaGS</t>
        </is>
      </c>
      <c r="F13" t="inlineStr">
        <is>
          <t>✅ Standard verified</t>
        </is>
      </c>
      <c r="G13" t="n">
        <v>41.95</v>
      </c>
      <c r="H13" t="inlineStr">
        <is>
          <t>mAP3D=41.95 | mAPBEV=51.04</t>
        </is>
      </c>
      <c r="K13" t="inlineStr">
        <is>
          <t>✅ Standard verified (radar-camera (Table, header mAP3D/mAPBEV): mAP3D 41.95)</t>
        </is>
      </c>
      <c r="L13" t="inlineStr">
        <is>
          <t>https://openaccess.thecvf.com/content/CVPR2026/html/Bai_RaGS_Unleashing_3D_Gaussian_Splatting_from_4D_Radar_and_Monocular_CVPR_2026_paper.html</t>
        </is>
      </c>
    </row>
    <row r="14">
      <c r="A14" t="inlineStr">
        <is>
          <t>3D-BEV OD</t>
        </is>
      </c>
      <c r="B14" t="inlineStr">
        <is>
          <t>Cubify Anything (CuTR)</t>
        </is>
      </c>
      <c r="F14" t="inlineStr">
        <is>
          <t>已發表</t>
        </is>
      </c>
      <c r="G14" t="n">
        <v>40.9</v>
      </c>
      <c r="H14" t="inlineStr">
        <is>
          <t>CA-1M AP25=40.9 | CA-1M AP50=12.7</t>
        </is>
      </c>
      <c r="K14" t="inlineStr">
        <is>
          <t>✅ verified (Cubify Anything CVPR25 Table 2, visual read): CuTR RGB-D on CA-1M (室內 3D) AP25=40.9 / AP50=12.7</t>
        </is>
      </c>
      <c r="L14" t="inlineStr">
        <is>
          <t>https://openaccess.thecvf.com/content/CVPR2025/html/Lazarow_Cubify_Anything_Scaling_Indoor_3D_Object_Detection_CVPR_2025_paper.html</t>
        </is>
      </c>
    </row>
    <row r="15">
      <c r="A15" t="inlineStr">
        <is>
          <t>3D / BEV OD</t>
        </is>
      </c>
      <c r="B15" t="inlineStr">
        <is>
          <t>MonoDGP</t>
        </is>
      </c>
      <c r="F15" t="inlineStr">
        <is>
          <t>✅ Standard verified</t>
        </is>
      </c>
      <c r="G15" t="n">
        <v>25.23</v>
      </c>
      <c r="H15" t="inlineStr">
        <is>
          <t>KITTI_mono_Car_3D_Mod=25.23</t>
        </is>
      </c>
      <c r="K15" t="inlineStr">
        <is>
          <t>✅ Standard verified (KITTI mono (Table): Car 3D Mod 25.23)</t>
        </is>
      </c>
      <c r="L15" t="inlineStr">
        <is>
          <t>https://openaccess.thecvf.com/content/CVPR2025/html/Pu_MonoDGP_Monocular_3D_Object_Detection_with_Decoupled-Query_and_Geometry-Error_Priors_CVPR_2025_paper.html</t>
        </is>
      </c>
    </row>
    <row r="16">
      <c r="A16" t="inlineStr">
        <is>
          <t>3D / BEV OD</t>
        </is>
      </c>
      <c r="B16" t="inlineStr">
        <is>
          <t>MonoSAOD</t>
        </is>
      </c>
      <c r="F16" t="inlineStr">
        <is>
          <t>✅ Standard verified</t>
        </is>
      </c>
      <c r="G16" t="n">
        <v>15.6</v>
      </c>
      <c r="H16" t="inlineStr">
        <is>
          <t>KITTI_mono_3D_Mod=15.60 | Easy=21.28 | Hard=12.79</t>
        </is>
      </c>
      <c r="K16" t="inlineStr">
        <is>
          <t>✅ Standard verified (KITTI mono (Table, header Easy/Mod/Hard): 3D Mod 15.60)</t>
        </is>
      </c>
      <c r="L16" t="inlineStr">
        <is>
          <t>https://openaccess.thecvf.com/content/CVPR2026/html/Jung_MonoSAOD_Monocular_3D_Object_Detection_with_Sparsely_Annotated_Label_CVPR_2026_paper.html</t>
        </is>
      </c>
    </row>
    <row r="17">
      <c r="A17" t="inlineStr">
        <is>
          <t>3D / BEV OD</t>
        </is>
      </c>
      <c r="B17" t="inlineStr">
        <is>
          <t>SSMRadNet</t>
        </is>
      </c>
      <c r="F17" t="inlineStr">
        <is>
          <t>⏳ Pending verification</t>
        </is>
      </c>
      <c r="H17" t="inlineStr">
        <is>
          <t>SSMRadNet (Ours) ✓ ✓ – 32 AvgPool ✓ 78.60 86.77 88.02 86.81 97.10 1.67 0.314</t>
        </is>
      </c>
      <c r="K17" t="inlineStr">
        <is>
          <t>⏳ Pending — 3D detection on radar; Ours row: "SSMRadNet (Ours) ✓ ✓ – 32 AvgPool ✓ 78.60 86.77 88.02 86.81 97.10 1.67 0.314"; headline needs visual confirm</t>
        </is>
      </c>
      <c r="L17" t="inlineStr">
        <is>
          <t>https://openaccess.thecvf.com/content/WACV2026/html/Sen_SSMRadNet__A_Sample-wise_State-Space_Framework_for_Efficient_and_Ultra-Light_WACV_2026_paper.html</t>
        </is>
      </c>
    </row>
    <row r="18">
      <c r="A18" t="inlineStr">
        <is>
          <t>3D / BEV OD</t>
        </is>
      </c>
      <c r="B18" t="inlineStr">
        <is>
          <t>Spe-BEVHead</t>
        </is>
      </c>
      <c r="F18" t="inlineStr">
        <is>
          <t>⏳ Pending verification</t>
        </is>
      </c>
      <c r="H18" t="inlineStr"/>
      <c r="K18" t="inlineStr">
        <is>
          <t>⏳ Pending — 3D detection on nuScenes; Ours row: ""; headline needs visual confirm</t>
        </is>
      </c>
      <c r="L18" t="inlineStr">
        <is>
          <t>https://openaccess.thecvf.com/content/CVPR2026/html/Zhang_Spe-BEVHead_Rethinking_the_Detection_Head_Design_for_Birds-Eye-View_Object_Detection_CVPR_2026_paper.html</t>
        </is>
      </c>
    </row>
    <row r="19">
      <c r="A19" t="inlineStr">
        <is>
          <t>3D / BEV OD</t>
        </is>
      </c>
      <c r="B19" t="inlineStr">
        <is>
          <t>Mind the Gap</t>
        </is>
      </c>
      <c r="F19" t="inlineStr">
        <is>
          <t>⏳ Pending verification</t>
        </is>
      </c>
      <c r="H19" t="inlineStr"/>
      <c r="K19" t="inlineStr">
        <is>
          <t>⏳ Pending — 3D detection on nuScenes; Ours row: ""; headline needs visual confirm</t>
        </is>
      </c>
      <c r="L19" t="inlineStr">
        <is>
          <t>https://openaccess.thecvf.com/content/CVPR2026/html/Kennerley_Mind_the_Gap_Transferring_Labels_to_Align_Object_Detection_Datasets_CVPR_2026_paper.html</t>
        </is>
      </c>
    </row>
    <row r="20">
      <c r="A20" t="inlineStr">
        <is>
          <t>3D / BEV OD</t>
        </is>
      </c>
      <c r="B20" t="inlineStr">
        <is>
          <t>AIC3DOD</t>
        </is>
      </c>
      <c r="F20" t="inlineStr">
        <is>
          <t>⏳ Pending verification</t>
        </is>
      </c>
      <c r="H20" t="inlineStr"/>
      <c r="K20" t="inlineStr">
        <is>
          <t>⏳ Pending — 3D detection on ScanNet; Ours row: ""; headline needs visual confirm</t>
        </is>
      </c>
      <c r="L20" t="inlineStr">
        <is>
          <t>https://openaccess.thecvf.com/content/WACV2025/html/Cheng_AIC3DOD_Advancing_Indoor_Class-Incremental_3D_Object_Detection_with_Point_Transformer_WACV_2025_paper.html</t>
        </is>
      </c>
    </row>
    <row r="21">
      <c r="A21" t="inlineStr">
        <is>
          <t>3D / BEV OD</t>
        </is>
      </c>
      <c r="B21" t="inlineStr">
        <is>
          <t>VGGT-Det</t>
        </is>
      </c>
      <c r="F21" t="inlineStr">
        <is>
          <t>⏳ Pending verification</t>
        </is>
      </c>
      <c r="H21" t="inlineStr">
        <is>
          <t>w/ Ours 0.23 3.57 45.3</t>
        </is>
      </c>
      <c r="K21" t="inlineStr">
        <is>
          <t>⏳ Pending — 3D detection on ScanNet; Ours row: "w/ Ours 0.23 3.57 45.3"; headline needs visual confirm</t>
        </is>
      </c>
      <c r="L21" t="inlineStr">
        <is>
          <t>https://openaccess.thecvf.com/content/CVPR2026/html/Cao_VGGT-Det_Mining_VGGT_Internal_Priors_for_Sensor-Geometry-Free_Multi-View_Indoor_3D_CVPR_2026_paper.html</t>
        </is>
      </c>
    </row>
    <row r="22">
      <c r="A22" t="inlineStr">
        <is>
          <t>3D / BEV OD</t>
        </is>
      </c>
      <c r="B22" t="inlineStr">
        <is>
          <t>H^2A^2</t>
        </is>
      </c>
      <c r="F22" t="inlineStr">
        <is>
          <t>⏳ Pending verification</t>
        </is>
      </c>
      <c r="H22" t="inlineStr"/>
      <c r="K22" t="inlineStr">
        <is>
          <t>⏳ Pending — 3D detection on ScanNet/SUN-RGBD; Ours row: ""; headline needs visual confirm</t>
        </is>
      </c>
      <c r="L22" t="inlineStr">
        <is>
          <t>https://openaccess.thecvf.com/content/CVPR2026/html/Xie_H2A2_Homogeneity-Aware_and_Heterogeneity-Aware_Feature_Perception_for_Unified_Indoor_3D_CVPR_2026_paper.html</t>
        </is>
      </c>
    </row>
    <row r="23">
      <c r="A23" t="inlineStr">
        <is>
          <t>3D / BEV OD</t>
        </is>
      </c>
      <c r="B23" t="inlineStr">
        <is>
          <t>Zoo3D</t>
        </is>
      </c>
      <c r="F23" t="inlineStr">
        <is>
          <t>⏳ Pending verification</t>
        </is>
      </c>
      <c r="H23" t="inlineStr"/>
      <c r="K23" t="inlineStr">
        <is>
          <t>⏳ Pending — 3D detection on ScanNet open-vocab 3D; Ours row: ""; headline needs visual confirm</t>
        </is>
      </c>
      <c r="L23" t="inlineStr">
        <is>
          <t>https://openaccess.thecvf.com/content/CVPR2026/html/Lemeshko_Zoo3D_Zero-Shot_3D_Object_Detection_at_Scene_Level_CVPR_2026_paper.html</t>
        </is>
      </c>
    </row>
    <row r="24">
      <c r="A24" t="inlineStr">
        <is>
          <t>3D / BEV OD</t>
        </is>
      </c>
      <c r="B24" t="inlineStr">
        <is>
          <t>OV-SCAN</t>
        </is>
      </c>
      <c r="F24" t="inlineStr">
        <is>
          <t>⏳ Pending verification</t>
        </is>
      </c>
      <c r="H24" t="inlineStr"/>
      <c r="K24" t="inlineStr">
        <is>
          <t>⏳ Pending — 3D detection on nuScenes open-vocab 3D; Ours row: ""; headline needs visual confirm</t>
        </is>
      </c>
      <c r="L24" t="inlineStr">
        <is>
          <t>https://openaccess.thecvf.com/content/ICCV2025/html/Chow_OV-SCAN_Semantically_Consistent_Alignment_for_Novel_Object_Discovery_in_Open-Vocabulary_ICCV_2025_paper.html</t>
        </is>
      </c>
    </row>
    <row r="25">
      <c r="A25" t="inlineStr">
        <is>
          <t>3D / BEV OD</t>
        </is>
      </c>
      <c r="B25" t="inlineStr">
        <is>
          <t>Motal</t>
        </is>
      </c>
      <c r="F25" t="inlineStr">
        <is>
          <t>⏳ Pending verification</t>
        </is>
      </c>
      <c r="H25" t="inlineStr"/>
      <c r="K25" t="inlineStr">
        <is>
          <t>⏳ Pending — 3D detection on KITTI unsup; Ours row: ""; headline needs visual confirm</t>
        </is>
      </c>
      <c r="L25" t="inlineStr">
        <is>
          <t>https://openaccess.thecvf.com/content/ICCV2025/html/Wu_Motal_Unsupervised_3D_Object_Detection_by_Modality_and_Task-specific_Knowledge_ICCV_2025_paper.html</t>
        </is>
      </c>
    </row>
    <row r="26">
      <c r="A26" t="inlineStr">
        <is>
          <t>3D / BEV OD</t>
        </is>
      </c>
      <c r="B26" t="inlineStr">
        <is>
          <t>DA-Mamba</t>
        </is>
      </c>
      <c r="F26" t="inlineStr">
        <is>
          <t>⏳ Pending verification</t>
        </is>
      </c>
      <c r="H26" t="inlineStr">
        <is>
          <t>DA-Mamba (Ours) - 59.3 61.5 71.0 43.5 66.2 55.1 50.1 57.8 58.1</t>
        </is>
      </c>
      <c r="K26" t="inlineStr">
        <is>
          <t>⏳ Pending — 3D detection on KITTI domain-adapt; Ours row: "DA-Mamba (Ours) - 59.3 61.5 71.0 43.5 66.2 55.1 50.1 57.8 58.1"; headline needs visual confirm</t>
        </is>
      </c>
      <c r="L26" t="inlineStr">
        <is>
          <t>https://openaccess.thecvf.com/content/CVPR2026/html/Li_DA-Mamba_Learning_Domain-Aware_State_Space_Model_for_Global-Local_Alignment_in_CVPR_2026_paper.html</t>
        </is>
      </c>
    </row>
    <row r="27">
      <c r="A27" t="inlineStr">
        <is>
          <t>3D / BEV OD</t>
        </is>
      </c>
      <c r="B27" t="inlineStr">
        <is>
          <t>RICCARDO</t>
        </is>
      </c>
      <c r="F27" t="inlineStr">
        <is>
          <t>⏳ Pending verification</t>
        </is>
      </c>
      <c r="H27" t="inlineStr"/>
      <c r="K27" t="inlineStr">
        <is>
          <t>⏳ Pending — 3D detection on KITTI mono; Ours row: ""; headline needs visual confirm</t>
        </is>
      </c>
      <c r="L27" t="inlineStr">
        <is>
          <t>https://openaccess.thecvf.com/content/CVPR2025/html/Long_RICCARDO_Radar_Hit_Prediction_and_Convolution_for_Camera-Radar_3D_Object_CVPR_2025_paper.html</t>
        </is>
      </c>
    </row>
    <row r="28">
      <c r="A28" t="inlineStr">
        <is>
          <t>3D / BEV OD</t>
        </is>
      </c>
      <c r="B28" t="inlineStr">
        <is>
          <t>MonoTAKD</t>
        </is>
      </c>
      <c r="F28" t="inlineStr">
        <is>
          <t>⏳ Pending verification</t>
        </is>
      </c>
      <c r="H28" t="inlineStr"/>
      <c r="K28" t="inlineStr">
        <is>
          <t>⏳ Pending — 3D detection on KITTI mono; Ours row: ""; headline needs visual confirm</t>
        </is>
      </c>
      <c r="L28" t="inlineStr">
        <is>
          <t>https://openaccess.thecvf.com/content/CVPR2025/html/Liu_MonoTAKD_Teaching_Assistant_Knowledge_Distillation_for_Monocular_3D_Object_Detection_CVPR_2025_paper.html</t>
        </is>
      </c>
    </row>
    <row r="29">
      <c r="A29" t="inlineStr">
        <is>
          <t>3D / BEV OD</t>
        </is>
      </c>
      <c r="B29" t="inlineStr">
        <is>
          <t>RARE</t>
        </is>
      </c>
      <c r="F29" t="inlineStr">
        <is>
          <t>⏳ Pending verification</t>
        </is>
      </c>
      <c r="H29" t="inlineStr">
        <is>
          <t>Ours 0.8250.754 26.54 21.15 18.20</t>
        </is>
      </c>
      <c r="K29" t="inlineStr">
        <is>
          <t>⏳ Pending — 3D detection on nuScenes/KITTI; Ours row: "Ours 0.8250.754 26.54 21.15 18.20"; headline needs visual confirm</t>
        </is>
      </c>
      <c r="L29" t="inlineStr">
        <is>
          <t>https://openaccess.thecvf.com/content/CVPR2026/html/Park_RARE_Learn_to_RAnk_and_REtrieve_for_Monocular_3D_Object_CVPR_2026_paper.html</t>
        </is>
      </c>
    </row>
    <row r="30">
      <c r="A30" t="inlineStr">
        <is>
          <t>3D / BEV OD</t>
        </is>
      </c>
      <c r="B30" t="inlineStr">
        <is>
          <t>CD-Buffer</t>
        </is>
      </c>
      <c r="F30" t="inlineStr">
        <is>
          <t>⏳ Pending verification</t>
        </is>
      </c>
      <c r="H30" t="inlineStr">
        <is>
          <t>Ours 44.80 56.06 68.42 63.2271.40 73.03 18.39 21.79</t>
        </is>
      </c>
      <c r="K30" t="inlineStr">
        <is>
          <t>⏳ Pending — 3D detection on nuScenes/KITTI; Ours row: "Ours 44.80 56.06 68.42 63.2271.40 73.03 18.39 21.79"; headline needs visual confirm</t>
        </is>
      </c>
      <c r="L30" t="inlineStr">
        <is>
          <t>https://openaccess.thecvf.com/content/CVPR2026/html/Song_CD-Buffer_Complementary_Dual-Buffer_Framework_for_Test-Time_Adaptation_in_Adverse_Weather_CVPR_2026_paper.html</t>
        </is>
      </c>
    </row>
    <row r="31">
      <c r="A31" t="inlineStr">
        <is>
          <t>3D / BEV OD</t>
        </is>
      </c>
      <c r="B31" t="inlineStr">
        <is>
          <t>SToRe3D</t>
        </is>
      </c>
      <c r="F31" t="inlineStr">
        <is>
          <t>⏳ Pending verification</t>
        </is>
      </c>
      <c r="H31" t="inlineStr"/>
      <c r="K31" t="inlineStr">
        <is>
          <t>⏳ Pending — 3D detection on nuScenes; Ours row: ""; headline needs visual confirm</t>
        </is>
      </c>
      <c r="L31" t="inlineStr">
        <is>
          <t>https://openaccess.thecvf.com/content/CVPR2026/html/Papais_SToRe3D_Sparse_Token_Relevance_in_ViTs_for_Efficient_Multi-View_3D_CVPR_2026_paper.html</t>
        </is>
      </c>
    </row>
    <row r="32">
      <c r="A32" t="inlineStr">
        <is>
          <t>3D / BEV OD</t>
        </is>
      </c>
      <c r="B32" t="inlineStr">
        <is>
          <t>SemLT3D</t>
        </is>
      </c>
      <c r="F32" t="inlineStr">
        <is>
          <t>⏳ Pending verification</t>
        </is>
      </c>
      <c r="H32" t="inlineStr">
        <is>
          <t>Ours 29.59 40.94 0.6938 0.3335 0.6153 0.2524 0.4909 29.40</t>
        </is>
      </c>
      <c r="K32" t="inlineStr">
        <is>
          <t>⏳ Pending — 3D detection on nuScenes long-tail; Ours row: "Ours 29.59 40.94 0.6938 0.3335 0.6153 0.2524 0.4909 29.40"; headline needs visual confirm</t>
        </is>
      </c>
      <c r="L32" t="inlineStr">
        <is>
          <t>https://openaccess.thecvf.com/content/CVPR2026/html/Vo_SemLT3D_Semantic-Guided_Expert_Distillation_for_Camera-only_Long-Tailed_3D_Object_Detection_CVPR_2026_paper.html</t>
        </is>
      </c>
    </row>
    <row r="33">
      <c r="A33" t="inlineStr">
        <is>
          <t>3D / BEV OD</t>
        </is>
      </c>
      <c r="B33" t="inlineStr">
        <is>
          <t>SFMNet</t>
        </is>
      </c>
      <c r="F33" t="inlineStr">
        <is>
          <t>⏳ Pending verification</t>
        </is>
      </c>
      <c r="H33" t="inlineStr">
        <is>
          <t>SFMNet (ours) 81.8/79.8 75.7/73.8 80.5/80.0 72.6/72.2 85.0/80.6 77.4/73.2 79.9/7</t>
        </is>
      </c>
      <c r="K33" t="inlineStr">
        <is>
          <t>⏳ Pending — 3D detection on Waymo; Ours row: "SFMNet (ours) 81.8/79.8 75.7/73.8 80.5/80.0 72.6/72.2 85.0/80.6 77.4/73.2 79.9/7"; headline needs visual confirm</t>
        </is>
      </c>
      <c r="L33" t="inlineStr">
        <is>
          <t>https://openaccess.thecvf.com/content/WACV2026/html/Shrout_SFMNet_Sparse_Focal_Modulation_for_3D_Object_Detection_WACV_2026_paper.html</t>
        </is>
      </c>
    </row>
    <row r="34">
      <c r="A34" t="inlineStr">
        <is>
          <t>3D / BEV OD</t>
        </is>
      </c>
      <c r="B34" t="inlineStr">
        <is>
          <t>OpenM3D</t>
        </is>
      </c>
      <c r="F34" t="inlineStr">
        <is>
          <t>⏳ Pending verification</t>
        </is>
      </c>
      <c r="H34" t="inlineStr">
        <is>
          <t>Ours w/o MSR27.09 11.98 52.43 23.18 6.06 1.34 51.40 11.41</t>
        </is>
      </c>
      <c r="K34" t="inlineStr">
        <is>
          <t>⏳ Pending — 3D detection on ScanNet open-vocab 3D; Ours row: "Ours w/o MSR27.09 11.98 52.43 23.18 6.06 1.34 51.40 11.41"; headline needs visual confirm</t>
        </is>
      </c>
      <c r="L34" t="inlineStr">
        <is>
          <t>https://openaccess.thecvf.com/content/ICCV2025/html/Hsu_OpenM3D_Open_Vocabulary_Multi-view_Indoor_3D_Object_Detection_without_Human_ICCV_2025_paper.html</t>
        </is>
      </c>
    </row>
    <row r="35">
      <c r="A35" t="inlineStr">
        <is>
          <t>3D / BEV OD</t>
        </is>
      </c>
      <c r="B35" t="inlineStr">
        <is>
          <t>3D-MOOD</t>
        </is>
      </c>
      <c r="F35" t="inlineStr">
        <is>
          <t>⏳ Pending verification</t>
        </is>
      </c>
      <c r="H35" t="inlineStr">
        <is>
          <t>Ours(Swin-T) 14.8 0.782 0.697 0.612 22.5 31.7 14.2 27.3 0.630 0.726 0.650 30.2 3</t>
        </is>
      </c>
      <c r="K35" t="inlineStr">
        <is>
          <t>⏳ Pending — 3D detection on open-vocab 3D (Omni3D); Ours row: "Ours(Swin-T) 14.8 0.782 0.697 0.612 22.5 31.7 14.2 27.3 0.630 0.726 0.650 30.2 3"; headline needs visual confirm</t>
        </is>
      </c>
      <c r="L35" t="inlineStr">
        <is>
          <t>https://openaccess.thecvf.com/content/ICCV2025/html/Yang_3D-MOOD_Lifting_2D_to_3D_for_Monocular_Open-Set_Object_Detection_ICCV_2025_paper.html</t>
        </is>
      </c>
    </row>
    <row r="36">
      <c r="A36" t="inlineStr">
        <is>
          <t>3D / BEV OD</t>
        </is>
      </c>
      <c r="B36" t="inlineStr">
        <is>
          <t>DiffRefine</t>
        </is>
      </c>
      <c r="F36" t="inlineStr">
        <is>
          <t>⏳ Pending verification</t>
        </is>
      </c>
      <c r="H36" t="inlineStr">
        <is>
          <t>DiffRefine (Ours) 87.81/75.25 128.79/103.80 81.73/55.84 91.53/73.77</t>
        </is>
      </c>
      <c r="K36" t="inlineStr">
        <is>
          <t>⏳ Pending — 3D detection on KITTI; Ours row: "DiffRefine (Ours) 87.81/75.25 128.79/103.80 81.73/55.84 91.53/73.77"; headline needs visual confirm</t>
        </is>
      </c>
      <c r="L36" t="inlineStr">
        <is>
          <t>https://openaccess.thecvf.com/content/ICCV2025/html/Shin_DiffRefine_Diffusion-based_Proposal_Specific_Point_Cloud_Densification_for_Cross-Domain_Object_ICCV_2025_paper.html</t>
        </is>
      </c>
    </row>
    <row r="37">
      <c r="A37" t="inlineStr">
        <is>
          <t>3D / BEV OD</t>
        </is>
      </c>
      <c r="B37" t="inlineStr">
        <is>
          <t>CVFusion</t>
        </is>
      </c>
      <c r="F37" t="inlineStr">
        <is>
          <t>⏳ Pending verification</t>
        </is>
      </c>
      <c r="H37" t="inlineStr">
        <is>
          <t>CVFusion‡ (Ours) R+C 60.87 57.89 77.46 65.41 89.86 68.79 88.62 82.42 5.4</t>
        </is>
      </c>
      <c r="K37" t="inlineStr">
        <is>
          <t>⏳ Pending — 3D detection on radar(VoD); Ours row: "CVFusion‡ (Ours) R+C 60.87 57.89 77.46 65.41 89.86 68.79 88.62 82.42 5.4"; headline needs visual confirm</t>
        </is>
      </c>
      <c r="L37" t="inlineStr">
        <is>
          <t>https://openaccess.thecvf.com/content/ICCV2025/html/Zhong_CVFusion_Cross-View_Fusion_of_4D_Radar_and_Camera_for_3D_ICCV_2025_paper.html</t>
        </is>
      </c>
    </row>
    <row r="38">
      <c r="A38" t="inlineStr">
        <is>
          <t>3D / BEV OD</t>
        </is>
      </c>
      <c r="B38" t="inlineStr">
        <is>
          <t>FSHNet</t>
        </is>
      </c>
      <c r="F38" t="inlineStr">
        <is>
          <t>⏳ Pending verification</t>
        </is>
      </c>
      <c r="H38" t="inlineStr">
        <is>
          <t xml:space="preserve">FSHNetlight (Ours)† 76.3/74.2 81.0/80.5 85.6/80.7 80.2/79.1 73.0/72.5 78.6/73.7 </t>
        </is>
      </c>
      <c r="K38" t="inlineStr">
        <is>
          <t>⏳ Pending — 3D detection on Waymo/nuScenes; Ours row: "FSHNetlight (Ours)† 76.3/74.2 81.0/80.5 85.6/80.7 80.2/79.1 73.0/72.5 78.6/73.7 "; headline needs visual confirm</t>
        </is>
      </c>
      <c r="L38" t="inlineStr">
        <is>
          <t>https://openaccess.thecvf.com/content/CVPR2025/html/Liu_FSHNet_Fully_Sparse_Hybrid_Network_for_3D_Object_Detection_CVPR_2025_paper.html</t>
        </is>
      </c>
    </row>
    <row r="39">
      <c r="A39" t="inlineStr">
        <is>
          <t>3D / BEV OD</t>
        </is>
      </c>
      <c r="B39" t="inlineStr">
        <is>
          <t>GeoFormer</t>
        </is>
      </c>
      <c r="F39" t="inlineStr">
        <is>
          <t>⏳ Pending verification</t>
        </is>
      </c>
      <c r="H39" t="inlineStr">
        <is>
          <t>GeoFormer (Ours) - 68.2 72.4 88.2 64.5 78.1 45.7 27.4 89.7 74.8 59.6 80.3 73.8</t>
        </is>
      </c>
      <c r="K39" t="inlineStr">
        <is>
          <t>⏳ Pending — 3D detection on Waymo; Ours row: "GeoFormer (Ours) - 68.2 72.4 88.2 64.5 78.1 45.7 27.4 89.7 74.8 59.6 80.3 73.8"; headline needs visual confirm</t>
        </is>
      </c>
      <c r="L39" t="inlineStr">
        <is>
          <t>https://openaccess.thecvf.com/content/ICCV2025/html/Jin_GeoFormer_Geometry_Point_Encoder_for_3D_Object_Detection_with_Graph-based_ICCV_2025_paper.html</t>
        </is>
      </c>
    </row>
    <row r="40">
      <c r="A40" t="inlineStr">
        <is>
          <t>3D / BEV OD</t>
        </is>
      </c>
      <c r="B40" t="inlineStr">
        <is>
          <t>DSTR</t>
        </is>
      </c>
      <c r="F40" t="inlineStr">
        <is>
          <t>⏳ Pending verification</t>
        </is>
      </c>
      <c r="H40" t="inlineStr">
        <is>
          <t>DSTR (Ours) LC 0.723 0.744 0.292 0.226 0.213 0.261 0.182</t>
        </is>
      </c>
      <c r="K40" t="inlineStr">
        <is>
          <t>⏳ Pending — 3D detection on nuScenes/KITTI; Ours row: "DSTR (Ours) LC 0.723 0.744 0.292 0.226 0.213 0.261 0.182"; headline needs visual confirm</t>
        </is>
      </c>
      <c r="L40" t="inlineStr">
        <is>
          <t>https://openaccess.thecvf.com/content/WACV2025/html/Cai_DSTR_Dual_Scenes_Transformer_for_Cross-Modal_Fusion_in_3D_Object_WACV_2025_paper.html</t>
        </is>
      </c>
    </row>
    <row r="41">
      <c r="A41" t="inlineStr">
        <is>
          <t>3D-BEV OD</t>
        </is>
      </c>
      <c r="B41" t="inlineStr">
        <is>
          <t>Enhancing Embodied Object Detection</t>
        </is>
      </c>
      <c r="F41" t="inlineStr">
        <is>
          <t>已發表</t>
        </is>
      </c>
      <c r="H41" t="inlineStr">
        <is>
          <t>ScanNet embodied 3D mAP</t>
        </is>
      </c>
      <c r="K41" t="inlineStr">
        <is>
          <t>⚠️ Enhancing Embodied OD (WACV25): ScanNet 具身 3D 偵測；數值 needs visual read</t>
        </is>
      </c>
      <c r="L41" t="inlineStr">
        <is>
          <t>https://openaccess.thecvf.com/content/WACV2025/html/Chapman_Enhancing_Embodied_Object_Detection_with_Spatial_Feature_Memory_WACV_2025_paper.html</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 xmlns:r="http://schemas.openxmlformats.org/officeDocument/2006/relationships" ref="L17" r:id="rId16"/>
    <hyperlink xmlns:r="http://schemas.openxmlformats.org/officeDocument/2006/relationships" ref="L18" r:id="rId17"/>
    <hyperlink xmlns:r="http://schemas.openxmlformats.org/officeDocument/2006/relationships" ref="L19" r:id="rId18"/>
    <hyperlink xmlns:r="http://schemas.openxmlformats.org/officeDocument/2006/relationships" ref="L20" r:id="rId19"/>
    <hyperlink xmlns:r="http://schemas.openxmlformats.org/officeDocument/2006/relationships" ref="L21" r:id="rId20"/>
    <hyperlink xmlns:r="http://schemas.openxmlformats.org/officeDocument/2006/relationships" ref="L22" r:id="rId21"/>
    <hyperlink xmlns:r="http://schemas.openxmlformats.org/officeDocument/2006/relationships" ref="L23" r:id="rId22"/>
    <hyperlink xmlns:r="http://schemas.openxmlformats.org/officeDocument/2006/relationships" ref="L24" r:id="rId23"/>
    <hyperlink xmlns:r="http://schemas.openxmlformats.org/officeDocument/2006/relationships" ref="L25" r:id="rId24"/>
    <hyperlink xmlns:r="http://schemas.openxmlformats.org/officeDocument/2006/relationships" ref="L26" r:id="rId25"/>
    <hyperlink xmlns:r="http://schemas.openxmlformats.org/officeDocument/2006/relationships" ref="L27" r:id="rId26"/>
    <hyperlink xmlns:r="http://schemas.openxmlformats.org/officeDocument/2006/relationships" ref="L28" r:id="rId27"/>
    <hyperlink xmlns:r="http://schemas.openxmlformats.org/officeDocument/2006/relationships" ref="L29" r:id="rId28"/>
    <hyperlink xmlns:r="http://schemas.openxmlformats.org/officeDocument/2006/relationships" ref="L30" r:id="rId29"/>
    <hyperlink xmlns:r="http://schemas.openxmlformats.org/officeDocument/2006/relationships" ref="L31" r:id="rId30"/>
    <hyperlink xmlns:r="http://schemas.openxmlformats.org/officeDocument/2006/relationships" ref="L32" r:id="rId31"/>
    <hyperlink xmlns:r="http://schemas.openxmlformats.org/officeDocument/2006/relationships" ref="L33" r:id="rId32"/>
    <hyperlink xmlns:r="http://schemas.openxmlformats.org/officeDocument/2006/relationships" ref="L34" r:id="rId33"/>
    <hyperlink xmlns:r="http://schemas.openxmlformats.org/officeDocument/2006/relationships" ref="L35" r:id="rId34"/>
    <hyperlink xmlns:r="http://schemas.openxmlformats.org/officeDocument/2006/relationships" ref="L36" r:id="rId35"/>
    <hyperlink xmlns:r="http://schemas.openxmlformats.org/officeDocument/2006/relationships" ref="L37" r:id="rId36"/>
    <hyperlink xmlns:r="http://schemas.openxmlformats.org/officeDocument/2006/relationships" ref="L38" r:id="rId37"/>
    <hyperlink xmlns:r="http://schemas.openxmlformats.org/officeDocument/2006/relationships" ref="L39" r:id="rId38"/>
    <hyperlink xmlns:r="http://schemas.openxmlformats.org/officeDocument/2006/relationships" ref="L40" r:id="rId39"/>
    <hyperlink xmlns:r="http://schemas.openxmlformats.org/officeDocument/2006/relationships" ref="L41" r:id="rId40"/>
  </hyperlinks>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L5"/>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Tiny-Object OD</t>
        </is>
      </c>
      <c r="B2" t="inlineStr">
        <is>
          <t>ECF-YOLOv7-Tiny</t>
        </is>
      </c>
      <c r="F2" t="inlineStr">
        <is>
          <t>已發表</t>
        </is>
      </c>
      <c r="G2" t="n">
        <v>38.2</v>
      </c>
      <c r="H2" t="inlineStr">
        <is>
          <t>AP=38.2 | AP50=56.3 | AP75=40.7</t>
        </is>
      </c>
      <c r="K2" t="inlineStr">
        <is>
          <t>⚠️ ECF-YOLOv7-Tiny (WACV25): 輕量微小物件偵測，Ours 行 AP=38.2/AP50=56.3；確切資料集需 visual read 確認</t>
        </is>
      </c>
      <c r="L2" t="inlineStr">
        <is>
          <t>https://openaccess.thecvf.com/content/WACV2025/html/Bacea_ECF-YOLOv7-Tiny_Improving_Feature_Fusion_and_the_Receptive_Field_for_Lightweight_WACV_2025_paper.html</t>
        </is>
      </c>
    </row>
    <row r="3">
      <c r="A3" t="inlineStr">
        <is>
          <t>Tiny-Object OD</t>
        </is>
      </c>
      <c r="B3" t="inlineStr">
        <is>
          <t>SET (RFLA+SET)</t>
        </is>
      </c>
      <c r="F3" t="inlineStr">
        <is>
          <t>已發表</t>
        </is>
      </c>
      <c r="G3" t="n">
        <v>24.9</v>
      </c>
      <c r="H3" t="inlineStr">
        <is>
          <t>AI-TOD AP=24.9 | AP50=55.6</t>
        </is>
      </c>
      <c r="K3" t="inlineStr">
        <is>
          <t>✅ verified (SET CVPR25 Table, visual read): AI-TOD 微小物件 best RFLA+SET AP=24.9 / AP50=55.6</t>
        </is>
      </c>
      <c r="L3" t="inlineStr">
        <is>
          <t>https://openaccess.thecvf.com/content/CVPR2025/html/Sun_SET_Spectral_Enhancement_for_Tiny_Object_Detection_CVPR_2025_paper.html</t>
        </is>
      </c>
    </row>
    <row r="4">
      <c r="A4" t="inlineStr">
        <is>
          <t>Tiny-Object OD</t>
        </is>
      </c>
      <c r="B4" t="inlineStr">
        <is>
          <t>UHR-DETR</t>
        </is>
      </c>
      <c r="F4" t="inlineStr">
        <is>
          <t>已發表</t>
        </is>
      </c>
      <c r="H4" t="inlineStr">
        <is>
          <t>remote-sensing UHR small-object AP</t>
        </is>
      </c>
      <c r="K4" t="inlineStr">
        <is>
          <t>⚠️ UHR-DETR (arxiv 2604.21435): 超高解析遙測小物件偵測；數值 needs visual read</t>
        </is>
      </c>
      <c r="L4" t="inlineStr">
        <is>
          <t>https://arxiv.org/abs/2604.21435</t>
        </is>
      </c>
    </row>
    <row r="5">
      <c r="A5" t="inlineStr">
        <is>
          <t>Tiny-Object OD</t>
        </is>
      </c>
      <c r="B5" t="inlineStr">
        <is>
          <t>Interactive OD for Tiny Objects</t>
        </is>
      </c>
      <c r="F5" t="inlineStr">
        <is>
          <t>已發表</t>
        </is>
      </c>
      <c r="H5" t="inlineStr">
        <is>
          <t>DOTA small-object AP</t>
        </is>
      </c>
      <c r="K5" t="inlineStr">
        <is>
          <t>⚠️ Interactive OD for Tiny Objects (WACV25): DOTA 遙測小物件互動偵測；數值 needs visual read</t>
        </is>
      </c>
      <c r="L5" t="inlineStr">
        <is>
          <t>https://openaccess.thecvf.com/content/WACV2025/html/Burges_Interactive_Object_Detection_for_Tiny_Objects_in_Large_Remotely_Sensed_WACV_2025_paper.html</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s>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L10"/>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Domain/Robust OD</t>
        </is>
      </c>
      <c r="B2" t="inlineStr">
        <is>
          <t>MiPa (Mixed Patch VisInfrared)</t>
        </is>
      </c>
      <c r="F2" t="inlineStr">
        <is>
          <t>已發表</t>
        </is>
      </c>
      <c r="G2" t="n">
        <v>81.3</v>
      </c>
      <c r="H2" t="inlineStr">
        <is>
          <t>FLIR_AP=81.3 | LLVIP_AP50=98.8</t>
        </is>
      </c>
      <c r="K2" t="inlineStr">
        <is>
          <t>✅ verified (WACV25, text): visible-infrared modality-agnostic OD — FLIR AP 81.3, LLVIP AP50 98.8 (metric per paper; NOT comparable to mono-modality rows)</t>
        </is>
      </c>
      <c r="L2" t="inlineStr">
        <is>
          <t>https://openaccess.thecvf.com/content/WACV2025/html/Medeiros_Mixed_Patch_Visible-Infrared_Modality_Agnostic_Object_Detection_WACV_2025_paper.html</t>
        </is>
      </c>
    </row>
    <row r="3">
      <c r="A3" t="inlineStr">
        <is>
          <t>Domain/Robust OD</t>
        </is>
      </c>
      <c r="B3" t="inlineStr">
        <is>
          <t>ERUP-YOLO</t>
        </is>
      </c>
      <c r="F3" t="inlineStr">
        <is>
          <t>已發表</t>
        </is>
      </c>
      <c r="G3" t="n">
        <v>77.89</v>
      </c>
      <c r="H3" t="inlineStr">
        <is>
          <t>Foggy_Vnts_mAP50=77.89 | Foggy_Vfts=74.09 | RTTS=49.81 | LowLight_Vnts=68.62 | ExDark=48.43</t>
        </is>
      </c>
      <c r="K3" t="inlineStr">
        <is>
          <t>✅ verified (WACV25 Table1/2, visual read): adverse-weather robust OD on PASCAL-VOC fog/low-light synth + real RTTS/ExDark, mAP50</t>
        </is>
      </c>
      <c r="L3" t="inlineStr">
        <is>
          <t>https://openaccess.thecvf.com/content/WACV2025/html/Ogino_ERUP-YOLO_Enhancing_Object_Detection_Robustness_for_Adverse_Weather_Condition_by_WACV_2025_paper.html</t>
        </is>
      </c>
    </row>
    <row r="4">
      <c r="A4" t="inlineStr">
        <is>
          <t>Domain/Robust OD</t>
        </is>
      </c>
      <c r="B4" t="inlineStr">
        <is>
          <t>SEEN-DA</t>
        </is>
      </c>
      <c r="F4" t="inlineStr">
        <is>
          <t>已發表</t>
        </is>
      </c>
      <c r="G4" t="n">
        <v>57.5</v>
      </c>
      <c r="H4" t="inlineStr">
        <is>
          <t>Cityscapes2Foggy_mAP=57.5 | KITTI2Cityscapes=67.1</t>
        </is>
      </c>
      <c r="K4" t="inlineStr">
        <is>
          <t>✅ verified (CVPR25, text): domain-adaptive OD — Cityscapes→Foggy Cityscapes mAP 57.5 (KITTI→Cityscapes 67.1)</t>
        </is>
      </c>
      <c r="L4" t="inlineStr">
        <is>
          <t>https://openaccess.thecvf.com/content/CVPR2025/html/Li_SEEN-DA_SEmantic_ENtropy_guided_Domain-aware_Attention_for_Domain_Adaptive_Object_CVPR_2025_paper.html</t>
        </is>
      </c>
    </row>
    <row r="5">
      <c r="A5" t="inlineStr">
        <is>
          <t>Domain/Robust OD</t>
        </is>
      </c>
      <c r="B5" t="inlineStr">
        <is>
          <t>VFM4SDG</t>
        </is>
      </c>
      <c r="F5" t="inlineStr">
        <is>
          <t>已發表</t>
        </is>
      </c>
      <c r="G5" t="n">
        <v>50.8</v>
      </c>
      <c r="H5" t="inlineStr">
        <is>
          <t>SingleDGOD_avg_mAP=50.8</t>
        </is>
      </c>
      <c r="K5" t="inlineStr">
        <is>
          <t>✅ verified (arxiv 2604.21502, text): single-domain generalized OD, Daytime-Sunny→diverse weather, best avg mAP 50.8</t>
        </is>
      </c>
      <c r="L5" t="inlineStr">
        <is>
          <t>https://arxiv.org/abs/2604.21502</t>
        </is>
      </c>
    </row>
    <row r="6">
      <c r="A6" t="inlineStr">
        <is>
          <t>Domain/Robust OD</t>
        </is>
      </c>
      <c r="B6" t="inlineStr">
        <is>
          <t>PFGF (Pseudo Visible Fusion, Thermal)</t>
        </is>
      </c>
      <c r="F6" t="inlineStr">
        <is>
          <t>已發表</t>
        </is>
      </c>
      <c r="G6" t="n">
        <v>47.1</v>
      </c>
      <c r="H6" t="inlineStr">
        <is>
          <t>FLIR_mAP=47.1 | mAP50=84.8 | mAP75=44.6</t>
        </is>
      </c>
      <c r="K6" t="inlineStr">
        <is>
          <t>✅ verified (CVPR25 Table1, visual read): mono-modality thermal OD on FLIR, mAP 47.1 / mAP50 84.8</t>
        </is>
      </c>
      <c r="L6" t="inlineStr">
        <is>
          <t>https://openaccess.thecvf.com/content/CVPR2025/html/Li_Pseudo_Visible_Feature_Fine-Grained_Fusion_for_Thermal_Object_Detection_CVPR_2025_paper.html</t>
        </is>
      </c>
    </row>
    <row r="7">
      <c r="A7" t="inlineStr">
        <is>
          <t>Domain/Robust OD</t>
        </is>
      </c>
      <c r="B7" t="inlineStr">
        <is>
          <t>Style Evolving CoT</t>
        </is>
      </c>
      <c r="F7" t="inlineStr">
        <is>
          <t>已發表</t>
        </is>
      </c>
      <c r="G7" t="n">
        <v>45.2</v>
      </c>
      <c r="H7" t="inlineStr">
        <is>
          <t>SingleDGOD_target_avg_mAP=45.2 | DayClear=64.4 | NightSunny=52.7 | DuskRainy=49.5 | NightRainy=33.7 | DayFoggy=44.9</t>
        </is>
      </c>
      <c r="K7" t="inlineStr">
        <is>
          <t>✅ verified (CVPR25 Table1, visual read, Ours-Swin): single-DGOD Diverse-Weather, target-domain avg mAP≈45.2</t>
        </is>
      </c>
      <c r="L7" t="inlineStr">
        <is>
          <t>https://openaccess.thecvf.com/content/CVPR2025/html/Zhang_Style_Evolving_along_Chain-of-Thought_for_Unknown-Domain_Object_Detection_CVPR_2025_paper.html</t>
        </is>
      </c>
    </row>
    <row r="8">
      <c r="A8" t="inlineStr">
        <is>
          <t>Domain/Robust OD</t>
        </is>
      </c>
      <c r="B8" t="inlineStr">
        <is>
          <t>Towards RAW OD</t>
        </is>
      </c>
      <c r="F8" t="inlineStr">
        <is>
          <t>已發表</t>
        </is>
      </c>
      <c r="G8" t="n">
        <v>34.8</v>
      </c>
      <c r="H8" t="inlineStr">
        <is>
          <t>RAW_AP=34.8 | AP50=53.3 | AP75=36.7</t>
        </is>
      </c>
      <c r="K8" t="inlineStr">
        <is>
          <t>✅ verified (CVPR25 Table, text): RAW-image OD in diverse conditions, AP 34.8 w/ RAW pre-training</t>
        </is>
      </c>
      <c r="L8" t="inlineStr">
        <is>
          <t>https://openaccess.thecvf.com/content/CVPR2025/html/Li_Towards_RAW_Object_Detection_in_Diverse_Conditions_CVPR_2025_paper.html</t>
        </is>
      </c>
    </row>
    <row r="9">
      <c r="A9" t="inlineStr">
        <is>
          <t>Domain/Robust OD</t>
        </is>
      </c>
      <c r="B9" t="inlineStr">
        <is>
          <t>Shift the Lens (EASE, Camouflaged)</t>
        </is>
      </c>
      <c r="F9" t="inlineStr">
        <is>
          <t>已發表</t>
        </is>
      </c>
      <c r="G9" t="n">
        <v>0.773</v>
      </c>
      <c r="H9" t="inlineStr">
        <is>
          <t>COD10K_Smeasure=0.773 | Emeasure=0.866 | wFmeasure=0.656 | MAE=0.040 | CAMO_Sm=0.749 | NC4K_Sm=0.800</t>
        </is>
      </c>
      <c r="K9" t="inlineStr">
        <is>
          <t>✅ verified (CVPR25 Table1, visual read): unsupervised CAMOUFLAGED OD — COD10K S-measure 0.773 (segmentation metric, NOT bbox mAP)</t>
        </is>
      </c>
      <c r="L9" t="inlineStr">
        <is>
          <t>https://openaccess.thecvf.com/content/CVPR2025/html/Du_Shift_the_Lens_Environment-Aware_Unsupervised_Camouflaged_Object_Detection_CVPR_2025_paper.html</t>
        </is>
      </c>
    </row>
    <row r="10">
      <c r="A10" t="inlineStr">
        <is>
          <t>Domain/Robust OD</t>
        </is>
      </c>
      <c r="B10" t="inlineStr">
        <is>
          <t>Shape-Biased Texture-Agnostic</t>
        </is>
      </c>
      <c r="F10" t="inlineStr">
        <is>
          <t>已發表</t>
        </is>
      </c>
      <c r="H10" t="inlineStr">
        <is>
          <t>textureless_metallic_OD_mAP=needs visual read</t>
        </is>
      </c>
      <c r="K10" t="inlineStr">
        <is>
          <t>⚠️ Shape-Biased (WACV25): textureless/metallic OD; reports +11.37% relative mAP (Faster R-CNN); absolute mAP needs visual read</t>
        </is>
      </c>
      <c r="L10" t="inlineStr">
        <is>
          <t>https://openaccess.thecvf.com/content/WACV2025/html/Honig_Shape-Biased_Texture_Agnostic_Representations_for_Improved_Textureless_and_Metallic_Object_WACV_2025_paper.html</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s>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L4"/>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Incremental OD</t>
        </is>
      </c>
      <c r="B2" t="inlineStr">
        <is>
          <t>RGR (Revisiting Generative Replay)</t>
        </is>
      </c>
      <c r="F2" t="inlineStr">
        <is>
          <t>已發表</t>
        </is>
      </c>
      <c r="G2" t="n">
        <v>75.8</v>
      </c>
      <c r="H2" t="inlineStr">
        <is>
          <t>VOC2007_10-10_All_mAP50=75.8 | 19-1=75.4 | 15-5=74.0 | 5-15=75.3</t>
        </is>
      </c>
      <c r="K2" t="inlineStr">
        <is>
          <t>✅ verified (CVPR25 Table1, visual read): class-incremental OD on PASCAL VOC 2007, mAP@0.5; best single-step 10-10 All=75.8</t>
        </is>
      </c>
      <c r="L2" t="inlineStr">
        <is>
          <t>https://openaccess.thecvf.com/content/CVPR2025/html/Zhang_Revisiting_Generative_Replay_for_Class_Incremental_Object_Detection_CVPR_2025_paper.html</t>
        </is>
      </c>
    </row>
    <row r="3">
      <c r="A3" t="inlineStr">
        <is>
          <t>Incremental OD</t>
        </is>
      </c>
      <c r="B3" t="inlineStr">
        <is>
          <t>LEA (Learning Endogenous Attention)</t>
        </is>
      </c>
      <c r="F3" t="inlineStr">
        <is>
          <t>已發表</t>
        </is>
      </c>
      <c r="G3" t="n">
        <v>45.5</v>
      </c>
      <c r="H3" t="inlineStr">
        <is>
          <t>COCO_incremental_AP=45.5 | AP50=65.3 | AP75=49.6</t>
        </is>
      </c>
      <c r="K3" t="inlineStr">
        <is>
          <t>✅ verified (CVPR25 Table, text): incremental OD on MS-COCO (ViTDet), AP 45.5 / AP50 65.3 (COCO metric — NOT comparable to VOC mAP50 rows)</t>
        </is>
      </c>
      <c r="L3" t="inlineStr">
        <is>
          <t>https://openaccess.thecvf.com/content/CVPR2025/html/Song_Learning_Endogenous_Attention_for_Incremental_Object_Detection_CVPR_2025_paper.html</t>
        </is>
      </c>
    </row>
    <row r="4">
      <c r="A4" t="inlineStr">
        <is>
          <t>Incremental OD</t>
        </is>
      </c>
      <c r="B4" t="inlineStr">
        <is>
          <t>DiL (Abnormal Uncertainty Metric)</t>
        </is>
      </c>
      <c r="F4" t="inlineStr">
        <is>
          <t>已發表</t>
        </is>
      </c>
      <c r="H4" t="inlineStr">
        <is>
          <t>OD_uncertainty_OOD_metric=needs visual read</t>
        </is>
      </c>
      <c r="K4" t="inlineStr">
        <is>
          <t>⚠️ DiL (WACV25): explainable uncertainty/OOD metric for object detectors (COCO/VOC/autonomous-driving) — evaluates uncertainty, NOT a detection-mAP method; headline metric needs visual read</t>
        </is>
      </c>
      <c r="L4" t="inlineStr">
        <is>
          <t>https://openaccess.thecvf.com/content/WACV2025/html/Giloni_DiL_An_Explainable_and_Practical_Metric_for_Abnormal_Uncertainty_in_WACV_2025_paper.html</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s>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L5"/>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Open-Vocabulary OD</t>
        </is>
      </c>
      <c r="B2" t="inlineStr">
        <is>
          <t>Enhancing Novel OD (Cooperative FM)</t>
        </is>
      </c>
      <c r="F2" t="inlineStr">
        <is>
          <t>✅ Standard verified</t>
        </is>
      </c>
      <c r="G2" t="n">
        <v>50.3</v>
      </c>
      <c r="H2" t="inlineStr">
        <is>
          <t>COCO-OVD_NovelAP50=50.3 | LVIS_NovelAP=17.42 | All=19.33</t>
        </is>
      </c>
      <c r="K2" t="inlineStr">
        <is>
          <t>✅ Standard verified (WACV25 Table1/2, visual read): open-vocab/novel OD, COCO-OVD Novel AP50=50.3</t>
        </is>
      </c>
      <c r="L2" t="inlineStr">
        <is>
          <t>https://openaccess.thecvf.com/content/WACV2025/html/Bharadwaj_Enhancing_Novel_Object_Detection_via_Cooperative_Foundational_Models_WACV_2025_paper.html</t>
        </is>
      </c>
    </row>
    <row r="3">
      <c r="A3" t="inlineStr">
        <is>
          <t>Open-Vocabulary OD</t>
        </is>
      </c>
      <c r="B3" t="inlineStr">
        <is>
          <t>Exploring Hierarchical Consistency (OVD)</t>
        </is>
      </c>
      <c r="F3" t="inlineStr">
        <is>
          <t>✅ Standard verified</t>
        </is>
      </c>
      <c r="G3" t="n">
        <v>44</v>
      </c>
      <c r="H3" t="inlineStr">
        <is>
          <t>Novel_AP=44.0 | AP50=65.8 (OV-COCO, ViT-L/14)</t>
        </is>
      </c>
      <c r="K3" t="inlineStr">
        <is>
          <t>✅ Standard verified (arXiv 2604.23344, text): open-vocab OD, OV-COCO Novel AP=44.0 (ViT-L/14)</t>
        </is>
      </c>
      <c r="L3" t="inlineStr">
        <is>
          <t>https://arxiv.org/abs/2604.23344</t>
        </is>
      </c>
    </row>
    <row r="4">
      <c r="A4" t="inlineStr">
        <is>
          <t>Open-Vocabulary OD</t>
        </is>
      </c>
      <c r="B4" t="inlineStr">
        <is>
          <t>Search and Detect (SearchDet)</t>
        </is>
      </c>
      <c r="F4" t="inlineStr">
        <is>
          <t>✅ Standard verified</t>
        </is>
      </c>
      <c r="G4" t="n">
        <v>43.6</v>
      </c>
      <c r="H4" t="inlineStr">
        <is>
          <t>LVIS_minival_mAP=43.6 | APr=55.9 | COCO_val=59.3 | 10shot_COCO=61.4 | ODinW35=33.1</t>
        </is>
      </c>
      <c r="K4" t="inlineStr">
        <is>
          <t>✅ Standard verified (CVPR25 Table1/2, visual read): training-free retrieval OV OD, LVIS minival mAP=43.6 (APr 55.9)</t>
        </is>
      </c>
      <c r="L4" t="inlineStr">
        <is>
          <t>https://openaccess.thecvf.com/content/CVPR2025/html/Sidhu_Search_and_Detect_Training-Free_Long_Tail_Object_Detection_via_Web-Image_CVPR_2025_paper.html</t>
        </is>
      </c>
    </row>
    <row r="5">
      <c r="A5" t="inlineStr">
        <is>
          <t>Open-Vocabulary OD</t>
        </is>
      </c>
      <c r="B5" t="inlineStr">
        <is>
          <t>NoOVD (CLIPSelf+NoOVD)</t>
        </is>
      </c>
      <c r="F5" t="inlineStr">
        <is>
          <t>✅ Standard verified</t>
        </is>
      </c>
      <c r="G5" t="n">
        <v>30.7</v>
      </c>
      <c r="H5" t="inlineStr">
        <is>
          <t>OV-COCO_Novel=30.7 (ViT-B/16)</t>
        </is>
      </c>
      <c r="K5" t="inlineStr">
        <is>
          <t>✅ Standard verified (text): open-vocab OD on OV-COCO, Novel=30.7</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s>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L2"/>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Oriented-RS OD</t>
        </is>
      </c>
      <c r="B2" t="inlineStr">
        <is>
          <t>ReDiffDet</t>
        </is>
      </c>
      <c r="F2" t="inlineStr">
        <is>
          <t>✅ Standard verified</t>
        </is>
      </c>
      <c r="G2" t="n">
        <v>80.7</v>
      </c>
      <c r="H2" t="inlineStr">
        <is>
          <t>DOTA_mAP=80.70 (ReR50,MS) | plain_ReR50=75.45</t>
        </is>
      </c>
      <c r="K2" t="inlineStr">
        <is>
          <t>✅ Standard verified (CVPR25 Table, text): oriented/rotated OD on DOTA-v1.0, mAP=80.70</t>
        </is>
      </c>
      <c r="L2" t="inlineStr">
        <is>
          <t>https://openaccess.thecvf.com/content/CVPR2025/html/Zhao_ReDiffDet_Rotation-equivariant_Diffusion_Model_for_Oriented_Object_Detection_CVPR_2025_paper.html</t>
        </is>
      </c>
    </row>
  </sheetData>
  <hyperlinks>
    <hyperlink xmlns:r="http://schemas.openxmlformats.org/officeDocument/2006/relationships" ref="L2" r:id="rId1"/>
  </hyperlinks>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L2"/>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Referring OD</t>
        </is>
      </c>
      <c r="B2" t="inlineStr">
        <is>
          <t>ROD-MLLM</t>
        </is>
      </c>
      <c r="F2" t="inlineStr">
        <is>
          <t>✅ Standard verified</t>
        </is>
      </c>
      <c r="G2" t="n">
        <v>90.2</v>
      </c>
      <c r="H2" t="inlineStr">
        <is>
          <t>RefCOCO_val=90.2 | testA=93.0 | testB=86.3 | RefCOCO+_val=84.8 | RefCOCOg_val=86.7</t>
        </is>
      </c>
      <c r="K2" t="inlineStr">
        <is>
          <t>✅ Standard verified (CVPR25 Table3/4, visual read): referring grounding MLLM, RefCOCO Acc@0.5 val=90.2</t>
        </is>
      </c>
      <c r="L2" t="inlineStr">
        <is>
          <t>https://openaccess.thecvf.com/content/CVPR2025/html/Yin_ROD-MLLM_Towards_More_Reliable_Object_Detection_in_Multimodal_Large_Language_CVPR_2025_paper.html</t>
        </is>
      </c>
    </row>
  </sheetData>
  <hyperlinks>
    <hyperlink xmlns:r="http://schemas.openxmlformats.org/officeDocument/2006/relationships" ref="L2" r:id="rId1"/>
  </hyperlinks>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L2"/>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Security-Robustness OD</t>
        </is>
      </c>
      <c r="B2" t="inlineStr">
        <is>
          <t>TRACE (Test-Time Backdoor Detection)</t>
        </is>
      </c>
      <c r="F2" t="inlineStr">
        <is>
          <t>✅ Standard verified</t>
        </is>
      </c>
      <c r="G2" t="n">
        <v>0.897</v>
      </c>
      <c r="H2" t="inlineStr">
        <is>
          <t>AUROC=0.897 | F1=0.880</t>
        </is>
      </c>
      <c r="K2" t="inlineStr">
        <is>
          <t>✅ Standard verified (CVPR25 Table2, visual read): test-time backdoor DEFENSE for detectors, AUROC=0.897/F1=0.880 (security metric)</t>
        </is>
      </c>
      <c r="L2" t="inlineStr">
        <is>
          <t>https://openaccess.thecvf.com/content/CVPR2025/html/Zhang_Test-Time_Backdoor_Detection_for_Object_Detection_Models_CVPR_2025_paper.html</t>
        </is>
      </c>
    </row>
  </sheetData>
  <hyperlinks>
    <hyperlink xmlns:r="http://schemas.openxmlformats.org/officeDocument/2006/relationships" ref="L2" r:id="rId1"/>
  </hyperlinks>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L3"/>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Co-SOD &amp; Ranking</t>
        </is>
      </c>
      <c r="B2" t="inlineStr">
        <is>
          <t>Visual Consensus Prompting (Co-SOD)</t>
        </is>
      </c>
      <c r="F2" t="inlineStr">
        <is>
          <t>✅ Standard verified</t>
        </is>
      </c>
      <c r="G2" t="n">
        <v>0.895</v>
      </c>
      <c r="H2" t="inlineStr">
        <is>
          <t>CoSOD3k_Sm=0.895 | MAE=0.043 | CoSal2015_Sm=0.927 | CoCA_Sm=0.819</t>
        </is>
      </c>
      <c r="K2" t="inlineStr">
        <is>
          <t>✅ Standard verified (CVPR25 Table1, visual read): co-salient OD, CoSOD3k S-measure=0.895</t>
        </is>
      </c>
      <c r="L2" t="inlineStr">
        <is>
          <t>https://openaccess.thecvf.com/content/CVPR2025/html/Wang_Visual_Consensus_Prompting_for_Co-Salient_Object_Detection_CVPR_2025_paper.html</t>
        </is>
      </c>
    </row>
    <row r="3">
      <c r="A3" t="inlineStr">
        <is>
          <t>Co-SOD &amp; Ranking</t>
        </is>
      </c>
      <c r="B3" t="inlineStr">
        <is>
          <t>Language-Guided Salient Object Ranking</t>
        </is>
      </c>
      <c r="F3" t="inlineStr">
        <is>
          <t>✅ Standard verified</t>
        </is>
      </c>
      <c r="G3" t="n">
        <v>0.787</v>
      </c>
      <c r="H3" t="inlineStr">
        <is>
          <t>ASSR_SA-SOR=0.787 | SOR=0.895 | MAE=0.049 | IRSR_SA-SOR=0.634</t>
        </is>
      </c>
      <c r="K3" t="inlineStr">
        <is>
          <t>✅ Standard verified (CVPR25 Table1, visual read): salient object ranking, ASSR SA-SOR=0.787</t>
        </is>
      </c>
      <c r="L3" t="inlineStr">
        <is>
          <t>https://openaccess.thecvf.com/content/CVPR2025/html/Liu_Language-Guided_Salient_Object_Ranking_CVPR_2025_paper.html</t>
        </is>
      </c>
    </row>
  </sheetData>
  <hyperlinks>
    <hyperlink xmlns:r="http://schemas.openxmlformats.org/officeDocument/2006/relationships" ref="L2" r:id="rId1"/>
    <hyperlink xmlns:r="http://schemas.openxmlformats.org/officeDocument/2006/relationships" ref="L3" r:id="rId2"/>
  </hyperlinks>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L4"/>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CD-FSOD</t>
        </is>
      </c>
      <c r="B2" t="inlineStr">
        <is>
          <t>NTIRE 2025 CD-FSOD (MoveFree)</t>
        </is>
      </c>
      <c r="F2" t="inlineStr">
        <is>
          <t>⚠️ Different metric</t>
        </is>
      </c>
      <c r="G2" t="n">
        <v>62.57</v>
      </c>
      <c r="H2" t="inlineStr">
        <is>
          <t>D1_DeepFruits_10shot=62.57 | composite_Score=231.01</t>
        </is>
      </c>
      <c r="K2" t="inlineStr">
        <is>
          <t>⚠️ Different metric (NTIRE25 Table1, visual read): CD-FSOD challenge on DeepFruits/CARPK/CarDD (composite Score 231.01) — different sub-benchmark, not directly comparable to ArTaxOr rows</t>
        </is>
      </c>
      <c r="L2" t="inlineStr">
        <is>
          <t>https://arxiv.org/abs/2504.10685</t>
        </is>
      </c>
    </row>
    <row r="3">
      <c r="A3" t="inlineStr">
        <is>
          <t>CD-FSOD</t>
        </is>
      </c>
      <c r="B3" t="inlineStr">
        <is>
          <t>Cross-Domain Multi-Modal FSOD</t>
        </is>
      </c>
      <c r="F3" t="inlineStr">
        <is>
          <t>✅ Standard verified</t>
        </is>
      </c>
      <c r="G3" t="n">
        <v>61.4</v>
      </c>
      <c r="H3" t="inlineStr">
        <is>
          <t>ArTaxOr_10shot=61.4 | DIOR=31.4 | UODD=17.5</t>
        </is>
      </c>
      <c r="K3" t="inlineStr">
        <is>
          <t>✅ Standard verified (WACV25 Table1, visual read): CD-FSOD (ArTaxOr/DIOR/UODD) 10-shot, ArTaxOr mAP=61.4</t>
        </is>
      </c>
      <c r="L3" t="inlineStr">
        <is>
          <t>https://openaccess.thecvf.com/content/WACV2025/html/Shangguan_Cross-Domain_Multi-Modal_Few-Shot_Object_Detection_via_Rich_Text_WACV_2025_paper.html</t>
        </is>
      </c>
    </row>
    <row r="4">
      <c r="A4" t="inlineStr">
        <is>
          <t>CD-FSOD</t>
        </is>
      </c>
      <c r="B4" t="inlineStr">
        <is>
          <t>CD-ViTO</t>
        </is>
      </c>
      <c r="F4" t="inlineStr">
        <is>
          <t>✅ Standard verified</t>
        </is>
      </c>
      <c r="G4" t="n">
        <v>60.5</v>
      </c>
      <c r="H4" t="inlineStr">
        <is>
          <t>ArTaxOr_10shot=60.5 | Clipart=44.3 | DIOR=30.8 | DeepFish=22.3 | NEU=12.8 | UODD=7.0</t>
        </is>
      </c>
      <c r="K4" t="inlineStr">
        <is>
          <t>✅ Standard verified (arXiv 2402.03094, text): CD-FSOD 10-shot, ArTaxOr mAP=60.5</t>
        </is>
      </c>
      <c r="L4" t="inlineStr">
        <is>
          <t>https://arxiv.org/abs/2402.03094</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2026-04-27T06:02:32Z</dcterms:created>
  <dcterms:modified xmlns:dcterms="http://purl.org/dc/terms/" xmlns:xsi="http://www.w3.org/2001/XMLSchema-instance" xsi:type="dcterms:W3CDTF">2026-05-30T11:13:11Z</dcterms:modified>
  <cp:lastModifiedBy>Bill Chuang</cp:lastModifiedBy>
</cp:coreProperties>
</file>